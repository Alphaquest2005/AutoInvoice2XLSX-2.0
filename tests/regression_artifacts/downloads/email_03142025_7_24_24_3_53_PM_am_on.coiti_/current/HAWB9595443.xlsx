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  <font>
      <b val="1"/>
      <color rgb="00375623"/>
      <sz val="10"/>
    </font>
    <font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  <xf numFmtId="0" fontId="6" fillId="0" borderId="1" pivotButton="0" quotePrefix="0" xfId="0"/>
    <xf numFmtId="164" fontId="6" fillId="0" borderId="1" pivotButton="0" quotePrefix="0" xfId="0"/>
    <xf numFmtId="0" fontId="7" fillId="4" borderId="1" pivotButton="0" quotePrefix="0" xfId="0"/>
    <xf numFmtId="4" fontId="7" fillId="4" borderId="1" pivotButton="0" quotePrefix="0" xfId="0"/>
    <xf numFmtId="0" fontId="8" fillId="0" borderId="1" pivotButton="0" quotePrefix="0" xfId="0"/>
    <xf numFmtId="4" fontId="8" fillId="0" borderId="1" pivotButton="0" quotePrefix="0" xfId="0"/>
    <xf numFmtId="0" fontId="7" fillId="0" borderId="1" pivotButton="0" quotePrefix="0" xfId="0"/>
    <xf numFmtId="4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111-8019845-2302666</t>
        </is>
      </c>
      <c r="D2" s="2" t="inlineStr"/>
      <c r="E2" s="2" t="inlineStr">
        <is>
          <t>MARINE LIGHTING</t>
        </is>
      </c>
      <c r="F2" s="2" t="inlineStr">
        <is>
          <t>94054000</t>
        </is>
      </c>
      <c r="G2" s="2" t="inlineStr"/>
      <c r="H2" s="2" t="inlineStr"/>
      <c r="I2" s="2" t="inlineStr">
        <is>
          <t>AMZ-1</t>
        </is>
      </c>
      <c r="J2" s="2" t="inlineStr">
        <is>
          <t>MESAILUP 16 Inch LED Lighted Liquor Bottle Display 2 Step Illuminated Bottle ...</t>
        </is>
      </c>
      <c r="K2" s="2" t="n">
        <v>2</v>
      </c>
      <c r="L2" s="2" t="n"/>
      <c r="M2" s="2" t="inlineStr"/>
      <c r="N2" s="2" t="inlineStr">
        <is>
          <t>USD</t>
        </is>
      </c>
      <c r="O2" s="3" t="n">
        <v>39.99</v>
      </c>
      <c r="P2" s="3" t="n">
        <v>79.98</v>
      </c>
      <c r="Q2" s="3">
        <f>O2*K2</f>
        <v/>
      </c>
      <c r="R2" s="3">
        <f>P2-Q2</f>
        <v/>
      </c>
      <c r="S2" s="3" t="n">
        <v>99.78</v>
      </c>
      <c r="T2" s="3" t="n">
        <v>17</v>
      </c>
      <c r="U2" s="3" t="n">
        <v>0</v>
      </c>
      <c r="V2" s="3" t="n">
        <v>2.8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Amazon.com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94054000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SUBTOTAL</t>
        </is>
      </c>
      <c r="K3" s="4" t="n"/>
      <c r="L3" s="4" t="n"/>
      <c r="M3" s="4" t="n"/>
      <c r="N3" s="4" t="n"/>
      <c r="O3" s="4" t="n"/>
      <c r="P3" s="5">
        <f>P2</f>
        <v/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ADJUSTMENTS</t>
        </is>
      </c>
      <c r="K4" s="4" t="n"/>
      <c r="L4" s="4" t="n"/>
      <c r="M4" s="4" t="n"/>
      <c r="N4" s="4" t="n"/>
      <c r="O4" s="4" t="n"/>
      <c r="P4" s="5">
        <f>(T2+U2+V2-W2)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NET TOTAL</t>
        </is>
      </c>
      <c r="K5" s="4" t="n"/>
      <c r="L5" s="4" t="n"/>
      <c r="M5" s="4" t="n"/>
      <c r="N5" s="4" t="n"/>
      <c r="O5" s="4" t="n"/>
      <c r="P5" s="5">
        <f>(P3+P4)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VARIANCE CHECK</t>
        </is>
      </c>
      <c r="K6" s="4" t="n"/>
      <c r="L6" s="4" t="n"/>
      <c r="M6" s="4" t="n"/>
      <c r="N6" s="4" t="n"/>
      <c r="O6" s="4" t="n"/>
      <c r="P6" s="5">
        <f>(S2-P5)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DUTY ESTIMATION (Classification Cross-Check)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8" t="inlineStr">
        <is>
          <t>CIF (USD) = InvTotal + Freight + Insurance</t>
        </is>
      </c>
      <c r="K9" s="7" t="n"/>
      <c r="L9" s="7" t="n"/>
      <c r="M9" s="7" t="n"/>
      <c r="N9" s="7" t="n"/>
      <c r="O9" s="7" t="n"/>
      <c r="P9" s="9" t="n">
        <v>116.78</v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 t="inlineStr">
        <is>
          <t>CIF (XCD) = CIF × 2.7169</t>
        </is>
      </c>
      <c r="K10" s="7" t="n"/>
      <c r="L10" s="7" t="n"/>
      <c r="M10" s="7" t="n"/>
      <c r="N10" s="7" t="n"/>
      <c r="O10" s="7" t="n"/>
      <c r="P10" s="9" t="n">
        <v>317.28</v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 t="inlineStr">
        <is>
          <t>CET (20%) — Tariff 94054000</t>
        </is>
      </c>
      <c r="K11" s="7" t="n"/>
      <c r="L11" s="7" t="n"/>
      <c r="M11" s="7" t="n"/>
      <c r="N11" s="7" t="n"/>
      <c r="O11" s="7" t="n"/>
      <c r="P11" s="9" t="n">
        <v>63.46</v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 t="inlineStr">
        <is>
          <t>CSC (6%)</t>
        </is>
      </c>
      <c r="K12" s="7" t="n"/>
      <c r="L12" s="7" t="n"/>
      <c r="M12" s="7" t="n"/>
      <c r="N12" s="7" t="n"/>
      <c r="O12" s="7" t="n"/>
      <c r="P12" s="9" t="n">
        <v>19.04</v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inlineStr">
        <is>
          <t>VAT (15%) on CIF+CET+CSC</t>
        </is>
      </c>
      <c r="K13" s="7" t="n"/>
      <c r="L13" s="7" t="n"/>
      <c r="M13" s="7" t="n"/>
      <c r="N13" s="7" t="n"/>
      <c r="O13" s="7" t="n"/>
      <c r="P13" s="9" t="n">
        <v>59.97</v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6" t="inlineStr">
        <is>
          <t>ESTIMATED TOTAL DUTIES</t>
        </is>
      </c>
      <c r="K14" s="10" t="n"/>
      <c r="L14" s="10" t="n"/>
      <c r="M14" s="10" t="n"/>
      <c r="N14" s="10" t="n"/>
      <c r="O14" s="10" t="n"/>
      <c r="P14" s="11" t="n">
        <v>142.47</v>
      </c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 t="inlineStr">
        <is>
          <t>Effective Duty Rate</t>
        </is>
      </c>
      <c r="K15" s="7" t="n"/>
      <c r="L15" s="7" t="n"/>
      <c r="M15" s="7" t="n"/>
      <c r="N15" s="7" t="n"/>
      <c r="O15" s="7" t="n"/>
      <c r="P15" s="12" t="n">
        <v>0.449035552193646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8" t="inlineStr">
        <is>
          <t>CLIENT DECLARED DUTIES</t>
        </is>
      </c>
      <c r="K16" s="7" t="n"/>
      <c r="L16" s="7" t="n"/>
      <c r="M16" s="7" t="n"/>
      <c r="N16" s="7" t="n"/>
      <c r="O16" s="7" t="n"/>
      <c r="P16" s="9" t="n">
        <v>90.95</v>
      </c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13" t="inlineStr">
        <is>
          <t>DUTY VARIANCE (Client − Estimated)</t>
        </is>
      </c>
      <c r="K17" s="7" t="n"/>
      <c r="L17" s="7" t="n"/>
      <c r="M17" s="7" t="n"/>
      <c r="N17" s="7" t="n"/>
      <c r="O17" s="7" t="n"/>
      <c r="P17" s="14" t="n">
        <v>-51.52</v>
      </c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8" t="inlineStr">
        <is>
          <t>IMPLIED CET RATE (from client value)</t>
        </is>
      </c>
      <c r="K18" s="7" t="n"/>
      <c r="L18" s="7" t="n"/>
      <c r="M18" s="7" t="n"/>
      <c r="N18" s="7" t="n"/>
      <c r="O18" s="7" t="n"/>
      <c r="P18" s="12" t="n">
        <v>0.05883071323642266</v>
      </c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13" t="inlineStr">
        <is>
          <t>⚠ CET MISMATCH: System=20% vs Client≈6% — review classification</t>
        </is>
      </c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8" t="inlineStr">
        <is>
          <t>IMPLIED CIF (from declared duty @ 20% CET, XCD)</t>
        </is>
      </c>
      <c r="K20" s="7" t="n"/>
      <c r="L20" s="7" t="n"/>
      <c r="M20" s="7" t="n"/>
      <c r="N20" s="7" t="n"/>
      <c r="O20" s="7" t="n"/>
      <c r="P20" s="9" t="n">
        <v>202.56</v>
      </c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8" t="inlineStr">
        <is>
          <t>IMPLIED ITEMS VALUE (USD, net of freight/insurance)</t>
        </is>
      </c>
      <c r="K21" s="7" t="n"/>
      <c r="L21" s="7" t="n"/>
      <c r="M21" s="7" t="n"/>
      <c r="N21" s="7" t="n"/>
      <c r="O21" s="7" t="n"/>
      <c r="P21" s="9" t="n">
        <v>57.56</v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</row>
    <row r="22"/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inlineStr">
        <is>
          <t>Items on other declaration(s) (2 items)</t>
        </is>
      </c>
      <c r="K23" s="15" t="n"/>
      <c r="L23" s="15" t="n"/>
      <c r="M23" s="15" t="n"/>
      <c r="N23" s="15" t="n"/>
      <c r="O23" s="15" t="n"/>
      <c r="P23" s="16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</row>
    <row r="24">
      <c r="A24" s="15" t="n"/>
      <c r="B24" s="15" t="n"/>
      <c r="C24" s="15" t="n"/>
      <c r="D24" s="15" t="n"/>
      <c r="E24" s="15" t="inlineStr">
        <is>
          <t>MARINE LIGHTING</t>
        </is>
      </c>
      <c r="F24" s="15" t="inlineStr">
        <is>
          <t>94054000</t>
        </is>
      </c>
      <c r="G24" s="15" t="n"/>
      <c r="H24" s="15" t="n"/>
      <c r="I24" s="15" t="n"/>
      <c r="J24" s="15" t="inlineStr">
        <is>
          <t>MESAILUP 16 Inch LED Lighted Liquor Bottle Display 2 Step Illuminated Bottle ... (+1 more) (2 items)</t>
        </is>
      </c>
      <c r="K24" s="15" t="n">
        <v>4</v>
      </c>
      <c r="L24" s="15" t="n"/>
      <c r="M24" s="15" t="n"/>
      <c r="N24" s="15" t="inlineStr">
        <is>
          <t>USD</t>
        </is>
      </c>
      <c r="O24" s="16" t="n">
        <v>79.98</v>
      </c>
      <c r="P24" s="16" t="n">
        <v>159.96</v>
      </c>
      <c r="Q24" s="16" t="n"/>
      <c r="R24" s="16" t="n"/>
      <c r="S24" s="16" t="n"/>
      <c r="T24" s="16" t="n"/>
      <c r="U24" s="16" t="n"/>
      <c r="V24" s="16" t="n"/>
      <c r="W24" s="16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inlineStr">
        <is>
          <t>AMZ-1</t>
        </is>
      </c>
      <c r="J25" s="17" t="inlineStr">
        <is>
          <t>MESAILUP 16 Inch LED Lighted Liquor Bottle Display 2 Step Illuminated Bottle ...</t>
        </is>
      </c>
      <c r="K25" s="17" t="n">
        <v>2</v>
      </c>
      <c r="L25" s="17" t="n"/>
      <c r="M25" s="17" t="n"/>
      <c r="N25" s="17" t="inlineStr">
        <is>
          <t>USD</t>
        </is>
      </c>
      <c r="O25" s="18" t="n">
        <v>39.99</v>
      </c>
      <c r="P25" s="18" t="n">
        <v>79.98</v>
      </c>
      <c r="Q25" s="18" t="n"/>
      <c r="R25" s="18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inlineStr">
        <is>
          <t>AMZ-1</t>
        </is>
      </c>
      <c r="J26" s="17" t="inlineStr">
        <is>
          <t>MESAILUP 16 Inch LED Lighted Liquor Bottle Display 2 Step Illuminated Bottle ...</t>
        </is>
      </c>
      <c r="K26" s="17" t="n">
        <v>2</v>
      </c>
      <c r="L26" s="17" t="n"/>
      <c r="M26" s="17" t="n"/>
      <c r="N26" s="17" t="inlineStr">
        <is>
          <t>USD</t>
        </is>
      </c>
      <c r="O26" s="18" t="n">
        <v>39.99</v>
      </c>
      <c r="P26" s="18" t="n">
        <v>79.98</v>
      </c>
      <c r="Q26" s="18" t="n"/>
      <c r="R26" s="18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</row>
    <row r="27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inlineStr">
        <is>
          <t>REFERENCE SUBTOTAL</t>
        </is>
      </c>
      <c r="K27" s="19" t="n"/>
      <c r="L27" s="19" t="n"/>
      <c r="M27" s="19" t="n"/>
      <c r="N27" s="19" t="n"/>
      <c r="O27" s="19" t="n"/>
      <c r="P27" s="20" t="n">
        <v>159.96</v>
      </c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n"/>
      <c r="AE27" s="19" t="n"/>
      <c r="AF27" s="19" t="n"/>
      <c r="AG27" s="19" t="n"/>
      <c r="AH27" s="19" t="n"/>
      <c r="AI27" s="19" t="n"/>
      <c r="AJ27" s="19" t="n"/>
      <c r="AK27" s="19" t="n"/>
    </row>
    <row r="28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inlineStr">
        <is>
          <t>REFERENCE FREIGHT</t>
        </is>
      </c>
      <c r="K28" s="19" t="n"/>
      <c r="L28" s="19" t="n"/>
      <c r="M28" s="19" t="n"/>
      <c r="N28" s="19" t="n"/>
      <c r="O28" s="19" t="n"/>
      <c r="P28" s="20" t="n">
        <v>34</v>
      </c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  <c r="AE28" s="19" t="n"/>
      <c r="AF28" s="19" t="n"/>
      <c r="AG28" s="19" t="n"/>
      <c r="AH28" s="19" t="n"/>
      <c r="AI28" s="19" t="n"/>
      <c r="AJ28" s="19" t="n"/>
      <c r="AK28" s="19" t="n"/>
    </row>
    <row r="29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inlineStr">
        <is>
          <t>REFERENCE INSURANCE</t>
        </is>
      </c>
      <c r="K29" s="19" t="n"/>
      <c r="L29" s="19" t="n"/>
      <c r="M29" s="19" t="n"/>
      <c r="N29" s="19" t="n"/>
      <c r="O29" s="19" t="n"/>
      <c r="P29" s="20" t="n">
        <v>0</v>
      </c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  <c r="AE29" s="19" t="n"/>
      <c r="AF29" s="19" t="n"/>
      <c r="AG29" s="19" t="n"/>
      <c r="AH29" s="19" t="n"/>
      <c r="AI29" s="19" t="n"/>
      <c r="AJ29" s="19" t="n"/>
      <c r="AK29" s="19" t="n"/>
    </row>
    <row r="30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inlineStr">
        <is>
          <t>REFERENCE OTHER COST</t>
        </is>
      </c>
      <c r="K30" s="19" t="n"/>
      <c r="L30" s="19" t="n"/>
      <c r="M30" s="19" t="n"/>
      <c r="N30" s="19" t="n"/>
      <c r="O30" s="19" t="n"/>
      <c r="P30" s="20" t="n">
        <v>5.6</v>
      </c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  <c r="AE30" s="19" t="n"/>
      <c r="AF30" s="19" t="n"/>
      <c r="AG30" s="19" t="n"/>
      <c r="AH30" s="19" t="n"/>
      <c r="AI30" s="19" t="n"/>
      <c r="AJ30" s="19" t="n"/>
      <c r="AK30" s="19" t="n"/>
    </row>
    <row r="31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inlineStr">
        <is>
          <t>REFERENCE DEDUCTION</t>
        </is>
      </c>
      <c r="K31" s="19" t="n"/>
      <c r="L31" s="19" t="n"/>
      <c r="M31" s="19" t="n"/>
      <c r="N31" s="19" t="n"/>
      <c r="O31" s="19" t="n"/>
      <c r="P31" s="20" t="n">
        <v>0</v>
      </c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  <c r="AA31" s="19" t="n"/>
      <c r="AB31" s="19" t="n"/>
      <c r="AC31" s="19" t="n"/>
      <c r="AD31" s="19" t="n"/>
      <c r="AE31" s="19" t="n"/>
      <c r="AF31" s="19" t="n"/>
      <c r="AG31" s="19" t="n"/>
      <c r="AH31" s="19" t="n"/>
      <c r="AI31" s="19" t="n"/>
      <c r="AJ31" s="19" t="n"/>
      <c r="AK31" s="19" t="n"/>
    </row>
    <row r="32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inlineStr">
        <is>
          <t>REFERENCE ADJUSTMENTS</t>
        </is>
      </c>
      <c r="K32" s="19" t="n"/>
      <c r="L32" s="19" t="n"/>
      <c r="M32" s="19" t="n"/>
      <c r="N32" s="19" t="n"/>
      <c r="O32" s="19" t="n"/>
      <c r="P32" s="20">
        <f>P28+P29+P30-P31</f>
        <v/>
      </c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19" t="n"/>
      <c r="AF32" s="19" t="n"/>
      <c r="AG32" s="19" t="n"/>
      <c r="AH32" s="19" t="n"/>
      <c r="AI32" s="19" t="n"/>
      <c r="AJ32" s="19" t="n"/>
      <c r="AK32" s="19" t="n"/>
    </row>
    <row r="33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inlineStr">
        <is>
          <t>REFERENCE NET TOTAL</t>
        </is>
      </c>
      <c r="K33" s="19" t="n"/>
      <c r="L33" s="19" t="n"/>
      <c r="M33" s="19" t="n"/>
      <c r="N33" s="19" t="n"/>
      <c r="O33" s="19" t="n"/>
      <c r="P33" s="20">
        <f>P27+P32</f>
        <v/>
      </c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  <c r="AA33" s="19" t="n"/>
      <c r="AB33" s="19" t="n"/>
      <c r="AC33" s="19" t="n"/>
      <c r="AD33" s="19" t="n"/>
      <c r="AE33" s="19" t="n"/>
      <c r="AF33" s="19" t="n"/>
      <c r="AG33" s="19" t="n"/>
      <c r="AH33" s="19" t="n"/>
      <c r="AI33" s="19" t="n"/>
      <c r="AJ33" s="19" t="n"/>
      <c r="AK33" s="19" t="n"/>
    </row>
    <row r="35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inlineStr">
        <is>
          <t>COMBINED ITEMS TOTAL</t>
        </is>
      </c>
      <c r="K35" s="19" t="n"/>
      <c r="L35" s="19" t="n"/>
      <c r="M35" s="19" t="n"/>
      <c r="N35" s="19" t="n"/>
      <c r="O35" s="19" t="n"/>
      <c r="P35" s="20">
        <f>P3+P27</f>
        <v/>
      </c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  <c r="AA35" s="19" t="n"/>
      <c r="AB35" s="19" t="n"/>
      <c r="AC35" s="19" t="n"/>
      <c r="AD35" s="19" t="n"/>
      <c r="AE35" s="19" t="n"/>
      <c r="AF35" s="19" t="n"/>
      <c r="AG35" s="19" t="n"/>
      <c r="AH35" s="19" t="n"/>
      <c r="AI35" s="19" t="n"/>
      <c r="AJ35" s="19" t="n"/>
      <c r="AK35" s="19" t="n"/>
    </row>
    <row r="36">
      <c r="A36" s="19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inlineStr">
        <is>
          <t>FULL INVOICE FREIGHT</t>
        </is>
      </c>
      <c r="K36" s="19" t="n"/>
      <c r="L36" s="19" t="n"/>
      <c r="M36" s="19" t="n"/>
      <c r="N36" s="19" t="n"/>
      <c r="O36" s="19" t="n"/>
      <c r="P36" s="20">
        <f>T2+P28</f>
        <v/>
      </c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  <c r="AA36" s="19" t="n"/>
      <c r="AB36" s="19" t="n"/>
      <c r="AC36" s="19" t="n"/>
      <c r="AD36" s="19" t="n"/>
      <c r="AE36" s="19" t="n"/>
      <c r="AF36" s="19" t="n"/>
      <c r="AG36" s="19" t="n"/>
      <c r="AH36" s="19" t="n"/>
      <c r="AI36" s="19" t="n"/>
      <c r="AJ36" s="19" t="n"/>
      <c r="AK36" s="19" t="n"/>
    </row>
    <row r="37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inlineStr">
        <is>
          <t>FULL INVOICE INSURANCE</t>
        </is>
      </c>
      <c r="K37" s="19" t="n"/>
      <c r="L37" s="19" t="n"/>
      <c r="M37" s="19" t="n"/>
      <c r="N37" s="19" t="n"/>
      <c r="O37" s="19" t="n"/>
      <c r="P37" s="20">
        <f>U2+P29</f>
        <v/>
      </c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  <c r="AA37" s="19" t="n"/>
      <c r="AB37" s="19" t="n"/>
      <c r="AC37" s="19" t="n"/>
      <c r="AD37" s="19" t="n"/>
      <c r="AE37" s="19" t="n"/>
      <c r="AF37" s="19" t="n"/>
      <c r="AG37" s="19" t="n"/>
      <c r="AH37" s="19" t="n"/>
      <c r="AI37" s="19" t="n"/>
      <c r="AJ37" s="19" t="n"/>
      <c r="AK37" s="19" t="n"/>
    </row>
    <row r="38">
      <c r="A38" s="19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inlineStr">
        <is>
          <t>FULL INVOICE OTHER COST</t>
        </is>
      </c>
      <c r="K38" s="19" t="n"/>
      <c r="L38" s="19" t="n"/>
      <c r="M38" s="19" t="n"/>
      <c r="N38" s="19" t="n"/>
      <c r="O38" s="19" t="n"/>
      <c r="P38" s="20">
        <f>V2+P30</f>
        <v/>
      </c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  <c r="AA38" s="19" t="n"/>
      <c r="AB38" s="19" t="n"/>
      <c r="AC38" s="19" t="n"/>
      <c r="AD38" s="19" t="n"/>
      <c r="AE38" s="19" t="n"/>
      <c r="AF38" s="19" t="n"/>
      <c r="AG38" s="19" t="n"/>
      <c r="AH38" s="19" t="n"/>
      <c r="AI38" s="19" t="n"/>
      <c r="AJ38" s="19" t="n"/>
      <c r="AK38" s="19" t="n"/>
    </row>
    <row r="39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inlineStr">
        <is>
          <t>FULL INVOICE DEDUCTION</t>
        </is>
      </c>
      <c r="K39" s="19" t="n"/>
      <c r="L39" s="19" t="n"/>
      <c r="M39" s="19" t="n"/>
      <c r="N39" s="19" t="n"/>
      <c r="O39" s="19" t="n"/>
      <c r="P39" s="20">
        <f>W2+P31</f>
        <v/>
      </c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  <c r="AA39" s="19" t="n"/>
      <c r="AB39" s="19" t="n"/>
      <c r="AC39" s="19" t="n"/>
      <c r="AD39" s="19" t="n"/>
      <c r="AE39" s="19" t="n"/>
      <c r="AF39" s="19" t="n"/>
      <c r="AG39" s="19" t="n"/>
      <c r="AH39" s="19" t="n"/>
      <c r="AI39" s="19" t="n"/>
      <c r="AJ39" s="19" t="n"/>
      <c r="AK39" s="19" t="n"/>
    </row>
    <row r="40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inlineStr">
        <is>
          <t>FULL ADJUSTMENTS</t>
        </is>
      </c>
      <c r="K40" s="19" t="n"/>
      <c r="L40" s="19" t="n"/>
      <c r="M40" s="19" t="n"/>
      <c r="N40" s="19" t="n"/>
      <c r="O40" s="19" t="n"/>
      <c r="P40" s="20">
        <f>P36+P37+P38-P39</f>
        <v/>
      </c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  <c r="AA40" s="19" t="n"/>
      <c r="AB40" s="19" t="n"/>
      <c r="AC40" s="19" t="n"/>
      <c r="AD40" s="19" t="n"/>
      <c r="AE40" s="19" t="n"/>
      <c r="AF40" s="19" t="n"/>
      <c r="AG40" s="19" t="n"/>
      <c r="AH40" s="19" t="n"/>
      <c r="AI40" s="19" t="n"/>
      <c r="AJ40" s="19" t="n"/>
      <c r="AK40" s="19" t="n"/>
    </row>
    <row r="41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inlineStr">
        <is>
          <t>COMBINED NET TOTAL</t>
        </is>
      </c>
      <c r="K41" s="19" t="n"/>
      <c r="L41" s="19" t="n"/>
      <c r="M41" s="19" t="n"/>
      <c r="N41" s="19" t="n"/>
      <c r="O41" s="19" t="n"/>
      <c r="P41" s="20">
        <f>P35+P40</f>
        <v/>
      </c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  <c r="AA41" s="19" t="n"/>
      <c r="AB41" s="19" t="n"/>
      <c r="AC41" s="19" t="n"/>
      <c r="AD41" s="19" t="n"/>
      <c r="AE41" s="19" t="n"/>
      <c r="AF41" s="19" t="n"/>
      <c r="AG41" s="19" t="n"/>
      <c r="AH41" s="19" t="n"/>
      <c r="AI41" s="19" t="n"/>
      <c r="AJ41" s="19" t="n"/>
      <c r="AK41" s="19" t="n"/>
    </row>
    <row r="42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inlineStr">
        <is>
          <t>FULL INVOICE TOTAL</t>
        </is>
      </c>
      <c r="K42" s="19" t="n"/>
      <c r="L42" s="19" t="n"/>
      <c r="M42" s="19" t="n"/>
      <c r="N42" s="19" t="n"/>
      <c r="O42" s="19" t="n"/>
      <c r="P42" s="20" t="n">
        <v>299.34</v>
      </c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9" t="n"/>
      <c r="AE42" s="19" t="n"/>
      <c r="AF42" s="19" t="n"/>
      <c r="AG42" s="19" t="n"/>
      <c r="AH42" s="19" t="n"/>
      <c r="AI42" s="19" t="n"/>
      <c r="AJ42" s="19" t="n"/>
      <c r="AK42" s="19" t="n"/>
    </row>
    <row r="43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inlineStr">
        <is>
          <t>COMBINED VARIANCE CHECK</t>
        </is>
      </c>
      <c r="K43" s="19" t="n"/>
      <c r="L43" s="19" t="n"/>
      <c r="M43" s="19" t="n"/>
      <c r="N43" s="19" t="n"/>
      <c r="O43" s="19" t="n"/>
      <c r="P43" s="20">
        <f>P42-P41</f>
        <v/>
      </c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n"/>
      <c r="AE43" s="19" t="n"/>
      <c r="AF43" s="19" t="n"/>
      <c r="AG43" s="19" t="n"/>
      <c r="AH43" s="19" t="n"/>
      <c r="AI43" s="19" t="n"/>
      <c r="AJ43" s="19" t="n"/>
      <c r="AK43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2026-04-26T17:54:39Z</dcterms:created>
  <dcterms:modified xmlns:dcterms="http://purl.org/dc/terms/" xmlns:xsi="http://www.w3.org/2001/XMLSchema-instance" xsi:type="dcterms:W3CDTF">2026-04-26T17:54:39Z</dcterms:modified>
</cp:coreProperties>
</file>