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111-8019845-2302666</t>
        </is>
      </c>
      <c r="D2" s="2" t="inlineStr"/>
      <c r="E2" s="2" t="inlineStr">
        <is>
          <t>MARINE LIGHTING</t>
        </is>
      </c>
      <c r="F2" s="2" t="inlineStr">
        <is>
          <t>94054000</t>
        </is>
      </c>
      <c r="G2" s="2" t="inlineStr"/>
      <c r="H2" s="2" t="inlineStr"/>
      <c r="I2" s="2" t="inlineStr">
        <is>
          <t>AMZ-1</t>
        </is>
      </c>
      <c r="J2" s="2" t="inlineStr">
        <is>
          <t>MESAILUP 16 Inch LED Lighted Liquor Bottle Display 2 Step Illuminated Bottle ...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39.99</v>
      </c>
      <c r="P2" s="3" t="n">
        <v>79.98</v>
      </c>
      <c r="Q2" s="3">
        <f>O2*K2</f>
        <v/>
      </c>
      <c r="R2" s="3">
        <f>P2-Q2</f>
        <v/>
      </c>
      <c r="S2" s="3" t="n">
        <v>99.78</v>
      </c>
      <c r="T2" s="3" t="n">
        <v>17</v>
      </c>
      <c r="U2" s="3" t="n">
        <v>0</v>
      </c>
      <c r="V2" s="3" t="n">
        <v>2.8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94054000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116.78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317.28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94054000</t>
        </is>
      </c>
      <c r="K11" s="7" t="n"/>
      <c r="L11" s="7" t="n"/>
      <c r="M11" s="7" t="n"/>
      <c r="N11" s="7" t="n"/>
      <c r="O11" s="7" t="n"/>
      <c r="P11" s="9" t="n">
        <v>63.46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19.04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59.97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142.47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0.449035552193646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(2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MARINE LIGHTING</t>
        </is>
      </c>
      <c r="F18" s="13" t="inlineStr">
        <is>
          <t>94054000</t>
        </is>
      </c>
      <c r="G18" s="13" t="n"/>
      <c r="H18" s="13" t="n"/>
      <c r="I18" s="13" t="n"/>
      <c r="J18" s="13" t="inlineStr">
        <is>
          <t>MESAILUP 16 Inch LED Lighted Liquor Bottle Display 2 Step Illuminated Bottle ... (+1 more) (2 items)</t>
        </is>
      </c>
      <c r="K18" s="13" t="n">
        <v>4</v>
      </c>
      <c r="L18" s="13" t="n"/>
      <c r="M18" s="13" t="n"/>
      <c r="N18" s="13" t="inlineStr">
        <is>
          <t>USD</t>
        </is>
      </c>
      <c r="O18" s="14" t="n">
        <v>79.98</v>
      </c>
      <c r="P18" s="14" t="n">
        <v>159.96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AMZ-1</t>
        </is>
      </c>
      <c r="J19" s="15" t="inlineStr">
        <is>
          <t>MESAILUP 16 Inch LED Lighted Liquor Bottle Display 2 Step Illuminated Bottle ...</t>
        </is>
      </c>
      <c r="K19" s="15" t="n">
        <v>2</v>
      </c>
      <c r="L19" s="15" t="n"/>
      <c r="M19" s="15" t="n"/>
      <c r="N19" s="15" t="inlineStr">
        <is>
          <t>USD</t>
        </is>
      </c>
      <c r="O19" s="16" t="n">
        <v>39.99</v>
      </c>
      <c r="P19" s="16" t="n">
        <v>79.98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inlineStr">
        <is>
          <t>AMZ-1</t>
        </is>
      </c>
      <c r="J20" s="15" t="inlineStr">
        <is>
          <t>MESAILUP 16 Inch LED Lighted Liquor Bottle Display 2 Step Illuminated Bottle ...</t>
        </is>
      </c>
      <c r="K20" s="15" t="n">
        <v>2</v>
      </c>
      <c r="L20" s="15" t="n"/>
      <c r="M20" s="15" t="n"/>
      <c r="N20" s="15" t="inlineStr">
        <is>
          <t>USD</t>
        </is>
      </c>
      <c r="O20" s="16" t="n">
        <v>39.99</v>
      </c>
      <c r="P20" s="16" t="n">
        <v>79.98</v>
      </c>
      <c r="Q20" s="16" t="n"/>
      <c r="R20" s="16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inlineStr">
        <is>
          <t>REFERENCE SUBTOTAL</t>
        </is>
      </c>
      <c r="K21" s="17" t="n"/>
      <c r="L21" s="17" t="n"/>
      <c r="M21" s="17" t="n"/>
      <c r="N21" s="17" t="n"/>
      <c r="O21" s="17" t="n"/>
      <c r="P21" s="18" t="n">
        <v>159.96</v>
      </c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inlineStr">
        <is>
          <t>REFERENCE FREIGHT</t>
        </is>
      </c>
      <c r="K22" s="17" t="n"/>
      <c r="L22" s="17" t="n"/>
      <c r="M22" s="17" t="n"/>
      <c r="N22" s="17" t="n"/>
      <c r="O22" s="17" t="n"/>
      <c r="P22" s="18" t="n">
        <v>34</v>
      </c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inlineStr">
        <is>
          <t>REFERENCE INSURANCE</t>
        </is>
      </c>
      <c r="K23" s="17" t="n"/>
      <c r="L23" s="17" t="n"/>
      <c r="M23" s="17" t="n"/>
      <c r="N23" s="17" t="n"/>
      <c r="O23" s="17" t="n"/>
      <c r="P23" s="18" t="n">
        <v>0</v>
      </c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inlineStr">
        <is>
          <t>REFERENCE OTHER COST</t>
        </is>
      </c>
      <c r="K24" s="17" t="n"/>
      <c r="L24" s="17" t="n"/>
      <c r="M24" s="17" t="n"/>
      <c r="N24" s="17" t="n"/>
      <c r="O24" s="17" t="n"/>
      <c r="P24" s="18" t="n">
        <v>5.6</v>
      </c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inlineStr">
        <is>
          <t>REFERENCE DEDUCTION</t>
        </is>
      </c>
      <c r="K25" s="17" t="n"/>
      <c r="L25" s="17" t="n"/>
      <c r="M25" s="17" t="n"/>
      <c r="N25" s="17" t="n"/>
      <c r="O25" s="17" t="n"/>
      <c r="P25" s="18" t="n">
        <v>0</v>
      </c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inlineStr">
        <is>
          <t>REFERENCE ADJUSTMENTS</t>
        </is>
      </c>
      <c r="K26" s="17" t="n"/>
      <c r="L26" s="17" t="n"/>
      <c r="M26" s="17" t="n"/>
      <c r="N26" s="17" t="n"/>
      <c r="O26" s="17" t="n"/>
      <c r="P26" s="18">
        <f>P22+P23+P24-P25</f>
        <v/>
      </c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REFERENCE NET TOTAL</t>
        </is>
      </c>
      <c r="K27" s="17" t="n"/>
      <c r="L27" s="17" t="n"/>
      <c r="M27" s="17" t="n"/>
      <c r="N27" s="17" t="n"/>
      <c r="O27" s="17" t="n"/>
      <c r="P27" s="18">
        <f>P21+P26</f>
        <v/>
      </c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COMBINED ITEMS TOTAL</t>
        </is>
      </c>
      <c r="K29" s="17" t="n"/>
      <c r="L29" s="17" t="n"/>
      <c r="M29" s="17" t="n"/>
      <c r="N29" s="17" t="n"/>
      <c r="O29" s="17" t="n"/>
      <c r="P29" s="18">
        <f>P3+P21</f>
        <v/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inlineStr">
        <is>
          <t>FULL INVOICE FREIGHT</t>
        </is>
      </c>
      <c r="K30" s="17" t="n"/>
      <c r="L30" s="17" t="n"/>
      <c r="M30" s="17" t="n"/>
      <c r="N30" s="17" t="n"/>
      <c r="O30" s="17" t="n"/>
      <c r="P30" s="18">
        <f>T2+P22</f>
        <v/>
      </c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FULL INVOICE INSURANCE</t>
        </is>
      </c>
      <c r="K31" s="17" t="n"/>
      <c r="L31" s="17" t="n"/>
      <c r="M31" s="17" t="n"/>
      <c r="N31" s="17" t="n"/>
      <c r="O31" s="17" t="n"/>
      <c r="P31" s="18">
        <f>U2+P23</f>
        <v/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FULL INVOICE OTHER COST</t>
        </is>
      </c>
      <c r="K32" s="17" t="n"/>
      <c r="L32" s="17" t="n"/>
      <c r="M32" s="17" t="n"/>
      <c r="N32" s="17" t="n"/>
      <c r="O32" s="17" t="n"/>
      <c r="P32" s="18">
        <f>V2+P24</f>
        <v/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FULL INVOICE DEDUCTION</t>
        </is>
      </c>
      <c r="K33" s="17" t="n"/>
      <c r="L33" s="17" t="n"/>
      <c r="M33" s="17" t="n"/>
      <c r="N33" s="17" t="n"/>
      <c r="O33" s="17" t="n"/>
      <c r="P33" s="18">
        <f>W2+P25</f>
        <v/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inlineStr">
        <is>
          <t>FULL ADJUSTMENTS</t>
        </is>
      </c>
      <c r="K34" s="17" t="n"/>
      <c r="L34" s="17" t="n"/>
      <c r="M34" s="17" t="n"/>
      <c r="N34" s="17" t="n"/>
      <c r="O34" s="17" t="n"/>
      <c r="P34" s="18">
        <f>P30+P31+P32-P33</f>
        <v/>
      </c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inlineStr">
        <is>
          <t>COMBINED NET TOTAL</t>
        </is>
      </c>
      <c r="K35" s="17" t="n"/>
      <c r="L35" s="17" t="n"/>
      <c r="M35" s="17" t="n"/>
      <c r="N35" s="17" t="n"/>
      <c r="O35" s="17" t="n"/>
      <c r="P35" s="18">
        <f>P29+P34</f>
        <v/>
      </c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inlineStr">
        <is>
          <t>FULL INVOICE TOTAL</t>
        </is>
      </c>
      <c r="K36" s="17" t="n"/>
      <c r="L36" s="17" t="n"/>
      <c r="M36" s="17" t="n"/>
      <c r="N36" s="17" t="n"/>
      <c r="O36" s="17" t="n"/>
      <c r="P36" s="18" t="n">
        <v>299.34</v>
      </c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COMBINED VARIANCE CHECK</t>
        </is>
      </c>
      <c r="K37" s="17" t="n"/>
      <c r="L37" s="17" t="n"/>
      <c r="M37" s="17" t="n"/>
      <c r="N37" s="17" t="n"/>
      <c r="O37" s="17" t="n"/>
      <c r="P37" s="18">
        <f>P36-P35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2026-04-26T17:54:39Z</dcterms:created>
  <dcterms:modified xmlns:dcterms="http://purl.org/dc/terms/" xmlns:xsi="http://www.w3.org/2001/XMLSchema-instance" xsi:type="dcterms:W3CDTF">2026-04-26T17:54:39Z</dcterms:modified>
</cp:coreProperties>
</file>