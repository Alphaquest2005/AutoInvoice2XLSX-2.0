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9C5700"/>
      <sz val="11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  <font>
      <b val="1"/>
      <color rgb="009C0006"/>
    </font>
    <font>
      <b val="1"/>
      <color rgb="00FF0000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CC"/>
        <bgColor rgb="00FFEB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0" fillId="5" borderId="0" pivotButton="0" quotePrefix="0" xfId="0"/>
    <xf numFmtId="0" fontId="0" fillId="6" borderId="1" pivotButton="0" quotePrefix="0" xfId="0"/>
    <xf numFmtId="0" fontId="8" fillId="6" borderId="1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14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112-9925042-2903468</t>
        </is>
      </c>
      <c r="D2" s="2" t="n"/>
      <c r="E2" s="2" t="inlineStr">
        <is>
          <t>Unspecified miscellaneous goods</t>
        </is>
      </c>
      <c r="F2" s="2" t="inlineStr">
        <is>
          <t>00000000</t>
        </is>
      </c>
      <c r="G2" s="2" t="n"/>
      <c r="H2" s="2" t="n"/>
      <c r="I2" s="2" t="inlineStr">
        <is>
          <t>00000000</t>
        </is>
      </c>
      <c r="J2" s="2" t="inlineStr">
        <is>
          <t>TEMU Purchase (1 items)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TEM-1</t>
        </is>
      </c>
      <c r="J3" s="4" t="inlineStr">
        <is>
          <t>TEMU Purchase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0.01</v>
      </c>
      <c r="P3" s="5" t="n">
        <v>0.01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0.01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0.03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00000000</t>
        </is>
      </c>
      <c r="K22" s="13" t="n"/>
      <c r="L22" s="13" t="n"/>
      <c r="M22" s="13" t="n"/>
      <c r="N22" s="13" t="n"/>
      <c r="O22" s="13" t="n"/>
      <c r="P22" s="15" t="n">
        <v>0.01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0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0.01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0.02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0.6666666666666667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2" t="inlineStr">
        <is>
          <t>4000-000</t>
        </is>
      </c>
      <c r="B28" s="2" t="n"/>
      <c r="C28" s="2" t="inlineStr">
        <is>
          <t>112-9925042-2903468</t>
        </is>
      </c>
      <c r="D28" s="2" t="inlineStr">
        <is>
          <t>2024-07-02</t>
        </is>
      </c>
      <c r="E28" s="2" t="inlineStr">
        <is>
          <t>Other Of synthetic fibres</t>
        </is>
      </c>
      <c r="F28" s="2" t="inlineStr">
        <is>
          <t>62093090</t>
        </is>
      </c>
      <c r="G28" s="2" t="n"/>
      <c r="H28" s="2" t="n"/>
      <c r="I28" s="2" t="inlineStr">
        <is>
          <t>62093090</t>
        </is>
      </c>
      <c r="J28" s="2" t="inlineStr">
        <is>
          <t>GLASH Kids Toddler Boys Pants, Cotton Joggers, 4-Pack, Grey Camo, 5T O23S (1 items)</t>
        </is>
      </c>
      <c r="K28" s="2" t="n">
        <v>1</v>
      </c>
      <c r="L28" s="2" t="n"/>
      <c r="M28" s="2" t="n"/>
      <c r="N28" s="2" t="inlineStr">
        <is>
          <t>USD</t>
        </is>
      </c>
      <c r="O28" s="3" t="n">
        <v>29.49</v>
      </c>
      <c r="P28" s="3" t="n">
        <v>29.49</v>
      </c>
      <c r="Q28" s="3">
        <f>O28*K28</f>
        <v/>
      </c>
      <c r="R28" s="3">
        <f>P28-Q28</f>
        <v/>
      </c>
      <c r="S28" s="3" t="n">
        <v>170.88</v>
      </c>
      <c r="T28" s="3" t="n">
        <v>0</v>
      </c>
      <c r="U28" s="3" t="n">
        <v>-13.9</v>
      </c>
      <c r="V28" s="3" t="n">
        <v>8.23</v>
      </c>
      <c r="W28" s="3" t="n">
        <v>0</v>
      </c>
      <c r="X28" s="2" t="n"/>
      <c r="Y28" s="2" t="n"/>
      <c r="Z28" s="2" t="inlineStr">
        <is>
          <t>AMAZON</t>
        </is>
      </c>
      <c r="AA28" s="2" t="inlineStr">
        <is>
          <t>Amazon.com</t>
        </is>
      </c>
      <c r="AB28" s="2" t="inlineStr">
        <is>
          <t>410 Terry Avenue North, Seattle, WA 98109</t>
        </is>
      </c>
      <c r="AC28" s="2" t="inlineStr">
        <is>
          <t>US</t>
        </is>
      </c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62093090</t>
        </is>
      </c>
    </row>
    <row r="29">
      <c r="A29" s="4" t="n"/>
      <c r="B29" s="4" t="n"/>
      <c r="C29" s="4" t="n"/>
      <c r="D29" s="4" t="n"/>
      <c r="E29" s="4" t="n"/>
      <c r="F29" s="4" t="inlineStr">
        <is>
          <t>62093090</t>
        </is>
      </c>
      <c r="G29" s="4" t="n"/>
      <c r="H29" s="4" t="n"/>
      <c r="I29" s="4" t="inlineStr">
        <is>
          <t>AMZ-1</t>
        </is>
      </c>
      <c r="J29" s="4" t="inlineStr">
        <is>
          <t>GLASH Kids Toddler Boys Pants, Cotton Joggers, 4-Pack, Grey Camo, 5T O23S</t>
        </is>
      </c>
      <c r="K29" s="4" t="n">
        <v>1</v>
      </c>
      <c r="L29" s="4" t="n"/>
      <c r="M29" s="4" t="n"/>
      <c r="N29" s="4" t="inlineStr">
        <is>
          <t>USD</t>
        </is>
      </c>
      <c r="O29" s="5" t="n">
        <v>29.49</v>
      </c>
      <c r="P29" s="5" t="n">
        <v>29.49</v>
      </c>
      <c r="Q29" s="5">
        <f>O29*K29</f>
        <v/>
      </c>
      <c r="R29" s="5">
        <f>P29-Q29</f>
        <v/>
      </c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s="2" t="n"/>
      <c r="B30" s="2" t="n"/>
      <c r="C30" s="2" t="inlineStr">
        <is>
          <t>112-9925042-2903468</t>
        </is>
      </c>
      <c r="D30" s="2" t="inlineStr">
        <is>
          <t>2024-07-02</t>
        </is>
      </c>
      <c r="E30" s="2" t="inlineStr">
        <is>
          <t>ELECTRICAL APPLIANCES</t>
        </is>
      </c>
      <c r="F30" s="2" t="inlineStr">
        <is>
          <t>85044000</t>
        </is>
      </c>
      <c r="G30" s="2" t="n"/>
      <c r="H30" s="2" t="n"/>
      <c r="I30" s="2" t="inlineStr">
        <is>
          <t>85044000</t>
        </is>
      </c>
      <c r="J30" s="2" t="inlineStr">
        <is>
          <t>MSR Portable Charger, Power Bank 30000mAh Battery Pack with 22.5W Fast Chargi... (+2 more) (3 items)</t>
        </is>
      </c>
      <c r="K30" s="2" t="n">
        <v>3</v>
      </c>
      <c r="L30" s="2" t="n"/>
      <c r="M30" s="2" t="n"/>
      <c r="N30" s="2" t="inlineStr">
        <is>
          <t>USD</t>
        </is>
      </c>
      <c r="O30" s="3" t="n">
        <v>33.98666666666667</v>
      </c>
      <c r="P30" s="3" t="n">
        <v>101.96</v>
      </c>
      <c r="Q30" s="3">
        <f>O30*K30</f>
        <v/>
      </c>
      <c r="R30" s="3">
        <f>P30-Q30</f>
        <v/>
      </c>
      <c r="S30" s="3" t="n"/>
      <c r="T30" s="3" t="n"/>
      <c r="U30" s="3" t="n"/>
      <c r="V30" s="3" t="n"/>
      <c r="W30" s="3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85044000</t>
        </is>
      </c>
    </row>
    <row r="31">
      <c r="A31" s="4" t="n"/>
      <c r="B31" s="4" t="n"/>
      <c r="C31" s="4" t="n"/>
      <c r="D31" s="4" t="n"/>
      <c r="E31" s="4" t="n"/>
      <c r="F31" s="4" t="inlineStr">
        <is>
          <t>85044000</t>
        </is>
      </c>
      <c r="G31" s="4" t="n"/>
      <c r="H31" s="4" t="n"/>
      <c r="I31" s="4" t="inlineStr">
        <is>
          <t>AMZ-2</t>
        </is>
      </c>
      <c r="J31" s="4" t="inlineStr">
        <is>
          <t>MSR Portable Charger, Power Bank 30000mAh Battery Pack with 22.5W Fast Chargi...</t>
        </is>
      </c>
      <c r="K31" s="4" t="n">
        <v>1</v>
      </c>
      <c r="L31" s="4" t="n"/>
      <c r="M31" s="4" t="n"/>
      <c r="N31" s="4" t="inlineStr">
        <is>
          <t>USD</t>
        </is>
      </c>
      <c r="O31" s="5" t="n">
        <v>37.99</v>
      </c>
      <c r="P31" s="5" t="n">
        <v>37.99</v>
      </c>
      <c r="Q31" s="5">
        <f>O31*K31</f>
        <v/>
      </c>
      <c r="R31" s="5">
        <f>P31-Q31</f>
        <v/>
      </c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4" t="n"/>
      <c r="B32" s="4" t="n"/>
      <c r="C32" s="4" t="n"/>
      <c r="D32" s="4" t="n"/>
      <c r="E32" s="4" t="n"/>
      <c r="F32" s="4" t="inlineStr">
        <is>
          <t>85044000</t>
        </is>
      </c>
      <c r="G32" s="4" t="n"/>
      <c r="H32" s="4" t="n"/>
      <c r="I32" s="4" t="inlineStr">
        <is>
          <t>AMZ-3</t>
        </is>
      </c>
      <c r="J32" s="4" t="inlineStr">
        <is>
          <t>Portable-Charger-Power-Bank - 50000mAh Powerbank PD 30W and QC 4.0 Fast Charg...</t>
        </is>
      </c>
      <c r="K32" s="4" t="n">
        <v>1</v>
      </c>
      <c r="L32" s="4" t="n"/>
      <c r="M32" s="4" t="n"/>
      <c r="N32" s="4" t="inlineStr">
        <is>
          <t>USD</t>
        </is>
      </c>
      <c r="O32" s="5" t="n">
        <v>39.99</v>
      </c>
      <c r="P32" s="5" t="n">
        <v>39.99</v>
      </c>
      <c r="Q32" s="5">
        <f>O32*K32</f>
        <v/>
      </c>
      <c r="R32" s="5">
        <f>P32-Q32</f>
        <v/>
      </c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s="4" t="n"/>
      <c r="B33" s="4" t="n"/>
      <c r="C33" s="4" t="n"/>
      <c r="D33" s="4" t="n"/>
      <c r="E33" s="4" t="n"/>
      <c r="F33" s="4" t="inlineStr">
        <is>
          <t>85044000</t>
        </is>
      </c>
      <c r="G33" s="4" t="n"/>
      <c r="H33" s="4" t="n"/>
      <c r="I33" s="4" t="inlineStr">
        <is>
          <t>AMZ-4</t>
        </is>
      </c>
      <c r="J33" s="4" t="inlineStr">
        <is>
          <t>VEEKTOMX Portable Charger with Built-in Cables, 10000mAh Power Bank for iPhon...</t>
        </is>
      </c>
      <c r="K33" s="4" t="n">
        <v>1</v>
      </c>
      <c r="L33" s="4" t="n"/>
      <c r="M33" s="4" t="n"/>
      <c r="N33" s="4" t="inlineStr">
        <is>
          <t>USD</t>
        </is>
      </c>
      <c r="O33" s="5" t="n">
        <v>23.98</v>
      </c>
      <c r="P33" s="5" t="n">
        <v>23.98</v>
      </c>
      <c r="Q33" s="5">
        <f>O33*K33</f>
        <v/>
      </c>
      <c r="R33" s="5">
        <f>P33-Q33</f>
        <v/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2" t="n"/>
      <c r="B34" s="2" t="n"/>
      <c r="C34" s="2" t="inlineStr">
        <is>
          <t>112-9925042-2903468</t>
        </is>
      </c>
      <c r="D34" s="2" t="inlineStr">
        <is>
          <t>2024-07-02</t>
        </is>
      </c>
      <c r="E34" s="2" t="inlineStr">
        <is>
          <t>Plastics</t>
        </is>
      </c>
      <c r="F34" s="2" t="inlineStr">
        <is>
          <t>39241090</t>
        </is>
      </c>
      <c r="G34" s="2" t="n"/>
      <c r="H34" s="2" t="n"/>
      <c r="I34" s="2" t="inlineStr">
        <is>
          <t>39241090</t>
        </is>
      </c>
      <c r="J34" s="2" t="inlineStr">
        <is>
          <t>Zak Designs 160z Riverside Kids Water Bottle with Spout Cover and Built-in Ca... (1 items)</t>
        </is>
      </c>
      <c r="K34" s="2" t="n">
        <v>1</v>
      </c>
      <c r="L34" s="2" t="n"/>
      <c r="M34" s="2" t="n"/>
      <c r="N34" s="2" t="inlineStr">
        <is>
          <t>USD</t>
        </is>
      </c>
      <c r="O34" s="3" t="n">
        <v>45.1</v>
      </c>
      <c r="P34" s="3" t="n">
        <v>45.1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39241090</t>
        </is>
      </c>
    </row>
    <row r="35">
      <c r="A35" s="4" t="n"/>
      <c r="B35" s="4" t="n"/>
      <c r="C35" s="4" t="n"/>
      <c r="D35" s="4" t="n"/>
      <c r="E35" s="4" t="n"/>
      <c r="F35" s="4" t="inlineStr">
        <is>
          <t>39241090</t>
        </is>
      </c>
      <c r="G35" s="4" t="n"/>
      <c r="H35" s="4" t="n"/>
      <c r="I35" s="4" t="inlineStr">
        <is>
          <t>AMZ-5</t>
        </is>
      </c>
      <c r="J35" s="4" t="inlineStr">
        <is>
          <t>Zak Designs 160z Riverside Kids Water Bottle with Spout Cover and Built-in Ca...</t>
        </is>
      </c>
      <c r="K35" s="4" t="n">
        <v>1</v>
      </c>
      <c r="L35" s="4" t="n"/>
      <c r="M35" s="4" t="n"/>
      <c r="N35" s="4" t="inlineStr">
        <is>
          <t>USD</t>
        </is>
      </c>
      <c r="O35" s="5" t="n">
        <v>45.1</v>
      </c>
      <c r="P35" s="5" t="n">
        <v>45.1</v>
      </c>
      <c r="Q35" s="5">
        <f>O35*K35</f>
        <v/>
      </c>
      <c r="R35" s="5">
        <f>P35-Q35</f>
        <v/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inlineStr">
        <is>
          <t>SUBTOTAL (GROUPED)</t>
        </is>
      </c>
      <c r="K36" s="6" t="n"/>
      <c r="L36" s="6" t="n"/>
      <c r="M36" s="6" t="n"/>
      <c r="N36" s="6" t="n"/>
      <c r="O36" s="6" t="n"/>
      <c r="P36" s="7">
        <f>P28+P30+P34</f>
        <v/>
      </c>
      <c r="Q36" s="7">
        <f>Q28+Q30+Q34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inlineStr">
        <is>
          <t>SUBTOTAL (DETAILS)</t>
        </is>
      </c>
      <c r="K37" s="6" t="n"/>
      <c r="L37" s="6" t="n"/>
      <c r="M37" s="6" t="n"/>
      <c r="N37" s="6" t="n"/>
      <c r="O37" s="6" t="n"/>
      <c r="P37" s="7">
        <f>SUM(P28:P35)-P36</f>
        <v/>
      </c>
      <c r="Q37" s="7">
        <f>SUM(Q28:Q35)-Q36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inlineStr">
        <is>
          <t>GROUP VERIFICATION</t>
        </is>
      </c>
      <c r="K38" s="8" t="n"/>
      <c r="L38" s="8" t="n"/>
      <c r="M38" s="8" t="n"/>
      <c r="N38" s="8" t="n"/>
      <c r="O38" s="8" t="n"/>
      <c r="P38" s="9">
        <f>P36-P37</f>
        <v/>
      </c>
      <c r="Q38" s="9">
        <f>Q36-Q37</f>
        <v/>
      </c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/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inlineStr">
        <is>
          <t>TOTAL INTERNAL FREIGHT</t>
        </is>
      </c>
      <c r="K40" s="6" t="n"/>
      <c r="L40" s="6" t="n"/>
      <c r="M40" s="6" t="n"/>
      <c r="N40" s="6" t="n"/>
      <c r="O40" s="6" t="n"/>
      <c r="P40" s="7" t="n">
        <v>0</v>
      </c>
      <c r="Q40" s="7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inlineStr">
        <is>
          <t>TOTAL INSURANCE</t>
        </is>
      </c>
      <c r="K41" s="6" t="n"/>
      <c r="L41" s="6" t="n"/>
      <c r="M41" s="6" t="n"/>
      <c r="N41" s="6" t="n"/>
      <c r="O41" s="6" t="n"/>
      <c r="P41" s="7" t="n">
        <v>-13.9</v>
      </c>
      <c r="Q41" s="7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TOTAL OTHER COST</t>
        </is>
      </c>
      <c r="K42" s="6" t="n"/>
      <c r="L42" s="6" t="n"/>
      <c r="M42" s="6" t="n"/>
      <c r="N42" s="6" t="n"/>
      <c r="O42" s="6" t="n"/>
      <c r="P42" s="7" t="n">
        <v>8.23</v>
      </c>
      <c r="Q42" s="7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TOTAL DEDUCTION</t>
        </is>
      </c>
      <c r="K43" s="6" t="n"/>
      <c r="L43" s="6" t="n"/>
      <c r="M43" s="6" t="n"/>
      <c r="N43" s="6" t="n"/>
      <c r="O43" s="6" t="n"/>
      <c r="P43" s="7" t="n">
        <v>0</v>
      </c>
      <c r="Q43" s="7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ADJUSTMENTS</t>
        </is>
      </c>
      <c r="K44" s="6" t="n"/>
      <c r="L44" s="6" t="n"/>
      <c r="M44" s="6" t="n"/>
      <c r="N44" s="6" t="n"/>
      <c r="O44" s="6" t="n"/>
      <c r="P44" s="7">
        <f>(T28+U28+V28-W28)</f>
        <v/>
      </c>
      <c r="Q44" s="7">
        <f>(T28+U28+V28-W28)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/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inlineStr">
        <is>
          <t>NET TOTAL</t>
        </is>
      </c>
      <c r="K46" s="6" t="n"/>
      <c r="L46" s="6" t="n"/>
      <c r="M46" s="6" t="n"/>
      <c r="N46" s="6" t="n"/>
      <c r="O46" s="6" t="n"/>
      <c r="P46" s="7">
        <f>P36+P44</f>
        <v/>
      </c>
      <c r="Q46" s="7">
        <f>Q36+Q44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inlineStr">
        <is>
          <t>INVOICE TOTAL</t>
        </is>
      </c>
      <c r="K47" s="6" t="n"/>
      <c r="L47" s="6" t="n"/>
      <c r="M47" s="6" t="n"/>
      <c r="N47" s="6" t="n"/>
      <c r="O47" s="6" t="n"/>
      <c r="P47" s="7">
        <f>S28</f>
        <v/>
      </c>
      <c r="Q47" s="7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/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inlineStr">
        <is>
          <t>VARIANCE CHECK</t>
        </is>
      </c>
      <c r="K49" s="10" t="n"/>
      <c r="L49" s="10" t="n"/>
      <c r="M49" s="10" t="n"/>
      <c r="N49" s="10" t="n"/>
      <c r="O49" s="10" t="n"/>
      <c r="P49" s="11">
        <f>S28-P46</f>
        <v/>
      </c>
      <c r="Q49" s="11">
        <f>S28-Q46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/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1" t="inlineStr">
        <is>
          <t>INVOICE NOTES: Structural item count mismatch: 4 price lines found between section markers but 5 items extracted</t>
        </is>
      </c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</row>
    <row r="52"/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inlineStr">
        <is>
          <t>DUTY ESTIMATION (Classification Cross-Check)</t>
        </is>
      </c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4" t="inlineStr">
        <is>
          <t>CIF (USD) = InvTotal + Freight + Insurance</t>
        </is>
      </c>
      <c r="K54" s="13" t="n"/>
      <c r="L54" s="13" t="n"/>
      <c r="M54" s="13" t="n"/>
      <c r="N54" s="13" t="n"/>
      <c r="O54" s="13" t="n"/>
      <c r="P54" s="15" t="n">
        <v>170.88</v>
      </c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4" t="inlineStr">
        <is>
          <t>CIF (XCD) = CIF × 2.7169</t>
        </is>
      </c>
      <c r="K55" s="13" t="n"/>
      <c r="L55" s="13" t="n"/>
      <c r="M55" s="13" t="n"/>
      <c r="N55" s="13" t="n"/>
      <c r="O55" s="13" t="n"/>
      <c r="P55" s="15" t="n">
        <v>464.26</v>
      </c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4" t="inlineStr">
        <is>
          <t>CET (weighted avg 11.3%)</t>
        </is>
      </c>
      <c r="K56" s="13" t="n"/>
      <c r="L56" s="13" t="n"/>
      <c r="M56" s="13" t="n"/>
      <c r="N56" s="13" t="n"/>
      <c r="O56" s="13" t="n"/>
      <c r="P56" s="15" t="n">
        <v>52.63</v>
      </c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4" t="inlineStr">
        <is>
          <t xml:space="preserve">  └ 39241090: 20% CET (26% of value)</t>
        </is>
      </c>
      <c r="K57" s="13" t="n"/>
      <c r="L57" s="13" t="n"/>
      <c r="M57" s="13" t="n"/>
      <c r="N57" s="13" t="n"/>
      <c r="O57" s="13" t="n"/>
      <c r="P57" s="15" t="n">
        <v>23.72</v>
      </c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4" t="inlineStr">
        <is>
          <t xml:space="preserve">  └ 62093090: 20% CET (17% of value)</t>
        </is>
      </c>
      <c r="K58" s="13" t="n"/>
      <c r="L58" s="13" t="n"/>
      <c r="M58" s="13" t="n"/>
      <c r="N58" s="13" t="n"/>
      <c r="O58" s="13" t="n"/>
      <c r="P58" s="15" t="n">
        <v>15.51</v>
      </c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4" t="inlineStr">
        <is>
          <t xml:space="preserve">  └ 85044000: 5% CET (58% of value)</t>
        </is>
      </c>
      <c r="K59" s="13" t="n"/>
      <c r="L59" s="13" t="n"/>
      <c r="M59" s="13" t="n"/>
      <c r="N59" s="13" t="n"/>
      <c r="O59" s="13" t="n"/>
      <c r="P59" s="15" t="n">
        <v>13.41</v>
      </c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4" t="inlineStr">
        <is>
          <t>CSC (6%)</t>
        </is>
      </c>
      <c r="K60" s="13" t="n"/>
      <c r="L60" s="13" t="n"/>
      <c r="M60" s="13" t="n"/>
      <c r="N60" s="13" t="n"/>
      <c r="O60" s="13" t="n"/>
      <c r="P60" s="15" t="n">
        <v>27.86</v>
      </c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4" t="inlineStr">
        <is>
          <t>VAT (15%) on CIF+CET+CSC</t>
        </is>
      </c>
      <c r="K61" s="13" t="n"/>
      <c r="L61" s="13" t="n"/>
      <c r="M61" s="13" t="n"/>
      <c r="N61" s="13" t="n"/>
      <c r="O61" s="13" t="n"/>
      <c r="P61" s="15" t="n">
        <v>81.70999999999999</v>
      </c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2" t="inlineStr">
        <is>
          <t>ESTIMATED TOTAL DUTIES</t>
        </is>
      </c>
      <c r="K62" s="16" t="n"/>
      <c r="L62" s="16" t="n"/>
      <c r="M62" s="16" t="n"/>
      <c r="N62" s="16" t="n"/>
      <c r="O62" s="16" t="n"/>
      <c r="P62" s="17" t="n">
        <v>162.2</v>
      </c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4" t="inlineStr">
        <is>
          <t>Effective Duty Rate</t>
        </is>
      </c>
      <c r="K63" s="13" t="n"/>
      <c r="L63" s="13" t="n"/>
      <c r="M63" s="13" t="n"/>
      <c r="N63" s="13" t="n"/>
      <c r="O63" s="13" t="n"/>
      <c r="P63" s="18" t="n">
        <v>0.3493731960539353</v>
      </c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</row>
    <row r="64"/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3" t="inlineStr">
        <is>
          <t>═══ COMBINED GRAND SUMMARY ═══</t>
        </is>
      </c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</row>
    <row r="67">
      <c r="L67" s="24" t="inlineStr">
        <is>
          <t>Invoice 112-9925042-2903468</t>
        </is>
      </c>
      <c r="P67" s="25" t="n">
        <v>0.76</v>
      </c>
      <c r="Q67" s="26" t="n">
        <v>-0.75</v>
      </c>
    </row>
    <row r="68">
      <c r="L68" s="24" t="inlineStr">
        <is>
          <t>Invoice 112-9925042-2903468</t>
        </is>
      </c>
      <c r="P68" s="25" t="n">
        <v>1183.41</v>
      </c>
      <c r="Q68" s="26" t="n">
        <v>-1012.53</v>
      </c>
    </row>
    <row r="69"/>
    <row r="70">
      <c r="L70" s="27" t="inlineStr">
        <is>
          <t>GRAND TOTAL</t>
        </is>
      </c>
      <c r="P70" s="28" t="n">
        <v>1184.17</v>
      </c>
    </row>
    <row r="71">
      <c r="L71" s="29" t="inlineStr">
        <is>
          <t>GRAND VARIANCE CHECK</t>
        </is>
      </c>
      <c r="P71" s="26" t="n">
        <v>-1013.28</v>
      </c>
    </row>
    <row r="72">
      <c r="L72" s="30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112-9925042-2903468.pdf</t>
        </is>
      </c>
      <c r="B2" s="32" t="inlineStr">
        <is>
          <t>30/100</t>
        </is>
      </c>
      <c r="C2" s="33" t="inlineStr">
        <is>
          <t>POOR</t>
        </is>
      </c>
      <c r="D2" s="32" t="inlineStr">
        <is>
          <t>Text: 770 chars; Prices: 0 ($-sign), 4 (decimal); Total: $0.01 (placeholder); Invoice#: MISSING; Real items: 0/1; Structure words: 4/12</t>
        </is>
      </c>
      <c r="E2" s="34" t="inlineStr">
        <is>
          <t>Oct 24, 1:07 PM Amazon.com - Order 112-9925042-2903468
Billing address
Victoria Virgo
748 BERKELEY AVE
ORANGE, NJ 07050-2005
United States
Your Coupon Savings:
-USD 12.00
Your Coupon Savings:
-USD 1.90
Total before tax:
USD 162.65
Estimated tax to be collected:
USD 8.23
Grand Total:
USD 170.88
Payment Grand Total:
XCD 467.72
To view the status of your order, return to Order Summary.
Conditions of Use | Privacy Notice © 1996-2024, Amazon.com, Inc. or its affiliates
Back to top
English United States Help
Conditions of Use Privacy Notice Consumer Health Data Privacy Disclosure Your Ads Privacy Choices
© 1996-2024, Amazon.com, Inc. or its affiliates
https://www.amazon.com/gp/css/summary/print.html/ref=ppx_yo_dt_b_invoice_o01?ie=UTF8&amp;orderID=112-9925042-2903468 2/2</t>
        </is>
      </c>
    </row>
    <row r="3">
      <c r="A3" s="35" t="inlineStr">
        <is>
          <t>HAWB9591043-Declaration_Invoice.pdf</t>
        </is>
      </c>
      <c r="B3" s="35" t="inlineStr">
        <is>
          <t>100/100</t>
        </is>
      </c>
      <c r="C3" s="35" t="inlineStr">
        <is>
          <t>GOOD</t>
        </is>
      </c>
      <c r="D3" s="35" t="inlineStr">
        <is>
          <t>Text: 3101 chars; Prices: 6 ($-sign), 12 (decimal); Total: $170.88; Invoice#: 112-9925042-2903468; Real items: 5/5; Structure words: 8/12</t>
        </is>
      </c>
      <c r="E3" s="36" t="inlineStr">
        <is>
          <t xml:space="preserve">7a a c .
7/15/24, 1:07 PM Amazon.com - Order 112-9925042-2903468
amazoncom
Details for Order #112-9925042-2903468
Print this page for your records.
Order Placed: July 2, 2024
Amazon.com order number: 112-9925042-2903468
Order Total: USD 170.88
GGG G,QG OO  SoOoOoOoOooo————eEeeeeEeEeEEEEEEE—————————__————————— — —
Not Yet Shipped
Items Ordered Price
1 of: GLASH Kids Toddler Boys Pants, Cotton Joggers, 4-Pack, Grey Camo, 5T O23) S $29.49
oe by: GLASH Kids - Apparel (seller profile) | Product question? Ask Seller
Supplied by: Other
. é
Condition: New é
1 of eae Kids Baby and Toddler Boys 4-Pack Cotton Pants Stripe size 6 {) 4, 4 ) $29.49 A
sol by: GLASH Kids - Apparel (seller profile) | Product question? Ask Seller
Supplied by: Other 1
Condition: New
1 of: MSR Portable Charger, Power Bank 30000mAh Battery Pack with 22.5W Fast Charging, 4 Outputs External Charger PD $37.99
W USB C for iPhone, Samsung, Pad Mini, and More O : ef
Sold by: Recyn-US (seller profile) 4 B
Supplied by: Other ;
Condition: New VON 4% onesies
1 of: Portable-Charger-Power-Bank - 50000mAh Powerbank PD 30W and QC 4.0 Fast Charging External Battery Pack with USB- $39.99
C LED utputs &amp; 2 Inputs Portable Charging for iPhone 15 14 13 pro, Samsung ~
Sol : EnerwowDirect (seller profile
upplied by: Other
Condition: New
1 of: VEEKTOMX Portable Charger with Built-in Cables, 10000mAh Power Bank for iPhone, Slim Fast Charge USB C Battery $23.98
Pack;Travel Essentials Powerbank Compatible with iPhone 15/14/13, Samsung, Android, etc @, »
ae O24 3
old by: Amazon.com Services, Inc
Supplled by: Other
Condition: New
1 of: Zak Designs 160z Riverside Kids Water Bottle with Spout Cover and Built-in Carrying Loop, Made of Durable Plastic, Leak- $15.61 “/
Proof-Désign for Travel (Dino Camo &amp; Safari, Pack of 2) re) SD
old by: Amazon.com Services, Inc ‘
Supplied by: Other
Condition: New
Shipping Address:
Kirla Sylvester
10813 NW 30TH ST STE 115 GRE 3556
MIAMI, FL 33172-2191
United States
Shipping Speed:
FREE Shipping
————— </t>
        </is>
      </c>
    </row>
    <row r="5">
      <c r="A5" s="37" t="inlineStr">
        <is>
          <t>WARNING: OCR text quality is too bad for some pages. Consider rescanning and resubmitting the email.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2026-04-23T22:50:19Z</dcterms:created>
  <dcterms:modified xsi:type="dcterms:W3CDTF">2026-04-23T22:50:30Z</dcterms:modified>
</cp:coreProperties>
</file>