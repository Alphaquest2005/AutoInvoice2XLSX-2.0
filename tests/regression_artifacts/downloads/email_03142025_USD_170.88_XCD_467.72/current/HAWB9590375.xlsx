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oice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11"/>
    </font>
    <font>
      <sz val="10"/>
    </font>
    <font>
      <b val="1"/>
      <color rgb="000000FF"/>
      <sz val="11"/>
    </font>
    <font>
      <b val="1"/>
      <color rgb="00FF0000"/>
      <sz val="11"/>
    </font>
    <font>
      <b val="1"/>
      <color rgb="001F4E79"/>
      <sz val="10"/>
    </font>
    <font>
      <color rgb="001F4E79"/>
      <sz val="10"/>
    </font>
    <font>
      <b val="1"/>
      <color rgb="00CC0000"/>
      <sz val="10"/>
    </font>
  </fonts>
  <fills count="5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D6E4F0"/>
        <bgColor rgb="00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3" borderId="1" pivotButton="0" quotePrefix="0" xfId="0"/>
    <xf numFmtId="4" fontId="2" fillId="3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2" fillId="0" borderId="1" pivotButton="0" quotePrefix="0" xfId="0"/>
    <xf numFmtId="4" fontId="2" fillId="0" borderId="1" pivotButton="0" quotePrefix="0" xfId="0"/>
    <xf numFmtId="0" fontId="4" fillId="0" borderId="1" pivotButton="0" quotePrefix="0" xfId="0"/>
    <xf numFmtId="4" fontId="4" fillId="0" borderId="1" pivotButton="0" quotePrefix="0" xfId="0"/>
    <xf numFmtId="0" fontId="5" fillId="0" borderId="1" pivotButton="0" quotePrefix="0" xfId="0"/>
    <xf numFmtId="4" fontId="5" fillId="0" borderId="1" pivotButton="0" quotePrefix="0" xfId="0"/>
    <xf numFmtId="0" fontId="6" fillId="4" borderId="1" pivotButton="0" quotePrefix="0" xfId="0"/>
    <xf numFmtId="0" fontId="0" fillId="0" borderId="1" pivotButton="0" quotePrefix="0" xfId="0"/>
    <xf numFmtId="0" fontId="7" fillId="0" borderId="1" pivotButton="0" quotePrefix="0" xfId="0"/>
    <xf numFmtId="164" fontId="6" fillId="0" borderId="1" pivotButton="0" quotePrefix="0" xfId="0"/>
    <xf numFmtId="0" fontId="0" fillId="4" borderId="1" pivotButton="0" quotePrefix="0" xfId="0"/>
    <xf numFmtId="164" fontId="6" fillId="4" borderId="1" pivotButton="0" quotePrefix="0" xfId="0"/>
    <xf numFmtId="165" fontId="6" fillId="0" borderId="1" pivotButton="0" quotePrefix="0" xfId="0"/>
    <xf numFmtId="0" fontId="8" fillId="0" borderId="1" pivotButton="0" quotePrefix="0" xfId="0"/>
    <xf numFmtId="164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12" customWidth="1" min="4" max="4"/>
    <col width="15" customWidth="1" min="5" max="5"/>
    <col width="12" customWidth="1" min="6" max="6"/>
    <col width="22" customWidth="1" min="7" max="7"/>
    <col width="40" customWidth="1" min="8" max="8"/>
    <col width="18" customWidth="1" min="9" max="9"/>
    <col width="45" customWidth="1" min="10" max="10"/>
    <col width="10" customWidth="1" min="11" max="11"/>
    <col width="12" customWidth="1" min="12" max="12"/>
    <col width="8" customWidth="1" min="13" max="13"/>
    <col width="8" customWidth="1" min="14" max="14"/>
    <col width="12" customWidth="1" min="15" max="15"/>
    <col width="12" customWidth="1" min="16" max="16"/>
    <col width="12" customWidth="1" min="17" max="17"/>
    <col width="14" customWidth="1" min="18" max="18"/>
    <col width="14" customWidth="1" min="19" max="19"/>
    <col width="16" customWidth="1" min="20" max="20"/>
    <col width="14" customWidth="1" min="21" max="21"/>
    <col width="14" customWidth="1" min="22" max="22"/>
    <col width="14" customWidth="1" min="23" max="23"/>
    <col width="10" customWidth="1" min="24" max="24"/>
    <col width="12" customWidth="1" min="25" max="25"/>
    <col width="14" customWidth="1" min="26" max="26"/>
    <col width="28" customWidth="1" min="27" max="27"/>
    <col width="40" customWidth="1" min="28" max="28"/>
    <col width="12" customWidth="1" min="29" max="29"/>
    <col width="12" customWidth="1" min="30" max="30"/>
    <col width="18" customWidth="1" min="31" max="31"/>
    <col width="16" customWidth="1" min="32" max="32"/>
    <col width="10" customWidth="1" min="33" max="33"/>
    <col width="10" customWidth="1" min="34" max="34"/>
    <col width="14" customWidth="1" min="35" max="35"/>
    <col width="14" customWidth="1" min="36" max="36"/>
    <col width="12" customWidth="1" min="37" max="37"/>
  </cols>
  <sheetData>
    <row r="1">
      <c r="A1" s="1" t="inlineStr">
        <is>
          <t>Document Type</t>
        </is>
      </c>
      <c r="B1" s="1" t="inlineStr">
        <is>
          <t>PO Number</t>
        </is>
      </c>
      <c r="C1" s="1" t="inlineStr">
        <is>
          <t>Supplier Invoice#</t>
        </is>
      </c>
      <c r="D1" s="1" t="inlineStr">
        <is>
          <t>Date</t>
        </is>
      </c>
      <c r="E1" s="1" t="inlineStr">
        <is>
          <t>Category</t>
        </is>
      </c>
      <c r="F1" s="1" t="inlineStr">
        <is>
          <t>TariffCode</t>
        </is>
      </c>
      <c r="G1" s="1" t="inlineStr">
        <is>
          <t>PO Item Number</t>
        </is>
      </c>
      <c r="H1" s="1" t="inlineStr">
        <is>
          <t>PO Item Description</t>
        </is>
      </c>
      <c r="I1" s="1" t="inlineStr">
        <is>
          <t>Supplier Item Number</t>
        </is>
      </c>
      <c r="J1" s="1" t="inlineStr">
        <is>
          <t>Supplier Item Description</t>
        </is>
      </c>
      <c r="K1" s="1" t="inlineStr">
        <is>
          <t>Quantity</t>
        </is>
      </c>
      <c r="L1" s="1" t="inlineStr">
        <is>
          <t>Per Unit</t>
        </is>
      </c>
      <c r="M1" s="1" t="inlineStr">
        <is>
          <t>UNITS</t>
        </is>
      </c>
      <c r="N1" s="1" t="inlineStr">
        <is>
          <t>Currency</t>
        </is>
      </c>
      <c r="O1" s="1" t="inlineStr">
        <is>
          <t>Cost</t>
        </is>
      </c>
      <c r="P1" s="1" t="inlineStr">
        <is>
          <t>Total Cost</t>
        </is>
      </c>
      <c r="Q1" s="1" t="inlineStr">
        <is>
          <t>Total</t>
        </is>
      </c>
      <c r="R1" s="1" t="inlineStr">
        <is>
          <t>TotalCost Vs Total</t>
        </is>
      </c>
      <c r="S1" s="1" t="inlineStr">
        <is>
          <t>InvoiceTotal</t>
        </is>
      </c>
      <c r="T1" s="1" t="inlineStr">
        <is>
          <t>Total Internal Freight</t>
        </is>
      </c>
      <c r="U1" s="1" t="inlineStr">
        <is>
          <t>Total Insurance</t>
        </is>
      </c>
      <c r="V1" s="1" t="inlineStr">
        <is>
          <t>Total Other Cost</t>
        </is>
      </c>
      <c r="W1" s="1" t="inlineStr">
        <is>
          <t>Total Deduction</t>
        </is>
      </c>
      <c r="X1" s="1" t="inlineStr">
        <is>
          <t>Packages</t>
        </is>
      </c>
      <c r="Y1" s="1" t="inlineStr">
        <is>
          <t>Warehouse</t>
        </is>
      </c>
      <c r="Z1" s="1" t="inlineStr">
        <is>
          <t>Supplier Code</t>
        </is>
      </c>
      <c r="AA1" s="1" t="inlineStr">
        <is>
          <t>Supplier Name</t>
        </is>
      </c>
      <c r="AB1" s="1" t="inlineStr">
        <is>
          <t>Supplier Address</t>
        </is>
      </c>
      <c r="AC1" s="1" t="inlineStr">
        <is>
          <t>Country Code</t>
        </is>
      </c>
      <c r="AD1" s="1" t="inlineStr">
        <is>
          <t>Instructions</t>
        </is>
      </c>
      <c r="AE1" s="1" t="inlineStr">
        <is>
          <t>Previous Declaration</t>
        </is>
      </c>
      <c r="AF1" s="1" t="inlineStr">
        <is>
          <t>Financial Information</t>
        </is>
      </c>
      <c r="AG1" s="1" t="inlineStr">
        <is>
          <t>Gallons</t>
        </is>
      </c>
      <c r="AH1" s="1" t="inlineStr">
        <is>
          <t>Liters</t>
        </is>
      </c>
      <c r="AI1" s="1" t="inlineStr">
        <is>
          <t>INVTotalCost</t>
        </is>
      </c>
      <c r="AJ1" s="1" t="inlineStr">
        <is>
          <t>POTotalCost</t>
        </is>
      </c>
      <c r="AK1" s="1" t="inlineStr">
        <is>
          <t>GroupBy</t>
        </is>
      </c>
    </row>
    <row r="2">
      <c r="A2" s="2" t="inlineStr">
        <is>
          <t>4000-000</t>
        </is>
      </c>
      <c r="B2" s="2" t="inlineStr"/>
      <c r="C2" s="2" t="inlineStr">
        <is>
          <t>112-9925042-2903468</t>
        </is>
      </c>
      <c r="D2" s="2" t="inlineStr"/>
      <c r="E2" s="2" t="inlineStr">
        <is>
          <t>Unspecified miscellaneous goods</t>
        </is>
      </c>
      <c r="F2" s="2" t="inlineStr">
        <is>
          <t>00000000</t>
        </is>
      </c>
      <c r="G2" s="2" t="inlineStr"/>
      <c r="H2" s="2" t="inlineStr"/>
      <c r="I2" s="2" t="inlineStr">
        <is>
          <t>00000000</t>
        </is>
      </c>
      <c r="J2" s="2" t="inlineStr">
        <is>
          <t>TEMU Purchase (1 items)</t>
        </is>
      </c>
      <c r="K2" s="2" t="n">
        <v>1</v>
      </c>
      <c r="L2" s="2" t="n"/>
      <c r="M2" s="2" t="inlineStr"/>
      <c r="N2" s="2" t="inlineStr">
        <is>
          <t>USD</t>
        </is>
      </c>
      <c r="O2" s="3" t="n">
        <v>0.01</v>
      </c>
      <c r="P2" s="3" t="n">
        <v>0.01</v>
      </c>
      <c r="Q2" s="3">
        <f>O2*K2</f>
        <v/>
      </c>
      <c r="R2" s="3">
        <f>P2-Q2</f>
        <v/>
      </c>
      <c r="S2" s="3" t="n">
        <v>11.01</v>
      </c>
      <c r="T2" s="3" t="n">
        <v>11</v>
      </c>
      <c r="U2" s="3" t="n">
        <v>0</v>
      </c>
      <c r="V2" s="3" t="n">
        <v>0</v>
      </c>
      <c r="W2" s="3" t="n">
        <v>0</v>
      </c>
      <c r="X2" s="2" t="n">
        <v>1</v>
      </c>
      <c r="Y2" s="2" t="n"/>
      <c r="Z2" s="2" t="inlineStr">
        <is>
          <t>TEMU</t>
        </is>
      </c>
      <c r="AA2" s="2" t="inlineStr">
        <is>
          <t>TEMU</t>
        </is>
      </c>
      <c r="AB2" s="2" t="inlineStr">
        <is>
          <t>31 St. James Avenue, Suite 355, Boston, MA 02116</t>
        </is>
      </c>
      <c r="AC2" s="2" t="inlineStr">
        <is>
          <t>CN</t>
        </is>
      </c>
      <c r="AD2" s="2" t="n"/>
      <c r="AE2" s="2" t="n"/>
      <c r="AF2" s="2" t="n"/>
      <c r="AG2" s="2" t="n"/>
      <c r="AH2" s="2" t="n"/>
      <c r="AI2" s="2" t="n"/>
      <c r="AJ2" s="2" t="n"/>
      <c r="AK2" s="2" t="inlineStr">
        <is>
          <t>00000000</t>
        </is>
      </c>
    </row>
    <row r="3">
      <c r="A3" s="4" t="n"/>
      <c r="B3" s="4" t="n"/>
      <c r="C3" s="4" t="n"/>
      <c r="D3" s="4" t="n"/>
      <c r="E3" s="4" t="n"/>
      <c r="F3" s="4" t="inlineStr">
        <is>
          <t>00000000</t>
        </is>
      </c>
      <c r="G3" s="4" t="n"/>
      <c r="H3" s="4" t="n"/>
      <c r="I3" s="4" t="inlineStr">
        <is>
          <t>TEM-1</t>
        </is>
      </c>
      <c r="J3" s="4" t="inlineStr">
        <is>
          <t>TEMU Purchase</t>
        </is>
      </c>
      <c r="K3" s="4" t="n">
        <v>1</v>
      </c>
      <c r="L3" s="4" t="n"/>
      <c r="M3" s="4" t="inlineStr"/>
      <c r="N3" s="4" t="inlineStr">
        <is>
          <t>USD</t>
        </is>
      </c>
      <c r="O3" s="5" t="n">
        <v>0.01</v>
      </c>
      <c r="P3" s="5" t="n">
        <v>0.01</v>
      </c>
      <c r="Q3" s="5">
        <f>O3*K3</f>
        <v/>
      </c>
      <c r="R3" s="5">
        <f>P3-Q3</f>
        <v/>
      </c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inlineStr">
        <is>
          <t>SUBTOTAL (GROUPED)</t>
        </is>
      </c>
      <c r="K4" s="6" t="n"/>
      <c r="L4" s="6" t="n"/>
      <c r="M4" s="6" t="n"/>
      <c r="N4" s="6" t="n"/>
      <c r="O4" s="6" t="n"/>
      <c r="P4" s="7">
        <f>P2</f>
        <v/>
      </c>
      <c r="Q4" s="7">
        <f>Q2</f>
        <v/>
      </c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  <c r="AD4" s="6" t="n"/>
      <c r="AE4" s="6" t="n"/>
      <c r="AF4" s="6" t="n"/>
      <c r="AG4" s="6" t="n"/>
      <c r="AH4" s="6" t="n"/>
      <c r="AI4" s="6" t="n"/>
      <c r="AJ4" s="6" t="n"/>
      <c r="AK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inlineStr">
        <is>
          <t>SUBTOTAL (DETAILS)</t>
        </is>
      </c>
      <c r="K5" s="6" t="n"/>
      <c r="L5" s="6" t="n"/>
      <c r="M5" s="6" t="n"/>
      <c r="N5" s="6" t="n"/>
      <c r="O5" s="6" t="n"/>
      <c r="P5" s="7">
        <f>SUM(P2:P3)-P4</f>
        <v/>
      </c>
      <c r="Q5" s="7">
        <f>SUM(Q2:Q3)-Q4</f>
        <v/>
      </c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s="6" t="n"/>
      <c r="AH5" s="6" t="n"/>
      <c r="AI5" s="6" t="n"/>
      <c r="AJ5" s="6" t="n"/>
      <c r="AK5" s="6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inlineStr">
        <is>
          <t>GROUP VERIFICATION</t>
        </is>
      </c>
      <c r="K6" s="8" t="n"/>
      <c r="L6" s="8" t="n"/>
      <c r="M6" s="8" t="n"/>
      <c r="N6" s="8" t="n"/>
      <c r="O6" s="8" t="n"/>
      <c r="P6" s="9">
        <f>P4-P5</f>
        <v/>
      </c>
      <c r="Q6" s="9">
        <f>Q4-Q5</f>
        <v/>
      </c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inlineStr">
        <is>
          <t>TOTAL INTERNAL FREIGHT</t>
        </is>
      </c>
      <c r="K8" s="6" t="n"/>
      <c r="L8" s="6" t="n"/>
      <c r="M8" s="6" t="n"/>
      <c r="N8" s="6" t="n"/>
      <c r="O8" s="6" t="n"/>
      <c r="P8" s="7" t="n">
        <v>11</v>
      </c>
      <c r="Q8" s="7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inlineStr">
        <is>
          <t>TOTAL INSURANCE</t>
        </is>
      </c>
      <c r="K9" s="6" t="n"/>
      <c r="L9" s="6" t="n"/>
      <c r="M9" s="6" t="n"/>
      <c r="N9" s="6" t="n"/>
      <c r="O9" s="6" t="n"/>
      <c r="P9" s="7" t="n">
        <v>0</v>
      </c>
      <c r="Q9" s="7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inlineStr">
        <is>
          <t>TOTAL OTHER COST</t>
        </is>
      </c>
      <c r="K10" s="6" t="n"/>
      <c r="L10" s="6" t="n"/>
      <c r="M10" s="6" t="n"/>
      <c r="N10" s="6" t="n"/>
      <c r="O10" s="6" t="n"/>
      <c r="P10" s="7" t="n">
        <v>0</v>
      </c>
      <c r="Q10" s="7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inlineStr">
        <is>
          <t>TOTAL DEDUCTION</t>
        </is>
      </c>
      <c r="K11" s="6" t="n"/>
      <c r="L11" s="6" t="n"/>
      <c r="M11" s="6" t="n"/>
      <c r="N11" s="6" t="n"/>
      <c r="O11" s="6" t="n"/>
      <c r="P11" s="7" t="n">
        <v>0</v>
      </c>
      <c r="Q11" s="7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inlineStr">
        <is>
          <t>ADJUSTMENTS</t>
        </is>
      </c>
      <c r="K12" s="6" t="n"/>
      <c r="L12" s="6" t="n"/>
      <c r="M12" s="6" t="n"/>
      <c r="N12" s="6" t="n"/>
      <c r="O12" s="6" t="n"/>
      <c r="P12" s="7">
        <f>(T2+U2+V2-W2)</f>
        <v/>
      </c>
      <c r="Q12" s="7">
        <f>(T2+U2+V2-W2)</f>
        <v/>
      </c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inlineStr">
        <is>
          <t>NET TOTAL</t>
        </is>
      </c>
      <c r="K14" s="6" t="n"/>
      <c r="L14" s="6" t="n"/>
      <c r="M14" s="6" t="n"/>
      <c r="N14" s="6" t="n"/>
      <c r="O14" s="6" t="n"/>
      <c r="P14" s="7">
        <f>P4+P12</f>
        <v/>
      </c>
      <c r="Q14" s="7">
        <f>Q4+Q12</f>
        <v/>
      </c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inlineStr">
        <is>
          <t>INVOICE TOTAL</t>
        </is>
      </c>
      <c r="K15" s="6" t="n"/>
      <c r="L15" s="6" t="n"/>
      <c r="M15" s="6" t="n"/>
      <c r="N15" s="6" t="n"/>
      <c r="O15" s="6" t="n"/>
      <c r="P15" s="7">
        <f>S2</f>
        <v/>
      </c>
      <c r="Q15" s="7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inlineStr">
        <is>
          <t>VARIANCE CHECK</t>
        </is>
      </c>
      <c r="K17" s="10" t="n"/>
      <c r="L17" s="10" t="n"/>
      <c r="M17" s="10" t="n"/>
      <c r="N17" s="10" t="n"/>
      <c r="O17" s="10" t="n"/>
      <c r="P17" s="11">
        <f>S2-P14</f>
        <v/>
      </c>
      <c r="Q17" s="11">
        <f>S2-Q14</f>
        <v/>
      </c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inlineStr">
        <is>
          <t>DUTY ESTIMATION (Classification Cross-Check)</t>
        </is>
      </c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2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4" t="inlineStr">
        <is>
          <t>CIF (USD) = InvTotal + Freight + Insurance</t>
        </is>
      </c>
      <c r="K20" s="13" t="n"/>
      <c r="L20" s="13" t="n"/>
      <c r="M20" s="13" t="n"/>
      <c r="N20" s="13" t="n"/>
      <c r="O20" s="13" t="n"/>
      <c r="P20" s="15" t="n">
        <v>22.01</v>
      </c>
      <c r="Q20" s="13" t="n"/>
      <c r="R20" s="13" t="n"/>
      <c r="S20" s="13" t="n"/>
      <c r="T20" s="13" t="n"/>
      <c r="U20" s="13" t="n"/>
      <c r="V20" s="13" t="n"/>
      <c r="W20" s="13" t="n"/>
      <c r="X20" s="13" t="n"/>
      <c r="Y20" s="13" t="n"/>
      <c r="Z20" s="13" t="n"/>
      <c r="AA20" s="13" t="n"/>
      <c r="AB20" s="13" t="n"/>
      <c r="AC20" s="13" t="n"/>
      <c r="AD20" s="13" t="n"/>
      <c r="AE20" s="13" t="n"/>
      <c r="AF20" s="13" t="n"/>
      <c r="AG20" s="13" t="n"/>
      <c r="AH20" s="13" t="n"/>
      <c r="AI20" s="13" t="n"/>
      <c r="AJ20" s="13" t="n"/>
      <c r="AK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4" t="inlineStr">
        <is>
          <t>CIF (XCD) = CIF × 2.7169</t>
        </is>
      </c>
      <c r="K21" s="13" t="n"/>
      <c r="L21" s="13" t="n"/>
      <c r="M21" s="13" t="n"/>
      <c r="N21" s="13" t="n"/>
      <c r="O21" s="13" t="n"/>
      <c r="P21" s="15" t="n">
        <v>59.8</v>
      </c>
      <c r="Q21" s="13" t="n"/>
      <c r="R21" s="13" t="n"/>
      <c r="S21" s="13" t="n"/>
      <c r="T21" s="13" t="n"/>
      <c r="U21" s="13" t="n"/>
      <c r="V21" s="13" t="n"/>
      <c r="W21" s="13" t="n"/>
      <c r="X21" s="13" t="n"/>
      <c r="Y21" s="13" t="n"/>
      <c r="Z21" s="13" t="n"/>
      <c r="AA21" s="13" t="n"/>
      <c r="AB21" s="13" t="n"/>
      <c r="AC21" s="13" t="n"/>
      <c r="AD21" s="13" t="n"/>
      <c r="AE21" s="13" t="n"/>
      <c r="AF21" s="13" t="n"/>
      <c r="AG21" s="13" t="n"/>
      <c r="AH21" s="13" t="n"/>
      <c r="AI21" s="13" t="n"/>
      <c r="AJ21" s="13" t="n"/>
      <c r="AK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4" t="inlineStr">
        <is>
          <t>CET (20%) — Tariff 00000000</t>
        </is>
      </c>
      <c r="K22" s="13" t="n"/>
      <c r="L22" s="13" t="n"/>
      <c r="M22" s="13" t="n"/>
      <c r="N22" s="13" t="n"/>
      <c r="O22" s="13" t="n"/>
      <c r="P22" s="15" t="n">
        <v>11.96</v>
      </c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  <c r="AA22" s="13" t="n"/>
      <c r="AB22" s="13" t="n"/>
      <c r="AC22" s="13" t="n"/>
      <c r="AD22" s="13" t="n"/>
      <c r="AE22" s="13" t="n"/>
      <c r="AF22" s="13" t="n"/>
      <c r="AG22" s="13" t="n"/>
      <c r="AH22" s="13" t="n"/>
      <c r="AI22" s="13" t="n"/>
      <c r="AJ22" s="13" t="n"/>
      <c r="AK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4" t="inlineStr">
        <is>
          <t>CSC (6%)</t>
        </is>
      </c>
      <c r="K23" s="13" t="n"/>
      <c r="L23" s="13" t="n"/>
      <c r="M23" s="13" t="n"/>
      <c r="N23" s="13" t="n"/>
      <c r="O23" s="13" t="n"/>
      <c r="P23" s="15" t="n">
        <v>3.59</v>
      </c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  <c r="AA23" s="13" t="n"/>
      <c r="AB23" s="13" t="n"/>
      <c r="AC23" s="13" t="n"/>
      <c r="AD23" s="13" t="n"/>
      <c r="AE23" s="13" t="n"/>
      <c r="AF23" s="13" t="n"/>
      <c r="AG23" s="13" t="n"/>
      <c r="AH23" s="13" t="n"/>
      <c r="AI23" s="13" t="n"/>
      <c r="AJ23" s="13" t="n"/>
      <c r="AK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4" t="inlineStr">
        <is>
          <t>VAT (15%) on CIF+CET+CSC</t>
        </is>
      </c>
      <c r="K24" s="13" t="n"/>
      <c r="L24" s="13" t="n"/>
      <c r="M24" s="13" t="n"/>
      <c r="N24" s="13" t="n"/>
      <c r="O24" s="13" t="n"/>
      <c r="P24" s="15" t="n">
        <v>11.3</v>
      </c>
      <c r="Q24" s="13" t="n"/>
      <c r="R24" s="13" t="n"/>
      <c r="S24" s="13" t="n"/>
      <c r="T24" s="13" t="n"/>
      <c r="U24" s="13" t="n"/>
      <c r="V24" s="13" t="n"/>
      <c r="W24" s="13" t="n"/>
      <c r="X24" s="13" t="n"/>
      <c r="Y24" s="13" t="n"/>
      <c r="Z24" s="13" t="n"/>
      <c r="AA24" s="13" t="n"/>
      <c r="AB24" s="13" t="n"/>
      <c r="AC24" s="13" t="n"/>
      <c r="AD24" s="13" t="n"/>
      <c r="AE24" s="13" t="n"/>
      <c r="AF24" s="13" t="n"/>
      <c r="AG24" s="13" t="n"/>
      <c r="AH24" s="13" t="n"/>
      <c r="AI24" s="13" t="n"/>
      <c r="AJ24" s="13" t="n"/>
      <c r="AK24" s="13" t="n"/>
    </row>
    <row r="25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2" t="inlineStr">
        <is>
          <t>ESTIMATED TOTAL DUTIES</t>
        </is>
      </c>
      <c r="K25" s="16" t="n"/>
      <c r="L25" s="16" t="n"/>
      <c r="M25" s="16" t="n"/>
      <c r="N25" s="16" t="n"/>
      <c r="O25" s="16" t="n"/>
      <c r="P25" s="17" t="n">
        <v>26.85</v>
      </c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  <c r="AA25" s="16" t="n"/>
      <c r="AB25" s="16" t="n"/>
      <c r="AC25" s="16" t="n"/>
      <c r="AD25" s="16" t="n"/>
      <c r="AE25" s="16" t="n"/>
      <c r="AF25" s="16" t="n"/>
      <c r="AG25" s="16" t="n"/>
      <c r="AH25" s="16" t="n"/>
      <c r="AI25" s="16" t="n"/>
      <c r="AJ25" s="16" t="n"/>
      <c r="AK25" s="16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  <c r="J26" s="14" t="inlineStr">
        <is>
          <t>Effective Duty Rate</t>
        </is>
      </c>
      <c r="K26" s="13" t="n"/>
      <c r="L26" s="13" t="n"/>
      <c r="M26" s="13" t="n"/>
      <c r="N26" s="13" t="n"/>
      <c r="O26" s="13" t="n"/>
      <c r="P26" s="18" t="n">
        <v>0.4489966555183947</v>
      </c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  <c r="AA26" s="13" t="n"/>
      <c r="AB26" s="13" t="n"/>
      <c r="AC26" s="13" t="n"/>
      <c r="AD26" s="13" t="n"/>
      <c r="AE26" s="13" t="n"/>
      <c r="AF26" s="13" t="n"/>
      <c r="AG26" s="13" t="n"/>
      <c r="AH26" s="13" t="n"/>
      <c r="AI26" s="13" t="n"/>
      <c r="AJ26" s="13" t="n"/>
      <c r="AK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4" t="inlineStr">
        <is>
          <t>CLIENT DECLARED DUTIES</t>
        </is>
      </c>
      <c r="K27" s="13" t="n"/>
      <c r="L27" s="13" t="n"/>
      <c r="M27" s="13" t="n"/>
      <c r="N27" s="13" t="n"/>
      <c r="O27" s="13" t="n"/>
      <c r="P27" s="15" t="n">
        <v>155.04</v>
      </c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3" t="n"/>
      <c r="AI27" s="13" t="n"/>
      <c r="AJ27" s="13" t="n"/>
      <c r="AK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  <c r="I28" s="13" t="n"/>
      <c r="J28" s="19" t="inlineStr">
        <is>
          <t>DUTY VARIANCE (Client − Estimated)</t>
        </is>
      </c>
      <c r="K28" s="13" t="n"/>
      <c r="L28" s="13" t="n"/>
      <c r="M28" s="13" t="n"/>
      <c r="N28" s="13" t="n"/>
      <c r="O28" s="13" t="n"/>
      <c r="P28" s="20" t="n">
        <v>128.19</v>
      </c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  <c r="AA28" s="13" t="n"/>
      <c r="AB28" s="13" t="n"/>
      <c r="AC28" s="13" t="n"/>
      <c r="AD28" s="13" t="n"/>
      <c r="AE28" s="13" t="n"/>
      <c r="AF28" s="13" t="n"/>
      <c r="AG28" s="13" t="n"/>
      <c r="AH28" s="13" t="n"/>
      <c r="AI28" s="13" t="n"/>
      <c r="AJ28" s="13" t="n"/>
      <c r="AK28" s="13" t="n"/>
    </row>
    <row r="29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4" t="inlineStr">
        <is>
          <t>IMPLIED CIF (from declared duty @ 20% CET, XCD)</t>
        </is>
      </c>
      <c r="K29" s="13" t="n"/>
      <c r="L29" s="13" t="n"/>
      <c r="M29" s="13" t="n"/>
      <c r="N29" s="13" t="n"/>
      <c r="O29" s="13" t="n"/>
      <c r="P29" s="15" t="n">
        <v>345.3</v>
      </c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  <c r="AA29" s="13" t="n"/>
      <c r="AB29" s="13" t="n"/>
      <c r="AC29" s="13" t="n"/>
      <c r="AD29" s="13" t="n"/>
      <c r="AE29" s="13" t="n"/>
      <c r="AF29" s="13" t="n"/>
      <c r="AG29" s="13" t="n"/>
      <c r="AH29" s="13" t="n"/>
      <c r="AI29" s="13" t="n"/>
      <c r="AJ29" s="13" t="n"/>
      <c r="AK29" s="13" t="n"/>
    </row>
    <row r="30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  <c r="J30" s="14" t="inlineStr">
        <is>
          <t>IMPLIED ITEMS VALUE (USD, net of freight/insurance)</t>
        </is>
      </c>
      <c r="K30" s="13" t="n"/>
      <c r="L30" s="13" t="n"/>
      <c r="M30" s="13" t="n"/>
      <c r="N30" s="13" t="n"/>
      <c r="O30" s="13" t="n"/>
      <c r="P30" s="15" t="n">
        <v>116.09</v>
      </c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  <c r="AA30" s="13" t="n"/>
      <c r="AB30" s="13" t="n"/>
      <c r="AC30" s="13" t="n"/>
      <c r="AD30" s="13" t="n"/>
      <c r="AE30" s="13" t="n"/>
      <c r="AF30" s="13" t="n"/>
      <c r="AG30" s="13" t="n"/>
      <c r="AH30" s="13" t="n"/>
      <c r="AI30" s="13" t="n"/>
      <c r="AJ30" s="13" t="n"/>
      <c r="AK30" s="13" t="n"/>
    </row>
    <row r="31">
      <c r="A31" s="13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9" t="inlineStr">
        <is>
          <t>⚠ ITEM ALLOCATION CHECK: actual $0.01 USD vs implied $116.09 USD — UNDER-ALLOCATED (items from another waybill may belong here)</t>
        </is>
      </c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3" t="n"/>
      <c r="AC31" s="13" t="n"/>
      <c r="AD31" s="13" t="n"/>
      <c r="AE31" s="13" t="n"/>
      <c r="AF31" s="13" t="n"/>
      <c r="AG31" s="13" t="n"/>
      <c r="AH31" s="13" t="n"/>
      <c r="AI31" s="13" t="n"/>
      <c r="AJ31" s="13" t="n"/>
      <c r="AK31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2026-04-23T22:50:39Z</dcterms:created>
  <dcterms:modified xsi:type="dcterms:W3CDTF">2026-04-23T22:50:39Z</dcterms:modified>
</cp:coreProperties>
</file>