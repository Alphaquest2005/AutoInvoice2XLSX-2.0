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Invoices" sheetId="1" state="visible" r:id="rId1"/>
    <sheet xmlns:r="http://schemas.openxmlformats.org/officeDocument/2006/relationships"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  <font>
      <b val="1"/>
      <color rgb="009C0006"/>
    </font>
    <font>
      <b val="1"/>
      <color rgb="00FF0000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0" fillId="4" borderId="0" pivotButton="0" quotePrefix="0" xfId="0"/>
    <xf numFmtId="0" fontId="3" fillId="5" borderId="1" pivotButton="0" quotePrefix="0" xfId="0"/>
    <xf numFmtId="4" fontId="3" fillId="5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7" fillId="0" borderId="1" pivotButton="0" quotePrefix="0" xfId="0"/>
    <xf numFmtId="4" fontId="7" fillId="0" borderId="1" pivotButton="0" quotePrefix="0" xfId="0"/>
    <xf numFmtId="0" fontId="0" fillId="6" borderId="1" pivotButton="0" quotePrefix="0" xfId="0"/>
    <xf numFmtId="0" fontId="8" fillId="6" borderId="1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0" fillId="7" borderId="0" pivotButton="0" quotePrefix="0" xfId="0"/>
    <xf numFmtId="0" fontId="14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112-9925042-2903468</t>
        </is>
      </c>
      <c r="D2" s="2" t="n"/>
      <c r="E2" s="2" t="inlineStr">
        <is>
          <t>Unspecified miscellaneous goods</t>
        </is>
      </c>
      <c r="F2" s="2" t="inlineStr">
        <is>
          <t>00000000</t>
        </is>
      </c>
      <c r="G2" s="2" t="n"/>
      <c r="H2" s="2" t="n"/>
      <c r="I2" s="2" t="inlineStr">
        <is>
          <t>TEM-1</t>
        </is>
      </c>
      <c r="J2" s="2" t="inlineStr">
        <is>
          <t>TEMU Purchase</t>
        </is>
      </c>
      <c r="K2" s="2" t="n">
        <v>1</v>
      </c>
      <c r="L2" s="2" t="n"/>
      <c r="M2" s="2" t="n"/>
      <c r="N2" s="2" t="inlineStr">
        <is>
          <t>USD</t>
        </is>
      </c>
      <c r="O2" s="3" t="n">
        <v>0.01</v>
      </c>
      <c r="P2" s="3" t="n">
        <v>0.01</v>
      </c>
      <c r="Q2" s="3">
        <f>O2*K2</f>
        <v/>
      </c>
      <c r="R2" s="3">
        <f>P2-Q2</f>
        <v/>
      </c>
      <c r="S2" s="3" t="n">
        <v>0.01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0.01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0.03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00000000</t>
        </is>
      </c>
      <c r="K11" s="7" t="n"/>
      <c r="L11" s="7" t="n"/>
      <c r="M11" s="7" t="n"/>
      <c r="N11" s="7" t="n"/>
      <c r="O11" s="7" t="n"/>
      <c r="P11" s="9" t="n">
        <v>0.01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0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0.01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0.02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0.6666666666666667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</row>
    <row r="17">
      <c r="A17" s="14" t="inlineStr">
        <is>
          <t>4000-000</t>
        </is>
      </c>
      <c r="B17" s="14" t="n"/>
      <c r="C17" s="14" t="inlineStr">
        <is>
          <t>112-9925042-2903468</t>
        </is>
      </c>
      <c r="D17" s="14" t="inlineStr">
        <is>
          <t>2024-07-02</t>
        </is>
      </c>
      <c r="E17" s="14" t="inlineStr">
        <is>
          <t>Clothing</t>
        </is>
      </c>
      <c r="F17" s="14" t="inlineStr">
        <is>
          <t>62034290</t>
        </is>
      </c>
      <c r="G17" s="14" t="n"/>
      <c r="H17" s="14" t="n"/>
      <c r="I17" s="14" t="inlineStr">
        <is>
          <t>62034290</t>
        </is>
      </c>
      <c r="J17" s="14" t="inlineStr">
        <is>
          <t>GLASH Kids Toddler Boys Pants, Cotton Joggers, 4-Pack, Grey Camo, 5T O23S (1 items)</t>
        </is>
      </c>
      <c r="K17" s="14" t="n">
        <v>1</v>
      </c>
      <c r="L17" s="14" t="n"/>
      <c r="M17" s="14" t="n"/>
      <c r="N17" s="14" t="inlineStr">
        <is>
          <t>USD</t>
        </is>
      </c>
      <c r="O17" s="15" t="n">
        <v>29.49</v>
      </c>
      <c r="P17" s="15" t="n">
        <v>29.49</v>
      </c>
      <c r="Q17" s="15">
        <f>O17*K17</f>
        <v/>
      </c>
      <c r="R17" s="15">
        <f>P17-Q17</f>
        <v/>
      </c>
      <c r="S17" s="15" t="n">
        <v>170.88</v>
      </c>
      <c r="T17" s="15" t="n">
        <v>0</v>
      </c>
      <c r="U17" s="15" t="n">
        <v>-13.9</v>
      </c>
      <c r="V17" s="15" t="n">
        <v>8.23</v>
      </c>
      <c r="W17" s="15" t="n">
        <v>0</v>
      </c>
      <c r="X17" s="14" t="n"/>
      <c r="Y17" s="14" t="n"/>
      <c r="Z17" s="14" t="inlineStr">
        <is>
          <t>AMAZON</t>
        </is>
      </c>
      <c r="AA17" s="14" t="inlineStr">
        <is>
          <t>Amazon.com</t>
        </is>
      </c>
      <c r="AB17" s="14" t="inlineStr">
        <is>
          <t>410 Terry Avenue North, Seattle, WA 98109</t>
        </is>
      </c>
      <c r="AC17" s="14" t="inlineStr">
        <is>
          <t>US</t>
        </is>
      </c>
      <c r="AD17" s="14" t="n"/>
      <c r="AE17" s="14" t="n"/>
      <c r="AF17" s="14" t="n"/>
      <c r="AG17" s="14" t="n"/>
      <c r="AH17" s="14" t="n"/>
      <c r="AI17" s="14" t="n"/>
      <c r="AJ17" s="14" t="n"/>
      <c r="AK17" s="14" t="inlineStr">
        <is>
          <t>62034290</t>
        </is>
      </c>
    </row>
    <row r="18">
      <c r="A18" s="2" t="n"/>
      <c r="B18" s="2" t="n"/>
      <c r="C18" s="2" t="n"/>
      <c r="D18" s="2" t="n"/>
      <c r="E18" s="2" t="n"/>
      <c r="F18" s="2" t="inlineStr">
        <is>
          <t>62034290</t>
        </is>
      </c>
      <c r="G18" s="2" t="n"/>
      <c r="H18" s="2" t="n"/>
      <c r="I18" s="2" t="inlineStr">
        <is>
          <t>AMZ-1</t>
        </is>
      </c>
      <c r="J18" s="2" t="inlineStr">
        <is>
          <t>GLASH Kids Toddler Boys Pants, Cotton Joggers, 4-Pack, Grey Camo, 5T O23S</t>
        </is>
      </c>
      <c r="K18" s="2" t="n">
        <v>1</v>
      </c>
      <c r="L18" s="2" t="n"/>
      <c r="M18" s="2" t="n"/>
      <c r="N18" s="2" t="inlineStr">
        <is>
          <t>USD</t>
        </is>
      </c>
      <c r="O18" s="3" t="n">
        <v>29.49</v>
      </c>
      <c r="P18" s="3" t="n">
        <v>29.49</v>
      </c>
      <c r="Q18" s="3">
        <f>O18*K18</f>
        <v/>
      </c>
      <c r="R18" s="3">
        <f>P18-Q18</f>
        <v/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</row>
    <row r="19">
      <c r="A19" s="14" t="n"/>
      <c r="B19" s="14" t="n"/>
      <c r="C19" s="14" t="inlineStr">
        <is>
          <t>112-9925042-2903468</t>
        </is>
      </c>
      <c r="D19" s="14" t="inlineStr">
        <is>
          <t>2024-07-02</t>
        </is>
      </c>
      <c r="E19" s="14" t="inlineStr">
        <is>
          <t>ELECTRICAL APPLIANCES</t>
        </is>
      </c>
      <c r="F19" s="14" t="inlineStr">
        <is>
          <t>85044000</t>
        </is>
      </c>
      <c r="G19" s="14" t="n"/>
      <c r="H19" s="14" t="n"/>
      <c r="I19" s="14" t="inlineStr">
        <is>
          <t>85044000</t>
        </is>
      </c>
      <c r="J19" s="14" t="inlineStr">
        <is>
          <t>MSR Portable Charger, Power Bank 30000mAh Battery Pack with 22.5W Fast Chargi... (+2 more) (3 items)</t>
        </is>
      </c>
      <c r="K19" s="14" t="n">
        <v>3</v>
      </c>
      <c r="L19" s="14" t="n"/>
      <c r="M19" s="14" t="n"/>
      <c r="N19" s="14" t="inlineStr">
        <is>
          <t>USD</t>
        </is>
      </c>
      <c r="O19" s="15" t="n">
        <v>33.98666666666667</v>
      </c>
      <c r="P19" s="15" t="n">
        <v>101.96</v>
      </c>
      <c r="Q19" s="15">
        <f>O19*K19</f>
        <v/>
      </c>
      <c r="R19" s="15">
        <f>P19-Q19</f>
        <v/>
      </c>
      <c r="S19" s="15" t="n"/>
      <c r="T19" s="15" t="n"/>
      <c r="U19" s="15" t="n"/>
      <c r="V19" s="15" t="n"/>
      <c r="W19" s="15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inlineStr">
        <is>
          <t>85044000</t>
        </is>
      </c>
    </row>
    <row r="20">
      <c r="A20" s="2" t="n"/>
      <c r="B20" s="2" t="n"/>
      <c r="C20" s="2" t="n"/>
      <c r="D20" s="2" t="n"/>
      <c r="E20" s="2" t="n"/>
      <c r="F20" s="2" t="inlineStr">
        <is>
          <t>85044000</t>
        </is>
      </c>
      <c r="G20" s="2" t="n"/>
      <c r="H20" s="2" t="n"/>
      <c r="I20" s="2" t="inlineStr">
        <is>
          <t>AMZ-2</t>
        </is>
      </c>
      <c r="J20" s="2" t="inlineStr">
        <is>
          <t>MSR Portable Charger, Power Bank 30000mAh Battery Pack with 22.5W Fast Chargi...</t>
        </is>
      </c>
      <c r="K20" s="2" t="n">
        <v>1</v>
      </c>
      <c r="L20" s="2" t="n"/>
      <c r="M20" s="2" t="n"/>
      <c r="N20" s="2" t="inlineStr">
        <is>
          <t>USD</t>
        </is>
      </c>
      <c r="O20" s="3" t="n">
        <v>37.99</v>
      </c>
      <c r="P20" s="3" t="n">
        <v>37.99</v>
      </c>
      <c r="Q20" s="3">
        <f>O20*K20</f>
        <v/>
      </c>
      <c r="R20" s="3">
        <f>P20-Q20</f>
        <v/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</row>
    <row r="21">
      <c r="A21" s="2" t="n"/>
      <c r="B21" s="2" t="n"/>
      <c r="C21" s="2" t="n"/>
      <c r="D21" s="2" t="n"/>
      <c r="E21" s="2" t="n"/>
      <c r="F21" s="2" t="inlineStr">
        <is>
          <t>85044000</t>
        </is>
      </c>
      <c r="G21" s="2" t="n"/>
      <c r="H21" s="2" t="n"/>
      <c r="I21" s="2" t="inlineStr">
        <is>
          <t>AMZ-3</t>
        </is>
      </c>
      <c r="J21" s="2" t="inlineStr">
        <is>
          <t>Portable-Charger-Power-Bank - 50000mAh Powerbank PD 30W and QC 4.0 Fast Charg...</t>
        </is>
      </c>
      <c r="K21" s="2" t="n">
        <v>1</v>
      </c>
      <c r="L21" s="2" t="n"/>
      <c r="M21" s="2" t="n"/>
      <c r="N21" s="2" t="inlineStr">
        <is>
          <t>USD</t>
        </is>
      </c>
      <c r="O21" s="3" t="n">
        <v>39.99</v>
      </c>
      <c r="P21" s="3" t="n">
        <v>39.99</v>
      </c>
      <c r="Q21" s="3">
        <f>O21*K21</f>
        <v/>
      </c>
      <c r="R21" s="3">
        <f>P21-Q21</f>
        <v/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</row>
    <row r="22">
      <c r="A22" s="2" t="n"/>
      <c r="B22" s="2" t="n"/>
      <c r="C22" s="2" t="n"/>
      <c r="D22" s="2" t="n"/>
      <c r="E22" s="2" t="n"/>
      <c r="F22" s="2" t="inlineStr">
        <is>
          <t>85044000</t>
        </is>
      </c>
      <c r="G22" s="2" t="n"/>
      <c r="H22" s="2" t="n"/>
      <c r="I22" s="2" t="inlineStr">
        <is>
          <t>AMZ-4</t>
        </is>
      </c>
      <c r="J22" s="2" t="inlineStr">
        <is>
          <t>VEEKTOMX Portable Charger with Built-in Cables, 10000mAh Power Bank for iPhon...</t>
        </is>
      </c>
      <c r="K22" s="2" t="n">
        <v>1</v>
      </c>
      <c r="L22" s="2" t="n"/>
      <c r="M22" s="2" t="n"/>
      <c r="N22" s="2" t="inlineStr">
        <is>
          <t>USD</t>
        </is>
      </c>
      <c r="O22" s="3" t="n">
        <v>23.98</v>
      </c>
      <c r="P22" s="3" t="n">
        <v>23.98</v>
      </c>
      <c r="Q22" s="3">
        <f>O22*K22</f>
        <v/>
      </c>
      <c r="R22" s="3">
        <f>P22-Q22</f>
        <v/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</row>
    <row r="23">
      <c r="A23" s="14" t="n"/>
      <c r="B23" s="14" t="n"/>
      <c r="C23" s="14" t="inlineStr">
        <is>
          <t>112-9925042-2903468</t>
        </is>
      </c>
      <c r="D23" s="14" t="inlineStr">
        <is>
          <t>2024-07-02</t>
        </is>
      </c>
      <c r="E23" s="14" t="inlineStr">
        <is>
          <t>PLASTIC ARTICLES</t>
        </is>
      </c>
      <c r="F23" s="14" t="inlineStr">
        <is>
          <t>39249090</t>
        </is>
      </c>
      <c r="G23" s="14" t="n"/>
      <c r="H23" s="14" t="n"/>
      <c r="I23" s="14" t="inlineStr">
        <is>
          <t>39249090</t>
        </is>
      </c>
      <c r="J23" s="14" t="inlineStr">
        <is>
          <t>Zak Designs 160z Riverside Kids Water Bottle with Spout Cover and Built-in Ca... (1 items)</t>
        </is>
      </c>
      <c r="K23" s="14" t="n">
        <v>1</v>
      </c>
      <c r="L23" s="14" t="n"/>
      <c r="M23" s="14" t="n"/>
      <c r="N23" s="14" t="inlineStr">
        <is>
          <t>USD</t>
        </is>
      </c>
      <c r="O23" s="15" t="n">
        <v>45.1</v>
      </c>
      <c r="P23" s="15" t="n">
        <v>45.1</v>
      </c>
      <c r="Q23" s="15">
        <f>O23*K23</f>
        <v/>
      </c>
      <c r="R23" s="15">
        <f>P23-Q23</f>
        <v/>
      </c>
      <c r="S23" s="15" t="n"/>
      <c r="T23" s="15" t="n"/>
      <c r="U23" s="15" t="n"/>
      <c r="V23" s="15" t="n"/>
      <c r="W23" s="15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inlineStr">
        <is>
          <t>39249090</t>
        </is>
      </c>
    </row>
    <row r="24">
      <c r="A24" s="2" t="n"/>
      <c r="B24" s="2" t="n"/>
      <c r="C24" s="2" t="n"/>
      <c r="D24" s="2" t="n"/>
      <c r="E24" s="2" t="n"/>
      <c r="F24" s="2" t="inlineStr">
        <is>
          <t>39249090</t>
        </is>
      </c>
      <c r="G24" s="2" t="n"/>
      <c r="H24" s="2" t="n"/>
      <c r="I24" s="2" t="inlineStr">
        <is>
          <t>AMZ-5</t>
        </is>
      </c>
      <c r="J24" s="2" t="inlineStr">
        <is>
          <t>Zak Designs 160z Riverside Kids Water Bottle with Spout Cover and Built-in Ca...</t>
        </is>
      </c>
      <c r="K24" s="2" t="n">
        <v>1</v>
      </c>
      <c r="L24" s="2" t="n"/>
      <c r="M24" s="2" t="n"/>
      <c r="N24" s="2" t="inlineStr">
        <is>
          <t>USD</t>
        </is>
      </c>
      <c r="O24" s="3" t="n">
        <v>45.1</v>
      </c>
      <c r="P24" s="3" t="n">
        <v>45.1</v>
      </c>
      <c r="Q24" s="3">
        <f>O24*K24</f>
        <v/>
      </c>
      <c r="R24" s="3">
        <f>P24-Q24</f>
        <v/>
      </c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inlineStr">
        <is>
          <t>SUBTOTAL (GROUPED)</t>
        </is>
      </c>
      <c r="K25" s="4" t="n"/>
      <c r="L25" s="4" t="n"/>
      <c r="M25" s="4" t="n"/>
      <c r="N25" s="4" t="n"/>
      <c r="O25" s="4" t="n"/>
      <c r="P25" s="5">
        <f>P17+P19+P23</f>
        <v/>
      </c>
      <c r="Q25" s="5">
        <f>Q17+Q19+Q23</f>
        <v/>
      </c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inlineStr">
        <is>
          <t>SUBTOTAL (DETAILS)</t>
        </is>
      </c>
      <c r="K26" s="4" t="n"/>
      <c r="L26" s="4" t="n"/>
      <c r="M26" s="4" t="n"/>
      <c r="N26" s="4" t="n"/>
      <c r="O26" s="4" t="n"/>
      <c r="P26" s="5">
        <f>SUM(P17:P24)-P25</f>
        <v/>
      </c>
      <c r="Q26" s="5">
        <f>SUM(Q17:Q24)-Q25</f>
        <v/>
      </c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inlineStr">
        <is>
          <t>GROUP VERIFICATION</t>
        </is>
      </c>
      <c r="K27" s="16" t="n"/>
      <c r="L27" s="16" t="n"/>
      <c r="M27" s="16" t="n"/>
      <c r="N27" s="16" t="n"/>
      <c r="O27" s="16" t="n"/>
      <c r="P27" s="17">
        <f>P25-P26</f>
        <v/>
      </c>
      <c r="Q27" s="17">
        <f>Q25-Q26</f>
        <v/>
      </c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</row>
    <row r="28"/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inlineStr">
        <is>
          <t>TOTAL INTERNAL FREIGHT</t>
        </is>
      </c>
      <c r="K29" s="4" t="n"/>
      <c r="L29" s="4" t="n"/>
      <c r="M29" s="4" t="n"/>
      <c r="N29" s="4" t="n"/>
      <c r="O29" s="4" t="n"/>
      <c r="P29" s="5" t="n">
        <v>0</v>
      </c>
      <c r="Q29" s="5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inlineStr">
        <is>
          <t>TOTAL INSURANCE</t>
        </is>
      </c>
      <c r="K30" s="4" t="n"/>
      <c r="L30" s="4" t="n"/>
      <c r="M30" s="4" t="n"/>
      <c r="N30" s="4" t="n"/>
      <c r="O30" s="4" t="n"/>
      <c r="P30" s="5" t="n">
        <v>-13.9</v>
      </c>
      <c r="Q30" s="5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inlineStr">
        <is>
          <t>TOTAL OTHER COST</t>
        </is>
      </c>
      <c r="K31" s="4" t="n"/>
      <c r="L31" s="4" t="n"/>
      <c r="M31" s="4" t="n"/>
      <c r="N31" s="4" t="n"/>
      <c r="O31" s="4" t="n"/>
      <c r="P31" s="5" t="n">
        <v>8.23</v>
      </c>
      <c r="Q31" s="5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inlineStr">
        <is>
          <t>TOTAL DEDUCTION</t>
        </is>
      </c>
      <c r="K32" s="4" t="n"/>
      <c r="L32" s="4" t="n"/>
      <c r="M32" s="4" t="n"/>
      <c r="N32" s="4" t="n"/>
      <c r="O32" s="4" t="n"/>
      <c r="P32" s="5" t="n">
        <v>0</v>
      </c>
      <c r="Q32" s="5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inlineStr">
        <is>
          <t>ADJUSTMENTS</t>
        </is>
      </c>
      <c r="K33" s="4" t="n"/>
      <c r="L33" s="4" t="n"/>
      <c r="M33" s="4" t="n"/>
      <c r="N33" s="4" t="n"/>
      <c r="O33" s="4" t="n"/>
      <c r="P33" s="5">
        <f>(T17+U17+V17-W17)</f>
        <v/>
      </c>
      <c r="Q33" s="5">
        <f>(T17+U17+V17-W17)</f>
        <v/>
      </c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</row>
    <row r="34"/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inlineStr">
        <is>
          <t>NET TOTAL</t>
        </is>
      </c>
      <c r="K35" s="4" t="n"/>
      <c r="L35" s="4" t="n"/>
      <c r="M35" s="4" t="n"/>
      <c r="N35" s="4" t="n"/>
      <c r="O35" s="4" t="n"/>
      <c r="P35" s="5">
        <f>P25+P33</f>
        <v/>
      </c>
      <c r="Q35" s="5">
        <f>Q25+Q33</f>
        <v/>
      </c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inlineStr">
        <is>
          <t>INVOICE TOTAL</t>
        </is>
      </c>
      <c r="K36" s="4" t="n"/>
      <c r="L36" s="4" t="n"/>
      <c r="M36" s="4" t="n"/>
      <c r="N36" s="4" t="n"/>
      <c r="O36" s="4" t="n"/>
      <c r="P36" s="5">
        <f>S17</f>
        <v/>
      </c>
      <c r="Q36" s="5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</row>
    <row r="37"/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inlineStr">
        <is>
          <t>VARIANCE CHECK</t>
        </is>
      </c>
      <c r="K38" s="18" t="n"/>
      <c r="L38" s="18" t="n"/>
      <c r="M38" s="18" t="n"/>
      <c r="N38" s="18" t="n"/>
      <c r="O38" s="18" t="n"/>
      <c r="P38" s="19">
        <f>S17-P35</f>
        <v/>
      </c>
      <c r="Q38" s="19">
        <f>S17-Q35</f>
        <v/>
      </c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</row>
    <row r="39"/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1" t="inlineStr">
        <is>
          <t>INVOICE NOTES: Structural item count mismatch: 4 price lines found between section markers but 5 items extracted</t>
        </is>
      </c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</row>
    <row r="41"/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inlineStr">
        <is>
          <t>DUTY ESTIMATION (Classification Cross-Check)</t>
        </is>
      </c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8" t="inlineStr">
        <is>
          <t>CIF (USD) = InvTotal + Freight + Insurance</t>
        </is>
      </c>
      <c r="K43" s="7" t="n"/>
      <c r="L43" s="7" t="n"/>
      <c r="M43" s="7" t="n"/>
      <c r="N43" s="7" t="n"/>
      <c r="O43" s="7" t="n"/>
      <c r="P43" s="9" t="n">
        <v>170.88</v>
      </c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8" t="inlineStr">
        <is>
          <t>CIF (XCD) = CIF × 2.7169</t>
        </is>
      </c>
      <c r="K44" s="7" t="n"/>
      <c r="L44" s="7" t="n"/>
      <c r="M44" s="7" t="n"/>
      <c r="N44" s="7" t="n"/>
      <c r="O44" s="7" t="n"/>
      <c r="P44" s="9" t="n">
        <v>464.26</v>
      </c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8" t="inlineStr">
        <is>
          <t>CET (weighted avg 11.3%)</t>
        </is>
      </c>
      <c r="K45" s="7" t="n"/>
      <c r="L45" s="7" t="n"/>
      <c r="M45" s="7" t="n"/>
      <c r="N45" s="7" t="n"/>
      <c r="O45" s="7" t="n"/>
      <c r="P45" s="9" t="n">
        <v>52.63</v>
      </c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8" t="inlineStr">
        <is>
          <t xml:space="preserve">  └ 39249090: 20% CET (26% of value)</t>
        </is>
      </c>
      <c r="K46" s="7" t="n"/>
      <c r="L46" s="7" t="n"/>
      <c r="M46" s="7" t="n"/>
      <c r="N46" s="7" t="n"/>
      <c r="O46" s="7" t="n"/>
      <c r="P46" s="9" t="n">
        <v>23.72</v>
      </c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8" t="inlineStr">
        <is>
          <t xml:space="preserve">  └ 62034290: 20% CET (17% of value)</t>
        </is>
      </c>
      <c r="K47" s="7" t="n"/>
      <c r="L47" s="7" t="n"/>
      <c r="M47" s="7" t="n"/>
      <c r="N47" s="7" t="n"/>
      <c r="O47" s="7" t="n"/>
      <c r="P47" s="9" t="n">
        <v>15.51</v>
      </c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8" t="inlineStr">
        <is>
          <t xml:space="preserve">  └ 85044000: 5% CET (58% of value)</t>
        </is>
      </c>
      <c r="K48" s="7" t="n"/>
      <c r="L48" s="7" t="n"/>
      <c r="M48" s="7" t="n"/>
      <c r="N48" s="7" t="n"/>
      <c r="O48" s="7" t="n"/>
      <c r="P48" s="9" t="n">
        <v>13.41</v>
      </c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8" t="inlineStr">
        <is>
          <t>CSC (6%)</t>
        </is>
      </c>
      <c r="K49" s="7" t="n"/>
      <c r="L49" s="7" t="n"/>
      <c r="M49" s="7" t="n"/>
      <c r="N49" s="7" t="n"/>
      <c r="O49" s="7" t="n"/>
      <c r="P49" s="9" t="n">
        <v>27.86</v>
      </c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8" t="inlineStr">
        <is>
          <t>VAT (15%) on CIF+CET+CSC</t>
        </is>
      </c>
      <c r="K50" s="7" t="n"/>
      <c r="L50" s="7" t="n"/>
      <c r="M50" s="7" t="n"/>
      <c r="N50" s="7" t="n"/>
      <c r="O50" s="7" t="n"/>
      <c r="P50" s="9" t="n">
        <v>81.70999999999999</v>
      </c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6" t="inlineStr">
        <is>
          <t>ESTIMATED TOTAL DUTIES</t>
        </is>
      </c>
      <c r="K51" s="10" t="n"/>
      <c r="L51" s="10" t="n"/>
      <c r="M51" s="10" t="n"/>
      <c r="N51" s="10" t="n"/>
      <c r="O51" s="10" t="n"/>
      <c r="P51" s="11" t="n">
        <v>162.2</v>
      </c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8" t="inlineStr">
        <is>
          <t>Effective Duty Rate</t>
        </is>
      </c>
      <c r="K52" s="7" t="n"/>
      <c r="L52" s="7" t="n"/>
      <c r="M52" s="7" t="n"/>
      <c r="N52" s="7" t="n"/>
      <c r="O52" s="7" t="n"/>
      <c r="P52" s="12" t="n">
        <v>0.3493731960539353</v>
      </c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</row>
    <row r="53"/>
    <row r="54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  <c r="AI54" s="22" t="n"/>
      <c r="AJ54" s="22" t="n"/>
      <c r="AK54" s="22" t="n"/>
    </row>
    <row r="55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3" t="inlineStr">
        <is>
          <t>═══ COMBINED GRAND SUMMARY ═══</t>
        </is>
      </c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</row>
    <row r="56">
      <c r="L56" s="24" t="inlineStr">
        <is>
          <t>Invoice 112-9925042-2903468</t>
        </is>
      </c>
      <c r="P56" s="25" t="n">
        <v>0.76</v>
      </c>
      <c r="Q56" s="26" t="n">
        <v>-0.75</v>
      </c>
    </row>
    <row r="57">
      <c r="L57" s="24" t="inlineStr">
        <is>
          <t>Invoice 112-9925042-2903468</t>
        </is>
      </c>
      <c r="P57" s="25" t="n">
        <v>1183.41</v>
      </c>
      <c r="Q57" s="26" t="n">
        <v>-1012.53</v>
      </c>
    </row>
    <row r="58"/>
    <row r="59">
      <c r="L59" s="27" t="inlineStr">
        <is>
          <t>GRAND TOTAL</t>
        </is>
      </c>
      <c r="P59" s="28" t="n">
        <v>1184.17</v>
      </c>
    </row>
    <row r="60">
      <c r="L60" s="29" t="inlineStr">
        <is>
          <t>GRAND VARIANCE CHECK</t>
        </is>
      </c>
      <c r="P60" s="26" t="n">
        <v>-1013.28</v>
      </c>
    </row>
    <row r="61">
      <c r="L61" s="30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31" t="inlineStr">
        <is>
          <t>PDF File</t>
        </is>
      </c>
      <c r="B1" s="31" t="inlineStr">
        <is>
          <t>Quality Score</t>
        </is>
      </c>
      <c r="C1" s="31" t="inlineStr">
        <is>
          <t>Rating</t>
        </is>
      </c>
      <c r="D1" s="31" t="inlineStr">
        <is>
          <t>Details</t>
        </is>
      </c>
      <c r="E1" s="31" t="inlineStr">
        <is>
          <t>OCR Text (first 2000 chars)</t>
        </is>
      </c>
    </row>
    <row r="2">
      <c r="A2" s="32" t="inlineStr">
        <is>
          <t>112-9925042-2903468.pdf</t>
        </is>
      </c>
      <c r="B2" s="32" t="inlineStr">
        <is>
          <t>30/100</t>
        </is>
      </c>
      <c r="C2" s="33" t="inlineStr">
        <is>
          <t>POOR</t>
        </is>
      </c>
      <c r="D2" s="32" t="inlineStr">
        <is>
          <t>Text: 770 chars; Prices: 0 ($-sign), 4 (decimal); Total: $0.01 (placeholder); Invoice#: MISSING; Real items: 0/1; Structure words: 4/12</t>
        </is>
      </c>
      <c r="E2" s="34" t="inlineStr">
        <is>
          <t>Oct 24, 1:07 PM Amazon.com - Order 112-9925042-2903468
Billing address
Victoria Virgo
748 BERKELEY AVE
ORANGE, NJ 07050-2005
United States
Your Coupon Savings:
-USD 12.00
Your Coupon Savings:
-USD 1.90
Total before tax:
USD 162.65
Estimated tax to be collected:
USD 8.23
Grand Total:
USD 170.88
Payment Grand Total:
XCD 467.72
To view the status of your order, return to Order Summary.
Conditions of Use | Privacy Notice © 1996-2024, Amazon.com, Inc. or its affiliates
Back to top
English United States Help
Conditions of Use Privacy Notice Consumer Health Data Privacy Disclosure Your Ads Privacy Choices
© 1996-2024, Amazon.com, Inc. or its affiliates
https://www.amazon.com/gp/css/summary/print.html/ref=ppx_yo_dt_b_invoice_o01?ie=UTF8&amp;orderID=112-9925042-2903468 2/2</t>
        </is>
      </c>
    </row>
    <row r="3">
      <c r="A3" s="35" t="inlineStr">
        <is>
          <t>HAWB9591043-Declaration_Invoice.pdf</t>
        </is>
      </c>
      <c r="B3" s="35" t="inlineStr">
        <is>
          <t>100/100</t>
        </is>
      </c>
      <c r="C3" s="35" t="inlineStr">
        <is>
          <t>GOOD</t>
        </is>
      </c>
      <c r="D3" s="35" t="inlineStr">
        <is>
          <t>Text: 3101 chars; Prices: 6 ($-sign), 12 (decimal); Total: $170.88; Invoice#: 112-9925042-2903468; Real items: 5/5; Structure words: 8/12</t>
        </is>
      </c>
      <c r="E3" s="36" t="inlineStr">
        <is>
          <t xml:space="preserve">7a a c .
7/15/24, 1:07 PM Amazon.com - Order 112-9925042-2903468
amazoncom
Details for Order #112-9925042-2903468
Print this page for your records.
Order Placed: July 2, 2024
Amazon.com order number: 112-9925042-2903468
Order Total: USD 170.88
GGG G,QG OO  SoOoOoOoOooo————eEeeeeEeEeEEEEEEE—————————__————————— — —
Not Yet Shipped
Items Ordered Price
1 of: GLASH Kids Toddler Boys Pants, Cotton Joggers, 4-Pack, Grey Camo, 5T O23) S $29.49
oe by: GLASH Kids - Apparel (seller profile) | Product question? Ask Seller
Supplied by: Other
. é
Condition: New é
1 of eae Kids Baby and Toddler Boys 4-Pack Cotton Pants Stripe size 6 {) 4, 4 ) $29.49 A
sol by: GLASH Kids - Apparel (seller profile) | Product question? Ask Seller
Supplied by: Other 1
Condition: New
1 of: MSR Portable Charger, Power Bank 30000mAh Battery Pack with 22.5W Fast Charging, 4 Outputs External Charger PD $37.99
W USB C for iPhone, Samsung, Pad Mini, and More O : ef
Sold by: Recyn-US (seller profile) 4 B
Supplied by: Other ;
Condition: New VON 4% onesies
1 of: Portable-Charger-Power-Bank - 50000mAh Powerbank PD 30W and QC 4.0 Fast Charging External Battery Pack with USB- $39.99
C LED utputs &amp; 2 Inputs Portable Charging for iPhone 15 14 13 pro, Samsung ~
Sol : EnerwowDirect (seller profile
upplied by: Other
Condition: New
1 of: VEEKTOMX Portable Charger with Built-in Cables, 10000mAh Power Bank for iPhone, Slim Fast Charge USB C Battery $23.98
Pack;Travel Essentials Powerbank Compatible with iPhone 15/14/13, Samsung, Android, etc @, »
ae O24 3
old by: Amazon.com Services, Inc
Supplled by: Other
Condition: New
1 of: Zak Designs 160z Riverside Kids Water Bottle with Spout Cover and Built-in Carrying Loop, Made of Durable Plastic, Leak- $15.61 “/
Proof-Désign for Travel (Dino Camo &amp; Safari, Pack of 2) re) SD
old by: Amazon.com Services, Inc ‘
Supplied by: Other
Condition: New
Shipping Address:
Kirla Sylvester
10813 NW 30TH ST STE 115 GRE 3556
MIAMI, FL 33172-2191
United States
Shipping Speed:
FREE Shipping
————— </t>
        </is>
      </c>
    </row>
    <row r="5">
      <c r="A5" s="37" t="inlineStr">
        <is>
          <t>WARNING: OCR text quality is too bad for some pages. Consider rescanning and resubmitting the email.</t>
        </is>
      </c>
    </row>
  </sheetData>
  <mergeCells count="1"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2026-04-26T23:31:15Z</dcterms:created>
  <dcterms:modified xmlns:dcterms="http://purl.org/dc/terms/" xmlns:xsi="http://www.w3.org/2001/XMLSchema-instance" xsi:type="dcterms:W3CDTF">2026-04-26T23:31:20Z</dcterms:modified>
</cp:coreProperties>
</file>