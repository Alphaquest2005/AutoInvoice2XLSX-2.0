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1F4E79"/>
      <sz val="10"/>
    </font>
    <font>
      <color rgb="001F4E79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PO-211-11245148453753900</t>
        </is>
      </c>
      <c r="D2" s="2" t="inlineStr">
        <is>
          <t>2024-06-03</t>
        </is>
      </c>
      <c r="E2" s="2" t="inlineStr">
        <is>
          <t>BAGS &amp; LUGGAGE</t>
        </is>
      </c>
      <c r="F2" s="2" t="inlineStr">
        <is>
          <t>42029200</t>
        </is>
      </c>
      <c r="G2" s="2" t="inlineStr"/>
      <c r="H2" s="2" t="inlineStr"/>
      <c r="I2" s="2" t="inlineStr">
        <is>
          <t>42029200</t>
        </is>
      </c>
      <c r="J2" s="2" t="inlineStr">
        <is>
          <t>Item details (1) 1pc Lightweight Water Resistant Backpack, Boys And Girls Can... (1 items)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13.23</v>
      </c>
      <c r="P2" s="3" t="n">
        <v>13.23</v>
      </c>
      <c r="Q2" s="3">
        <f>O2*K2</f>
        <v/>
      </c>
      <c r="R2" s="3">
        <f>P2-Q2</f>
        <v/>
      </c>
      <c r="S2" s="3" t="n">
        <v>17.15</v>
      </c>
      <c r="T2" s="3" t="n">
        <v>2.99</v>
      </c>
      <c r="U2" s="3" t="n">
        <v>0</v>
      </c>
      <c r="V2" s="3" t="n">
        <v>0.93</v>
      </c>
      <c r="W2" s="3" t="n">
        <v>16.76</v>
      </c>
      <c r="X2" s="2" t="n">
        <v>1</v>
      </c>
      <c r="Y2" s="2" t="n"/>
      <c r="Z2" s="2" t="inlineStr">
        <is>
          <t>TEMU</t>
        </is>
      </c>
      <c r="AA2" s="2" t="inlineStr">
        <is>
          <t>TEMU</t>
        </is>
      </c>
      <c r="AB2" s="2" t="inlineStr">
        <is>
          <t>31 St. James Avenue, Suite 355, Boston, MA 02116</t>
        </is>
      </c>
      <c r="AC2" s="2" t="inlineStr">
        <is>
          <t>CN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42029200</t>
        </is>
      </c>
    </row>
    <row r="3">
      <c r="A3" s="4" t="n"/>
      <c r="B3" s="4" t="n"/>
      <c r="C3" s="4" t="n"/>
      <c r="D3" s="4" t="n"/>
      <c r="E3" s="4" t="n"/>
      <c r="F3" s="4" t="inlineStr">
        <is>
          <t>42029200</t>
        </is>
      </c>
      <c r="G3" s="4" t="n"/>
      <c r="H3" s="4" t="n"/>
      <c r="I3" s="4" t="inlineStr">
        <is>
          <t>TEMU-1</t>
        </is>
      </c>
      <c r="J3" s="4" t="inlineStr">
        <is>
          <t>Item details (1) 1pc Lightweight Water Resistant Backpack, Boys And Girls Can...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13.23</v>
      </c>
      <c r="P3" s="5" t="n">
        <v>13.23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inlineStr">
        <is>
          <t>SUBTOTAL (GROUPED)</t>
        </is>
      </c>
      <c r="K4" s="6" t="n"/>
      <c r="L4" s="6" t="n"/>
      <c r="M4" s="6" t="n"/>
      <c r="N4" s="6" t="n"/>
      <c r="O4" s="6" t="n"/>
      <c r="P4" s="7">
        <f>P2</f>
        <v/>
      </c>
      <c r="Q4" s="7">
        <f>Q2</f>
        <v/>
      </c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inlineStr">
        <is>
          <t>SUBTOTAL (DETAILS)</t>
        </is>
      </c>
      <c r="K5" s="6" t="n"/>
      <c r="L5" s="6" t="n"/>
      <c r="M5" s="6" t="n"/>
      <c r="N5" s="6" t="n"/>
      <c r="O5" s="6" t="n"/>
      <c r="P5" s="7">
        <f>SUM(P2:P3)-P4</f>
        <v/>
      </c>
      <c r="Q5" s="7">
        <f>SUM(Q2:Q3)-Q4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inlineStr">
        <is>
          <t>GROUP VERIFICATION</t>
        </is>
      </c>
      <c r="K6" s="8" t="n"/>
      <c r="L6" s="8" t="n"/>
      <c r="M6" s="8" t="n"/>
      <c r="N6" s="8" t="n"/>
      <c r="O6" s="8" t="n"/>
      <c r="P6" s="9">
        <f>P4-P5</f>
        <v/>
      </c>
      <c r="Q6" s="9">
        <f>Q4-Q5</f>
        <v/>
      </c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TOTAL INTERNAL FREIGHT</t>
        </is>
      </c>
      <c r="K8" s="6" t="n"/>
      <c r="L8" s="6" t="n"/>
      <c r="M8" s="6" t="n"/>
      <c r="N8" s="6" t="n"/>
      <c r="O8" s="6" t="n"/>
      <c r="P8" s="7" t="n">
        <v>2.99</v>
      </c>
      <c r="Q8" s="7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inlineStr">
        <is>
          <t>TOTAL INSURANCE</t>
        </is>
      </c>
      <c r="K9" s="6" t="n"/>
      <c r="L9" s="6" t="n"/>
      <c r="M9" s="6" t="n"/>
      <c r="N9" s="6" t="n"/>
      <c r="O9" s="6" t="n"/>
      <c r="P9" s="7" t="n">
        <v>0</v>
      </c>
      <c r="Q9" s="7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TOTAL OTHER COST</t>
        </is>
      </c>
      <c r="K10" s="6" t="n"/>
      <c r="L10" s="6" t="n"/>
      <c r="M10" s="6" t="n"/>
      <c r="N10" s="6" t="n"/>
      <c r="O10" s="6" t="n"/>
      <c r="P10" s="7" t="n">
        <v>0.93</v>
      </c>
      <c r="Q10" s="7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TOTAL DEDUCTION</t>
        </is>
      </c>
      <c r="K11" s="6" t="n"/>
      <c r="L11" s="6" t="n"/>
      <c r="M11" s="6" t="n"/>
      <c r="N11" s="6" t="n"/>
      <c r="O11" s="6" t="n"/>
      <c r="P11" s="7" t="n">
        <v>16.76</v>
      </c>
      <c r="Q11" s="7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ADJUSTMENTS</t>
        </is>
      </c>
      <c r="K12" s="6" t="n"/>
      <c r="L12" s="6" t="n"/>
      <c r="M12" s="6" t="n"/>
      <c r="N12" s="6" t="n"/>
      <c r="O12" s="6" t="n"/>
      <c r="P12" s="7">
        <f>(T2+U2+V2-W2)</f>
        <v/>
      </c>
      <c r="Q12" s="7">
        <f>(T2+U2+V2-W2)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/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NET TOTAL</t>
        </is>
      </c>
      <c r="K14" s="6" t="n"/>
      <c r="L14" s="6" t="n"/>
      <c r="M14" s="6" t="n"/>
      <c r="N14" s="6" t="n"/>
      <c r="O14" s="6" t="n"/>
      <c r="P14" s="7">
        <f>P4+P12</f>
        <v/>
      </c>
      <c r="Q14" s="7">
        <f>Q4+Q12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INVOICE TOTAL</t>
        </is>
      </c>
      <c r="K15" s="6" t="n"/>
      <c r="L15" s="6" t="n"/>
      <c r="M15" s="6" t="n"/>
      <c r="N15" s="6" t="n"/>
      <c r="O15" s="6" t="n"/>
      <c r="P15" s="7">
        <f>S2</f>
        <v/>
      </c>
      <c r="Q15" s="7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/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inlineStr">
        <is>
          <t>VARIANCE CHECK</t>
        </is>
      </c>
      <c r="K17" s="10" t="n"/>
      <c r="L17" s="10" t="n"/>
      <c r="M17" s="10" t="n"/>
      <c r="N17" s="10" t="n"/>
      <c r="O17" s="10" t="n"/>
      <c r="P17" s="11">
        <f>S2-P14</f>
        <v/>
      </c>
      <c r="Q17" s="11">
        <f>S2-Q14</f>
        <v/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</row>
    <row r="18"/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inlineStr">
        <is>
          <t>DUTY ESTIMATION (Classification Cross-Check)</t>
        </is>
      </c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inlineStr">
        <is>
          <t>CIF (USD) = InvTotal + Freight + Insurance</t>
        </is>
      </c>
      <c r="K20" s="13" t="n"/>
      <c r="L20" s="13" t="n"/>
      <c r="M20" s="13" t="n"/>
      <c r="N20" s="13" t="n"/>
      <c r="O20" s="13" t="n"/>
      <c r="P20" s="15" t="n">
        <v>17.15</v>
      </c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inlineStr">
        <is>
          <t>CIF (XCD) = CIF × 2.7169</t>
        </is>
      </c>
      <c r="K21" s="13" t="n"/>
      <c r="L21" s="13" t="n"/>
      <c r="M21" s="13" t="n"/>
      <c r="N21" s="13" t="n"/>
      <c r="O21" s="13" t="n"/>
      <c r="P21" s="15" t="n">
        <v>46.59</v>
      </c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inlineStr">
        <is>
          <t>CET (20%) — Tariff 42029200</t>
        </is>
      </c>
      <c r="K22" s="13" t="n"/>
      <c r="L22" s="13" t="n"/>
      <c r="M22" s="13" t="n"/>
      <c r="N22" s="13" t="n"/>
      <c r="O22" s="13" t="n"/>
      <c r="P22" s="15" t="n">
        <v>9.32</v>
      </c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4" t="inlineStr">
        <is>
          <t>CSC (6%)</t>
        </is>
      </c>
      <c r="K23" s="13" t="n"/>
      <c r="L23" s="13" t="n"/>
      <c r="M23" s="13" t="n"/>
      <c r="N23" s="13" t="n"/>
      <c r="O23" s="13" t="n"/>
      <c r="P23" s="15" t="n">
        <v>2.8</v>
      </c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4" t="inlineStr">
        <is>
          <t>VAT (15%) on CIF+CET+CSC</t>
        </is>
      </c>
      <c r="K24" s="13" t="n"/>
      <c r="L24" s="13" t="n"/>
      <c r="M24" s="13" t="n"/>
      <c r="N24" s="13" t="n"/>
      <c r="O24" s="13" t="n"/>
      <c r="P24" s="15" t="n">
        <v>8.81</v>
      </c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2" t="inlineStr">
        <is>
          <t>ESTIMATED TOTAL DUTIES</t>
        </is>
      </c>
      <c r="K25" s="16" t="n"/>
      <c r="L25" s="16" t="n"/>
      <c r="M25" s="16" t="n"/>
      <c r="N25" s="16" t="n"/>
      <c r="O25" s="16" t="n"/>
      <c r="P25" s="17" t="n">
        <v>20.93</v>
      </c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16" t="n"/>
      <c r="AJ25" s="16" t="n"/>
      <c r="AK25" s="16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inlineStr">
        <is>
          <t>Effective Duty Rate</t>
        </is>
      </c>
      <c r="K26" s="13" t="n"/>
      <c r="L26" s="13" t="n"/>
      <c r="M26" s="13" t="n"/>
      <c r="N26" s="13" t="n"/>
      <c r="O26" s="13" t="n"/>
      <c r="P26" s="18" t="n">
        <v>0.4492380339128568</v>
      </c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2026-04-24T05:07:07Z</dcterms:created>
  <dcterms:modified xsi:type="dcterms:W3CDTF">2026-04-24T05:07:07Z</dcterms:modified>
</cp:coreProperties>
</file>