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PO-211-11245253311353900</t>
        </is>
      </c>
      <c r="D2" s="2" t="inlineStr">
        <is>
          <t>2024-06-03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20pcs (+4 more) (5 items)</t>
        </is>
      </c>
      <c r="K2" s="2" t="n">
        <v>0</v>
      </c>
      <c r="L2" s="2" t="n"/>
      <c r="M2" s="2" t="inlineStr"/>
      <c r="N2" s="2" t="inlineStr">
        <is>
          <t>USD</t>
        </is>
      </c>
      <c r="O2" s="3" t="inlineStr"/>
      <c r="P2" s="3" t="n">
        <v>37.88</v>
      </c>
      <c r="Q2" s="3">
        <f>O2*K2</f>
        <v/>
      </c>
      <c r="R2" s="3">
        <f>P2-Q2</f>
        <v/>
      </c>
      <c r="S2" s="3" t="n">
        <v>60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ROSE</t>
        </is>
      </c>
      <c r="AA2" s="2" t="inlineStr">
        <is>
          <t>PO-211-11245253311353900</t>
        </is>
      </c>
      <c r="AB2" s="2" t="inlineStr">
        <is>
          <t>31 St. James Avenue, Suite 355, Boston, MA 02116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ITEM-001</t>
        </is>
      </c>
      <c r="J3" s="4" t="inlineStr">
        <is>
          <t>20pcs</t>
        </is>
      </c>
      <c r="K3" s="4" t="n">
        <v>0</v>
      </c>
      <c r="L3" s="4" t="n"/>
      <c r="M3" s="4" t="inlineStr"/>
      <c r="N3" s="4" t="inlineStr">
        <is>
          <t>USD</t>
        </is>
      </c>
      <c r="O3" s="5" t="n">
        <v>3.49</v>
      </c>
      <c r="P3" s="5" t="n">
        <v>3.49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ITEM-002</t>
        </is>
      </c>
      <c r="J4" s="4" t="inlineStr">
        <is>
          <t>L(4-7years old) / Black</t>
        </is>
      </c>
      <c r="K4" s="4" t="n">
        <v>0</v>
      </c>
      <c r="L4" s="4" t="n"/>
      <c r="M4" s="4" t="inlineStr"/>
      <c r="N4" s="4" t="inlineStr">
        <is>
          <t>USD</t>
        </is>
      </c>
      <c r="O4" s="5" t="n">
        <v>6.74</v>
      </c>
      <c r="P4" s="5" t="n">
        <v>6.74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ITEM-003</t>
        </is>
      </c>
      <c r="J5" s="4" t="inlineStr">
        <is>
          <t>S</t>
        </is>
      </c>
      <c r="K5" s="4" t="n">
        <v>0</v>
      </c>
      <c r="L5" s="4" t="n"/>
      <c r="M5" s="4" t="inlineStr"/>
      <c r="N5" s="4" t="inlineStr">
        <is>
          <t>USD</t>
        </is>
      </c>
      <c r="O5" s="5" t="n">
        <v>11.47</v>
      </c>
      <c r="P5" s="5" t="n">
        <v>11.47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00000000</t>
        </is>
      </c>
      <c r="G6" s="4" t="n"/>
      <c r="H6" s="4" t="n"/>
      <c r="I6" s="4" t="inlineStr">
        <is>
          <t>ITEM-004</t>
        </is>
      </c>
      <c r="J6" s="4" t="inlineStr">
        <is>
          <t>Black / 9-10Y</t>
        </is>
      </c>
      <c r="K6" s="4" t="n">
        <v>0</v>
      </c>
      <c r="L6" s="4" t="n"/>
      <c r="M6" s="4" t="inlineStr"/>
      <c r="N6" s="4" t="inlineStr">
        <is>
          <t>USD</t>
        </is>
      </c>
      <c r="O6" s="5" t="n">
        <v>8.99</v>
      </c>
      <c r="P6" s="5" t="n">
        <v>8.99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00000000</t>
        </is>
      </c>
      <c r="G7" s="4" t="n"/>
      <c r="H7" s="4" t="n"/>
      <c r="I7" s="4" t="inlineStr">
        <is>
          <t>ITEM-005</t>
        </is>
      </c>
      <c r="J7" s="4" t="inlineStr">
        <is>
          <t>Black</t>
        </is>
      </c>
      <c r="K7" s="4" t="n">
        <v>0</v>
      </c>
      <c r="L7" s="4" t="n"/>
      <c r="M7" s="4" t="inlineStr"/>
      <c r="N7" s="4" t="inlineStr">
        <is>
          <t>USD</t>
        </is>
      </c>
      <c r="O7" s="5" t="n">
        <v>7.19</v>
      </c>
      <c r="P7" s="5" t="n">
        <v>7.19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2" t="n"/>
      <c r="B8" s="2" t="inlineStr"/>
      <c r="C8" s="2" t="inlineStr">
        <is>
          <t>PO-211-11245253311353900</t>
        </is>
      </c>
      <c r="D8" s="2" t="inlineStr">
        <is>
          <t>2024-06-03</t>
        </is>
      </c>
      <c r="E8" s="2" t="inlineStr">
        <is>
          <t>MARINE ELECTRICAL</t>
        </is>
      </c>
      <c r="F8" s="2" t="inlineStr">
        <is>
          <t>85362000</t>
        </is>
      </c>
      <c r="G8" s="2" t="inlineStr"/>
      <c r="H8" s="2" t="inlineStr"/>
      <c r="I8" s="2" t="inlineStr">
        <is>
          <t>85362000</t>
        </is>
      </c>
      <c r="J8" s="2" t="inlineStr">
        <is>
          <t>Automatic-3 (+1 more) (2 items)</t>
        </is>
      </c>
      <c r="K8" s="2" t="n">
        <v>0</v>
      </c>
      <c r="L8" s="2" t="n"/>
      <c r="M8" s="2" t="inlineStr"/>
      <c r="N8" s="2" t="inlineStr">
        <is>
          <t>USD</t>
        </is>
      </c>
      <c r="O8" s="3" t="inlineStr"/>
      <c r="P8" s="3" t="n">
        <v>18.2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85362000</t>
        </is>
      </c>
    </row>
    <row r="9">
      <c r="A9" s="4" t="n"/>
      <c r="B9" s="4" t="n"/>
      <c r="C9" s="4" t="n"/>
      <c r="D9" s="4" t="n"/>
      <c r="E9" s="4" t="n"/>
      <c r="F9" s="4" t="inlineStr">
        <is>
          <t>85362000</t>
        </is>
      </c>
      <c r="G9" s="4" t="n"/>
      <c r="H9" s="4" t="n"/>
      <c r="I9" s="4" t="inlineStr">
        <is>
          <t>ITEM-006</t>
        </is>
      </c>
      <c r="J9" s="4" t="inlineStr">
        <is>
          <t>Automatic-3</t>
        </is>
      </c>
      <c r="K9" s="4" t="n">
        <v>0</v>
      </c>
      <c r="L9" s="4" t="n"/>
      <c r="M9" s="4" t="inlineStr"/>
      <c r="N9" s="4" t="inlineStr">
        <is>
          <t>USD</t>
        </is>
      </c>
      <c r="O9" s="5" t="n">
        <v>8.84</v>
      </c>
      <c r="P9" s="5" t="n">
        <v>8.84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4" t="n"/>
      <c r="B10" s="4" t="n"/>
      <c r="C10" s="4" t="n"/>
      <c r="D10" s="4" t="n"/>
      <c r="E10" s="4" t="n"/>
      <c r="F10" s="4" t="inlineStr">
        <is>
          <t>85362000</t>
        </is>
      </c>
      <c r="G10" s="4" t="n"/>
      <c r="H10" s="4" t="n"/>
      <c r="I10" s="4" t="inlineStr">
        <is>
          <t>ITEM-007</t>
        </is>
      </c>
      <c r="J10" s="4" t="inlineStr">
        <is>
          <t>Automatic-2</t>
        </is>
      </c>
      <c r="K10" s="4" t="n">
        <v>0</v>
      </c>
      <c r="L10" s="4" t="n"/>
      <c r="M10" s="4" t="inlineStr"/>
      <c r="N10" s="4" t="inlineStr">
        <is>
          <t>USD</t>
        </is>
      </c>
      <c r="O10" s="5" t="n">
        <v>9.359999999999999</v>
      </c>
      <c r="P10" s="5" t="n">
        <v>9.359999999999999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P2+P8</f>
        <v/>
      </c>
      <c r="Q11" s="7">
        <f>Q2+Q8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inlineStr">
        <is>
          <t>DUTY ESTIMATION (Classification Cross-Check)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CIF (USD) = InvTotal + Freight + Insurance</t>
        </is>
      </c>
      <c r="K27" s="13" t="n"/>
      <c r="L27" s="13" t="n"/>
      <c r="M27" s="13" t="n"/>
      <c r="N27" s="13" t="n"/>
      <c r="O27" s="13" t="n"/>
      <c r="P27" s="15" t="n">
        <v>73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CIF (XCD) = CIF × 2.7169</t>
        </is>
      </c>
      <c r="K28" s="13" t="n"/>
      <c r="L28" s="13" t="n"/>
      <c r="M28" s="13" t="n"/>
      <c r="N28" s="13" t="n"/>
      <c r="O28" s="13" t="n"/>
      <c r="P28" s="15" t="n">
        <v>198.33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CET (weighted avg 20.0%)</t>
        </is>
      </c>
      <c r="K29" s="13" t="n"/>
      <c r="L29" s="13" t="n"/>
      <c r="M29" s="13" t="n"/>
      <c r="N29" s="13" t="n"/>
      <c r="O29" s="13" t="n"/>
      <c r="P29" s="15" t="n">
        <v>39.67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00000000: 20% CET (68% of value)</t>
        </is>
      </c>
      <c r="K30" s="13" t="n"/>
      <c r="L30" s="13" t="n"/>
      <c r="M30" s="13" t="n"/>
      <c r="N30" s="13" t="n"/>
      <c r="O30" s="13" t="n"/>
      <c r="P30" s="15" t="n">
        <v>26.79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 xml:space="preserve">  └ 85362000: 20% CET (32% of value)</t>
        </is>
      </c>
      <c r="K31" s="13" t="n"/>
      <c r="L31" s="13" t="n"/>
      <c r="M31" s="13" t="n"/>
      <c r="N31" s="13" t="n"/>
      <c r="O31" s="13" t="n"/>
      <c r="P31" s="15" t="n">
        <v>12.87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CSC (6%)</t>
        </is>
      </c>
      <c r="K32" s="13" t="n"/>
      <c r="L32" s="13" t="n"/>
      <c r="M32" s="13" t="n"/>
      <c r="N32" s="13" t="n"/>
      <c r="O32" s="13" t="n"/>
      <c r="P32" s="15" t="n">
        <v>11.9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VAT (15%) on CIF+CET+CSC</t>
        </is>
      </c>
      <c r="K33" s="13" t="n"/>
      <c r="L33" s="13" t="n"/>
      <c r="M33" s="13" t="n"/>
      <c r="N33" s="13" t="n"/>
      <c r="O33" s="13" t="n"/>
      <c r="P33" s="15" t="n">
        <v>37.48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2" t="inlineStr">
        <is>
          <t>ESTIMATED TOTAL DUTIES</t>
        </is>
      </c>
      <c r="K34" s="16" t="n"/>
      <c r="L34" s="16" t="n"/>
      <c r="M34" s="16" t="n"/>
      <c r="N34" s="16" t="n"/>
      <c r="O34" s="16" t="n"/>
      <c r="P34" s="17" t="n">
        <v>89.05</v>
      </c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Effective Duty Rate</t>
        </is>
      </c>
      <c r="K35" s="13" t="n"/>
      <c r="L35" s="13" t="n"/>
      <c r="M35" s="13" t="n"/>
      <c r="N35" s="13" t="n"/>
      <c r="O35" s="13" t="n"/>
      <c r="P35" s="18" t="n">
        <v>0.4489991428427368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CLIENT DECLARED DUTIES</t>
        </is>
      </c>
      <c r="K36" s="13" t="n"/>
      <c r="L36" s="13" t="n"/>
      <c r="M36" s="13" t="n"/>
      <c r="N36" s="13" t="n"/>
      <c r="O36" s="13" t="n"/>
      <c r="P36" s="15" t="n">
        <v>89.95999999999999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9" t="inlineStr">
        <is>
          <t>DUTY VARIANCE (Client − Estimated)</t>
        </is>
      </c>
      <c r="K37" s="13" t="n"/>
      <c r="L37" s="13" t="n"/>
      <c r="M37" s="13" t="n"/>
      <c r="N37" s="13" t="n"/>
      <c r="O37" s="13" t="n"/>
      <c r="P37" s="15" t="n">
        <v>0.91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IMPLIED CET RATE (from client value)</t>
        </is>
      </c>
      <c r="K38" s="13" t="n"/>
      <c r="L38" s="13" t="n"/>
      <c r="M38" s="13" t="n"/>
      <c r="N38" s="13" t="n"/>
      <c r="O38" s="13" t="n"/>
      <c r="P38" s="18" t="n">
        <v>0.2039890915229119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IMPLIED CIF (from declared duty @ 20% CET, XCD)</t>
        </is>
      </c>
      <c r="K39" s="13" t="n"/>
      <c r="L39" s="13" t="n"/>
      <c r="M39" s="13" t="n"/>
      <c r="N39" s="13" t="n"/>
      <c r="O39" s="13" t="n"/>
      <c r="P39" s="15" t="n">
        <v>200.36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IMPLIED ITEMS VALUE (USD, net of freight/insurance)</t>
        </is>
      </c>
      <c r="K40" s="13" t="n"/>
      <c r="L40" s="13" t="n"/>
      <c r="M40" s="13" t="n"/>
      <c r="N40" s="13" t="n"/>
      <c r="O40" s="13" t="n"/>
      <c r="P40" s="15" t="n">
        <v>60.74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2026-04-24T05:08:19Z</dcterms:created>
  <dcterms:modified xsi:type="dcterms:W3CDTF">2026-04-24T05:08:36Z</dcterms:modified>
</cp:coreProperties>
</file>