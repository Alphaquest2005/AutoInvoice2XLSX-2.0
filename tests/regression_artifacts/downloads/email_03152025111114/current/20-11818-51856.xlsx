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Jul 16 , 2024</t>
        </is>
      </c>
      <c r="E2" s="2" t="inlineStr">
        <is>
          <t>Other lighting or visual signalling equipment</t>
        </is>
      </c>
      <c r="F2" s="2" t="inlineStr">
        <is>
          <t>85122000</t>
        </is>
      </c>
      <c r="G2" s="2" t="inlineStr"/>
      <c r="H2" s="2" t="inlineStr"/>
      <c r="I2" s="2" t="inlineStr">
        <is>
          <t>85122000</t>
        </is>
      </c>
      <c r="J2" s="2" t="inlineStr">
        <is>
          <t>1        FOR 01-04 FRONTIER/SENTRA CLEAR LENS OE DRIVING PAIR FOG LIGHT LAMP+...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32.7</v>
      </c>
      <c r="P2" s="3" t="n">
        <v>32.7</v>
      </c>
      <c r="Q2" s="3">
        <f>O2*K2</f>
        <v/>
      </c>
      <c r="R2" s="3">
        <f>P2-Q2</f>
        <v/>
      </c>
      <c r="S2" s="3" t="n">
        <v>170.51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85122000</t>
        </is>
      </c>
    </row>
    <row r="3">
      <c r="A3" s="4" t="n"/>
      <c r="B3" s="4" t="n"/>
      <c r="C3" s="4" t="n"/>
      <c r="D3" s="4" t="n"/>
      <c r="E3" s="4" t="n"/>
      <c r="F3" s="4" t="inlineStr">
        <is>
          <t>85122000</t>
        </is>
      </c>
      <c r="G3" s="4" t="n"/>
      <c r="H3" s="4" t="n"/>
      <c r="I3" s="4" t="inlineStr">
        <is>
          <t>EBAY-1</t>
        </is>
      </c>
      <c r="J3" s="4" t="inlineStr">
        <is>
          <t>1        FOR 01-04 FRONTIER/SENTRA CLEAR LENS OE DRIVING PAIR FOG LIGHT LAMP+...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32.7</v>
      </c>
      <c r="P3" s="5" t="n">
        <v>32.7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20-11818-51856</t>
        </is>
      </c>
      <c r="D4" s="2" t="inlineStr">
        <is>
          <t>Jul 16 , 2024</t>
        </is>
      </c>
      <c r="E4" s="2" t="inlineStr">
        <is>
          <t>Vehicles and parts</t>
        </is>
      </c>
      <c r="F4" s="2" t="inlineStr">
        <is>
          <t>87089990</t>
        </is>
      </c>
      <c r="G4" s="2" t="inlineStr"/>
      <c r="H4" s="2" t="inlineStr"/>
      <c r="I4" s="2" t="inlineStr">
        <is>
          <t>87089990</t>
        </is>
      </c>
      <c r="J4" s="2" t="inlineStr">
        <is>
          <t>01123                               2.29 1        NEW GENUINE SUZUKI GRAND VI... (+1 more) (2 items)</t>
        </is>
      </c>
      <c r="K4" s="2" t="n">
        <v>2</v>
      </c>
      <c r="L4" s="2" t="n"/>
      <c r="M4" s="2" t="inlineStr"/>
      <c r="N4" s="2" t="inlineStr">
        <is>
          <t>USD</t>
        </is>
      </c>
      <c r="O4" s="3" t="n">
        <v>17.865</v>
      </c>
      <c r="P4" s="3" t="n">
        <v>35.73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87089990</t>
        </is>
      </c>
    </row>
    <row r="5">
      <c r="A5" s="4" t="n"/>
      <c r="B5" s="4" t="n"/>
      <c r="C5" s="4" t="n"/>
      <c r="D5" s="4" t="n"/>
      <c r="E5" s="4" t="n"/>
      <c r="F5" s="4" t="inlineStr">
        <is>
          <t>87089990</t>
        </is>
      </c>
      <c r="G5" s="4" t="n"/>
      <c r="H5" s="4" t="n"/>
      <c r="I5" s="4" t="inlineStr">
        <is>
          <t>EBAY-2</t>
        </is>
      </c>
      <c r="J5" s="4" t="inlineStr">
        <is>
          <t>01123                               2.29 1        NEW GENUINE SUZUKI GRAND VI...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19.04</v>
      </c>
      <c r="P5" s="5" t="n">
        <v>19.04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inlineStr">
        <is>
          <t>87089990</t>
        </is>
      </c>
      <c r="G6" s="4" t="n"/>
      <c r="H6" s="4" t="n"/>
      <c r="I6" s="4" t="inlineStr">
        <is>
          <t>EBAY-4</t>
        </is>
      </c>
      <c r="J6" s="4" t="inlineStr">
        <is>
          <t>APc ( 166001234398 ) Advantage . , a ys oor 1 or Suzuki Grand Vitara Vitara 1...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16.69</v>
      </c>
      <c r="P6" s="5" t="n">
        <v>16.69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2" t="n"/>
      <c r="B7" s="2" t="inlineStr"/>
      <c r="C7" s="2" t="inlineStr">
        <is>
          <t>20-11818-51856</t>
        </is>
      </c>
      <c r="D7" s="2" t="inlineStr">
        <is>
          <t>Jul 16 , 2024</t>
        </is>
      </c>
      <c r="E7" s="2" t="inlineStr">
        <is>
          <t>Vehicles and parts</t>
        </is>
      </c>
      <c r="F7" s="2" t="inlineStr">
        <is>
          <t>87089990</t>
        </is>
      </c>
      <c r="G7" s="2" t="inlineStr"/>
      <c r="H7" s="2" t="inlineStr"/>
      <c r="I7" s="2" t="inlineStr">
        <is>
          <t>00000000</t>
        </is>
      </c>
      <c r="J7" s="2" t="inlineStr">
        <is>
          <t>1179                                134 “ am o a if . * We ' re required by l... (1 items)</t>
        </is>
      </c>
      <c r="K7" s="2" t="n">
        <v>1</v>
      </c>
      <c r="L7" s="2" t="n"/>
      <c r="M7" s="2" t="inlineStr"/>
      <c r="N7" s="2" t="inlineStr">
        <is>
          <t>USD</t>
        </is>
      </c>
      <c r="O7" s="3" t="n">
        <v>20.67</v>
      </c>
      <c r="P7" s="3" t="n">
        <v>20.67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87089990</t>
        </is>
      </c>
    </row>
    <row r="8">
      <c r="A8" s="4" t="n"/>
      <c r="B8" s="4" t="n"/>
      <c r="C8" s="4" t="n"/>
      <c r="D8" s="4" t="n"/>
      <c r="E8" s="4" t="n"/>
      <c r="F8" s="4" t="inlineStr">
        <is>
          <t>87089990</t>
        </is>
      </c>
      <c r="G8" s="4" t="n"/>
      <c r="H8" s="4" t="n"/>
      <c r="I8" s="4" t="inlineStr">
        <is>
          <t>EBAY-3</t>
        </is>
      </c>
      <c r="J8" s="4" t="inlineStr">
        <is>
          <t>1179                                134 “ am o a if . * We ' re required by l...</t>
        </is>
      </c>
      <c r="K8" s="4" t="n">
        <v>1</v>
      </c>
      <c r="L8" s="4" t="n"/>
      <c r="M8" s="4" t="inlineStr"/>
      <c r="N8" s="4" t="inlineStr">
        <is>
          <t>USD</t>
        </is>
      </c>
      <c r="O8" s="5" t="n">
        <v>20.67</v>
      </c>
      <c r="P8" s="5" t="n">
        <v>20.67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inlineStr">
        <is>
          <t>87089990</t>
        </is>
      </c>
    </row>
    <row r="9">
      <c r="A9" s="2" t="n"/>
      <c r="B9" s="2" t="inlineStr"/>
      <c r="C9" s="2" t="inlineStr">
        <is>
          <t>20-11818-51856</t>
        </is>
      </c>
      <c r="D9" s="2" t="inlineStr">
        <is>
          <t>Jul 16 , 2024</t>
        </is>
      </c>
      <c r="E9" s="2" t="inlineStr">
        <is>
          <t>MARINE ELECTRICAL</t>
        </is>
      </c>
      <c r="F9" s="2" t="inlineStr">
        <is>
          <t>85365000</t>
        </is>
      </c>
      <c r="G9" s="2" t="inlineStr"/>
      <c r="H9" s="2" t="inlineStr"/>
      <c r="I9" s="2" t="inlineStr">
        <is>
          <t>85365000</t>
        </is>
      </c>
      <c r="J9" s="2" t="inlineStr">
        <is>
          <t>Switch ( 282981840889 ) Economy : ~ eN 1 OPV NISSANRight Upper Lower Door Hin... (1 items)</t>
        </is>
      </c>
      <c r="K9" s="2" t="n">
        <v>1</v>
      </c>
      <c r="L9" s="2" t="n"/>
      <c r="M9" s="2" t="inlineStr"/>
      <c r="N9" s="2" t="inlineStr">
        <is>
          <t>USD</t>
        </is>
      </c>
      <c r="O9" s="3" t="n">
        <v>59.98</v>
      </c>
      <c r="P9" s="3" t="n">
        <v>59.98</v>
      </c>
      <c r="Q9" s="3">
        <f>O9*K9</f>
        <v/>
      </c>
      <c r="R9" s="3">
        <f>P9-Q9</f>
        <v/>
      </c>
      <c r="S9" s="3" t="n"/>
      <c r="T9" s="3" t="n"/>
      <c r="U9" s="3" t="n"/>
      <c r="V9" s="3" t="n"/>
      <c r="W9" s="3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inlineStr">
        <is>
          <t>85365000</t>
        </is>
      </c>
    </row>
    <row r="10">
      <c r="A10" s="4" t="n"/>
      <c r="B10" s="4" t="n"/>
      <c r="C10" s="4" t="n"/>
      <c r="D10" s="4" t="n"/>
      <c r="E10" s="4" t="n"/>
      <c r="F10" s="4" t="inlineStr">
        <is>
          <t>85365000</t>
        </is>
      </c>
      <c r="G10" s="4" t="n"/>
      <c r="H10" s="4" t="n"/>
      <c r="I10" s="4" t="inlineStr">
        <is>
          <t>EBAY-5</t>
        </is>
      </c>
      <c r="J10" s="4" t="inlineStr">
        <is>
          <t>Switch ( 282981840889 ) Economy : ~ eN 1 OPV NISSANRight Upper Lower Door Hin...</t>
        </is>
      </c>
      <c r="K10" s="4" t="n">
        <v>1</v>
      </c>
      <c r="L10" s="4" t="n"/>
      <c r="M10" s="4" t="inlineStr"/>
      <c r="N10" s="4" t="inlineStr">
        <is>
          <t>USD</t>
        </is>
      </c>
      <c r="O10" s="5" t="n">
        <v>59.98</v>
      </c>
      <c r="P10" s="5" t="n">
        <v>59.98</v>
      </c>
      <c r="Q10" s="5">
        <f>O10*K10</f>
        <v/>
      </c>
      <c r="R10" s="5">
        <f>P10-Q10</f>
        <v/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s="2" t="n"/>
      <c r="B11" s="2" t="inlineStr"/>
      <c r="C11" s="2" t="inlineStr">
        <is>
          <t>20-11818-51856</t>
        </is>
      </c>
      <c r="D11" s="2" t="inlineStr">
        <is>
          <t>Jul 16 , 2024</t>
        </is>
      </c>
      <c r="E11" s="2" t="inlineStr">
        <is>
          <t>Vehicles and parts</t>
        </is>
      </c>
      <c r="F11" s="2" t="inlineStr">
        <is>
          <t>87083099</t>
        </is>
      </c>
      <c r="G11" s="2" t="inlineStr"/>
      <c r="H11" s="2" t="inlineStr"/>
      <c r="I11" s="2" t="inlineStr">
        <is>
          <t>87083099</t>
        </is>
      </c>
      <c r="J11" s="2" t="inlineStr">
        <is>
          <t>005 ( 276109893511 ) Advantage ° A yo La H 5844 Front Disc Brake Hardware Kit... (1 items)</t>
        </is>
      </c>
      <c r="K11" s="2" t="n">
        <v>1</v>
      </c>
      <c r="L11" s="2" t="n"/>
      <c r="M11" s="2" t="inlineStr"/>
      <c r="N11" s="2" t="inlineStr">
        <is>
          <t>USD</t>
        </is>
      </c>
      <c r="O11" s="3" t="n">
        <v>10.27</v>
      </c>
      <c r="P11" s="3" t="n">
        <v>10.27</v>
      </c>
      <c r="Q11" s="3">
        <f>O11*K11</f>
        <v/>
      </c>
      <c r="R11" s="3">
        <f>P11-Q11</f>
        <v/>
      </c>
      <c r="S11" s="3" t="n"/>
      <c r="T11" s="3" t="n"/>
      <c r="U11" s="3" t="n"/>
      <c r="V11" s="3" t="n"/>
      <c r="W11" s="3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inlineStr">
        <is>
          <t>87083099</t>
        </is>
      </c>
    </row>
    <row r="12">
      <c r="A12" s="4" t="n"/>
      <c r="B12" s="4" t="n"/>
      <c r="C12" s="4" t="n"/>
      <c r="D12" s="4" t="n"/>
      <c r="E12" s="4" t="n"/>
      <c r="F12" s="4" t="inlineStr">
        <is>
          <t>87083099</t>
        </is>
      </c>
      <c r="G12" s="4" t="n"/>
      <c r="H12" s="4" t="n"/>
      <c r="I12" s="4" t="inlineStr">
        <is>
          <t>EBAY-6</t>
        </is>
      </c>
      <c r="J12" s="4" t="inlineStr">
        <is>
          <t>005 ( 276109893511 ) Advantage ° A yo La H 5844 Front Disc Brake Hardware Kit...</t>
        </is>
      </c>
      <c r="K12" s="4" t="n">
        <v>1</v>
      </c>
      <c r="L12" s="4" t="n"/>
      <c r="M12" s="4" t="inlineStr"/>
      <c r="N12" s="4" t="inlineStr">
        <is>
          <t>USD</t>
        </is>
      </c>
      <c r="O12" s="5" t="n">
        <v>10.27</v>
      </c>
      <c r="P12" s="5" t="n">
        <v>10.27</v>
      </c>
      <c r="Q12" s="5">
        <f>O12*K12</f>
        <v/>
      </c>
      <c r="R12" s="5">
        <f>P12-Q12</f>
        <v/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SUBTOTAL (GROUPED)</t>
        </is>
      </c>
      <c r="K13" s="6" t="n"/>
      <c r="L13" s="6" t="n"/>
      <c r="M13" s="6" t="n"/>
      <c r="N13" s="6" t="n"/>
      <c r="O13" s="6" t="n"/>
      <c r="P13" s="7">
        <f>P2+P4+P7+P9+P11</f>
        <v/>
      </c>
      <c r="Q13" s="7">
        <f>Q2+Q4+Q7+Q9+Q11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SUBTOTAL (DETAILS)</t>
        </is>
      </c>
      <c r="K14" s="6" t="n"/>
      <c r="L14" s="6" t="n"/>
      <c r="M14" s="6" t="n"/>
      <c r="N14" s="6" t="n"/>
      <c r="O14" s="6" t="n"/>
      <c r="P14" s="7">
        <f>SUM(P2:P12)-P13</f>
        <v/>
      </c>
      <c r="Q14" s="7">
        <f>SUM(Q2:Q12)-Q13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inlineStr">
        <is>
          <t>GROUP VERIFICATION</t>
        </is>
      </c>
      <c r="K15" s="8" t="n"/>
      <c r="L15" s="8" t="n"/>
      <c r="M15" s="8" t="n"/>
      <c r="N15" s="8" t="n"/>
      <c r="O15" s="8" t="n"/>
      <c r="P15" s="9">
        <f>P13-P14</f>
        <v/>
      </c>
      <c r="Q15" s="9">
        <f>Q13-Q14</f>
        <v/>
      </c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</row>
    <row r="16"/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TOTAL INTERNAL FREIGHT</t>
        </is>
      </c>
      <c r="K17" s="6" t="n"/>
      <c r="L17" s="6" t="n"/>
      <c r="M17" s="6" t="n"/>
      <c r="N17" s="6" t="n"/>
      <c r="O17" s="6" t="n"/>
      <c r="P17" s="7" t="n">
        <v>0</v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TOTAL INSURANCE</t>
        </is>
      </c>
      <c r="K18" s="6" t="n"/>
      <c r="L18" s="6" t="n"/>
      <c r="M18" s="6" t="n"/>
      <c r="N18" s="6" t="n"/>
      <c r="O18" s="6" t="n"/>
      <c r="P18" s="7" t="n">
        <v>0</v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TOTAL OTHER COST</t>
        </is>
      </c>
      <c r="K19" s="6" t="n"/>
      <c r="L19" s="6" t="n"/>
      <c r="M19" s="6" t="n"/>
      <c r="N19" s="6" t="n"/>
      <c r="O19" s="6" t="n"/>
      <c r="P19" s="7" t="n">
        <v>0</v>
      </c>
      <c r="Q19" s="7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TOTAL DEDUCTION</t>
        </is>
      </c>
      <c r="K20" s="6" t="n"/>
      <c r="L20" s="6" t="n"/>
      <c r="M20" s="6" t="n"/>
      <c r="N20" s="6" t="n"/>
      <c r="O20" s="6" t="n"/>
      <c r="P20" s="7" t="n">
        <v>0</v>
      </c>
      <c r="Q20" s="7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inlineStr">
        <is>
          <t>ADJUSTMENTS</t>
        </is>
      </c>
      <c r="K21" s="6" t="n"/>
      <c r="L21" s="6" t="n"/>
      <c r="M21" s="6" t="n"/>
      <c r="N21" s="6" t="n"/>
      <c r="O21" s="6" t="n"/>
      <c r="P21" s="7">
        <f>(T2+U2+V2-W2)</f>
        <v/>
      </c>
      <c r="Q21" s="7">
        <f>(T2+U2+V2-W2)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/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inlineStr">
        <is>
          <t>NET TOTAL</t>
        </is>
      </c>
      <c r="K23" s="6" t="n"/>
      <c r="L23" s="6" t="n"/>
      <c r="M23" s="6" t="n"/>
      <c r="N23" s="6" t="n"/>
      <c r="O23" s="6" t="n"/>
      <c r="P23" s="7">
        <f>P13+P21</f>
        <v/>
      </c>
      <c r="Q23" s="7">
        <f>Q13+Q21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inlineStr">
        <is>
          <t>INVOICE TOTAL</t>
        </is>
      </c>
      <c r="K24" s="6" t="n"/>
      <c r="L24" s="6" t="n"/>
      <c r="M24" s="6" t="n"/>
      <c r="N24" s="6" t="n"/>
      <c r="O24" s="6" t="n"/>
      <c r="P24" s="7">
        <f>S2</f>
        <v/>
      </c>
      <c r="Q24" s="7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</row>
    <row r="25"/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inlineStr">
        <is>
          <t>VARIANCE CHECK</t>
        </is>
      </c>
      <c r="K26" s="10" t="n"/>
      <c r="L26" s="10" t="n"/>
      <c r="M26" s="10" t="n"/>
      <c r="N26" s="10" t="n"/>
      <c r="O26" s="10" t="n"/>
      <c r="P26" s="11">
        <f>S2-P23</f>
        <v/>
      </c>
      <c r="Q26" s="11">
        <f>S2-Q23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</row>
    <row r="27"/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inlineStr">
        <is>
          <t>DUTY ESTIMATION (Classification Cross-Check)</t>
        </is>
      </c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CIF (USD) = InvTotal + Freight + Insurance</t>
        </is>
      </c>
      <c r="K29" s="13" t="n"/>
      <c r="L29" s="13" t="n"/>
      <c r="M29" s="13" t="n"/>
      <c r="N29" s="13" t="n"/>
      <c r="O29" s="13" t="n"/>
      <c r="P29" s="15" t="n">
        <v>170.51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CIF (XCD) = CIF × 2.7169</t>
        </is>
      </c>
      <c r="K30" s="13" t="n"/>
      <c r="L30" s="13" t="n"/>
      <c r="M30" s="13" t="n"/>
      <c r="N30" s="13" t="n"/>
      <c r="O30" s="13" t="n"/>
      <c r="P30" s="15" t="n">
        <v>463.26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CET (weighted avg 12.6%)</t>
        </is>
      </c>
      <c r="K31" s="13" t="n"/>
      <c r="L31" s="13" t="n"/>
      <c r="M31" s="13" t="n"/>
      <c r="N31" s="13" t="n"/>
      <c r="O31" s="13" t="n"/>
      <c r="P31" s="15" t="n">
        <v>58.33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 xml:space="preserve">  └ 00000000: 20% CET (13% of value)</t>
        </is>
      </c>
      <c r="K32" s="13" t="n"/>
      <c r="L32" s="13" t="n"/>
      <c r="M32" s="13" t="n"/>
      <c r="N32" s="13" t="n"/>
      <c r="O32" s="13" t="n"/>
      <c r="P32" s="15" t="n">
        <v>12.02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 xml:space="preserve">  └ 85122000: 5% CET (21% of value)</t>
        </is>
      </c>
      <c r="K33" s="13" t="n"/>
      <c r="L33" s="13" t="n"/>
      <c r="M33" s="13" t="n"/>
      <c r="N33" s="13" t="n"/>
      <c r="O33" s="13" t="n"/>
      <c r="P33" s="15" t="n">
        <v>4.75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inlineStr">
        <is>
          <t xml:space="preserve">  └ 85365000: 20% CET (38% of value)</t>
        </is>
      </c>
      <c r="K34" s="13" t="n"/>
      <c r="L34" s="13" t="n"/>
      <c r="M34" s="13" t="n"/>
      <c r="N34" s="13" t="n"/>
      <c r="O34" s="13" t="n"/>
      <c r="P34" s="15" t="n">
        <v>34.87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4" t="inlineStr">
        <is>
          <t xml:space="preserve">  └ 87083099: 5% CET (6% of value)</t>
        </is>
      </c>
      <c r="K35" s="13" t="n"/>
      <c r="L35" s="13" t="n"/>
      <c r="M35" s="13" t="n"/>
      <c r="N35" s="13" t="n"/>
      <c r="O35" s="13" t="n"/>
      <c r="P35" s="15" t="n">
        <v>1.49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4" t="inlineStr">
        <is>
          <t xml:space="preserve">  └ 87089990: 5% CET (22% of value)</t>
        </is>
      </c>
      <c r="K36" s="13" t="n"/>
      <c r="L36" s="13" t="n"/>
      <c r="M36" s="13" t="n"/>
      <c r="N36" s="13" t="n"/>
      <c r="O36" s="13" t="n"/>
      <c r="P36" s="15" t="n">
        <v>5.19</v>
      </c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4" t="inlineStr">
        <is>
          <t>CSC (6%)</t>
        </is>
      </c>
      <c r="K37" s="13" t="n"/>
      <c r="L37" s="13" t="n"/>
      <c r="M37" s="13" t="n"/>
      <c r="N37" s="13" t="n"/>
      <c r="O37" s="13" t="n"/>
      <c r="P37" s="15" t="n">
        <v>27.8</v>
      </c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inlineStr">
        <is>
          <t>VAT (15%) on CIF+CET+CSC</t>
        </is>
      </c>
      <c r="K38" s="13" t="n"/>
      <c r="L38" s="13" t="n"/>
      <c r="M38" s="13" t="n"/>
      <c r="N38" s="13" t="n"/>
      <c r="O38" s="13" t="n"/>
      <c r="P38" s="15" t="n">
        <v>82.41</v>
      </c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2" t="inlineStr">
        <is>
          <t>ESTIMATED TOTAL DUTIES</t>
        </is>
      </c>
      <c r="K39" s="16" t="n"/>
      <c r="L39" s="16" t="n"/>
      <c r="M39" s="16" t="n"/>
      <c r="N39" s="16" t="n"/>
      <c r="O39" s="16" t="n"/>
      <c r="P39" s="17" t="n">
        <v>168.54</v>
      </c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inlineStr">
        <is>
          <t>Effective Duty Rate</t>
        </is>
      </c>
      <c r="K40" s="13" t="n"/>
      <c r="L40" s="13" t="n"/>
      <c r="M40" s="13" t="n"/>
      <c r="N40" s="13" t="n"/>
      <c r="O40" s="13" t="n"/>
      <c r="P40" s="18" t="n">
        <v>0.3638129775935759</v>
      </c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2026-04-26T23:34:41Z</dcterms:created>
  <dcterms:modified xmlns:dcterms="http://purl.org/dc/terms/" xmlns:xsi="http://www.w3.org/2001/XMLSchema-instance" xsi:type="dcterms:W3CDTF">2026-04-26T23:34:47Z</dcterms:modified>
</cp:coreProperties>
</file>