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Vehicles and parts</t>
        </is>
      </c>
      <c r="F2" s="2" t="inlineStr">
        <is>
          <t>87089990</t>
        </is>
      </c>
      <c r="G2" s="2" t="inlineStr"/>
      <c r="H2" s="2" t="inlineStr"/>
      <c r="I2" s="2" t="inlineStr">
        <is>
          <t>EBAY-2</t>
        </is>
      </c>
      <c r="J2" s="2" t="inlineStr">
        <is>
          <t>01123                               2.29 1        NEW GENUINE SUZUKI GRAND VI...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19.04</v>
      </c>
      <c r="P2" s="3" t="n">
        <v>19.04</v>
      </c>
      <c r="Q2" s="3">
        <f>O2*K2</f>
        <v/>
      </c>
      <c r="R2" s="3">
        <f>P2-Q2</f>
        <v/>
      </c>
      <c r="S2" s="3" t="n">
        <v>28.04</v>
      </c>
      <c r="T2" s="3" t="n">
        <v>9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87089990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37.04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100.63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87089990</t>
        </is>
      </c>
      <c r="K11" s="7" t="n"/>
      <c r="L11" s="7" t="n"/>
      <c r="M11" s="7" t="n"/>
      <c r="N11" s="7" t="n"/>
      <c r="O11" s="7" t="n"/>
      <c r="P11" s="9" t="n">
        <v>5.03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6.04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16.75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27.82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0.2764583126304283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60.54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32.72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0.3327042242567478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System=5% vs Client≈33%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5% CET, XCD)</t>
        </is>
      </c>
      <c r="K20" s="7" t="n"/>
      <c r="L20" s="7" t="n"/>
      <c r="M20" s="7" t="n"/>
      <c r="N20" s="7" t="n"/>
      <c r="O20" s="7" t="n"/>
      <c r="P20" s="9" t="n">
        <v>218.95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71.59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3" t="inlineStr">
        <is>
          <t>⚠ ITEM ALLOCATION CHECK: actual $19.04 USD vs implied $71.59 USD — UNDER-ALLOCATED (items from another waybill may belong here)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  <row r="23"/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inlineStr">
        <is>
          <t>Items on other declaration(s) (5 items)</t>
        </is>
      </c>
      <c r="K24" s="15" t="n"/>
      <c r="L24" s="15" t="n"/>
      <c r="M24" s="15" t="n"/>
      <c r="N24" s="15" t="n"/>
      <c r="O24" s="15" t="n"/>
      <c r="P24" s="16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inlineStr">
        <is>
          <t>Other lighting or visual signalling equipment</t>
        </is>
      </c>
      <c r="F25" s="15" t="inlineStr">
        <is>
          <t>85122000</t>
        </is>
      </c>
      <c r="G25" s="15" t="n"/>
      <c r="H25" s="15" t="n"/>
      <c r="I25" s="15" t="n"/>
      <c r="J25" s="15" t="inlineStr">
        <is>
          <t>1        FOR 01-04 FRONTIER/SENTRA CLEAR LENS OE DRIVING PAIR FOG LIGHT LAMP+... (1 items)</t>
        </is>
      </c>
      <c r="K25" s="15" t="n">
        <v>1</v>
      </c>
      <c r="L25" s="15" t="n"/>
      <c r="M25" s="15" t="n"/>
      <c r="N25" s="15" t="inlineStr">
        <is>
          <t>USD</t>
        </is>
      </c>
      <c r="O25" s="16" t="n">
        <v>32.7</v>
      </c>
      <c r="P25" s="16" t="n">
        <v>32.7</v>
      </c>
      <c r="Q25" s="16" t="n"/>
      <c r="R25" s="16" t="n"/>
      <c r="S25" s="16" t="n"/>
      <c r="T25" s="16" t="n"/>
      <c r="U25" s="16" t="n"/>
      <c r="V25" s="16" t="n"/>
      <c r="W25" s="16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inlineStr">
        <is>
          <t>EBAY-1</t>
        </is>
      </c>
      <c r="J26" s="17" t="inlineStr">
        <is>
          <t>1        FOR 01-04 FRONTIER/SENTRA CLEAR LENS OE DRIVING PAIR FOG LIGHT LAMP+...</t>
        </is>
      </c>
      <c r="K26" s="17" t="n">
        <v>1</v>
      </c>
      <c r="L26" s="17" t="n"/>
      <c r="M26" s="17" t="n"/>
      <c r="N26" s="17" t="inlineStr">
        <is>
          <t>USD</t>
        </is>
      </c>
      <c r="O26" s="18" t="n">
        <v>32.7</v>
      </c>
      <c r="P26" s="18" t="n">
        <v>32.7</v>
      </c>
      <c r="Q26" s="18" t="n"/>
      <c r="R26" s="18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5" t="n"/>
      <c r="B27" s="15" t="n"/>
      <c r="C27" s="15" t="n"/>
      <c r="D27" s="15" t="n"/>
      <c r="E27" s="15" t="inlineStr">
        <is>
          <t>Vehicles and parts</t>
        </is>
      </c>
      <c r="F27" s="15" t="inlineStr">
        <is>
          <t>00000000</t>
        </is>
      </c>
      <c r="G27" s="15" t="n"/>
      <c r="H27" s="15" t="n"/>
      <c r="I27" s="15" t="n"/>
      <c r="J27" s="15" t="inlineStr">
        <is>
          <t>1179                                134 “ am o a if . * We ' re required by l... (1 items)</t>
        </is>
      </c>
      <c r="K27" s="15" t="n">
        <v>1</v>
      </c>
      <c r="L27" s="15" t="n"/>
      <c r="M27" s="15" t="n"/>
      <c r="N27" s="15" t="inlineStr">
        <is>
          <t>USD</t>
        </is>
      </c>
      <c r="O27" s="16" t="n">
        <v>20.67</v>
      </c>
      <c r="P27" s="16" t="n">
        <v>20.67</v>
      </c>
      <c r="Q27" s="16" t="n"/>
      <c r="R27" s="16" t="n"/>
      <c r="S27" s="16" t="n"/>
      <c r="T27" s="16" t="n"/>
      <c r="U27" s="16" t="n"/>
      <c r="V27" s="16" t="n"/>
      <c r="W27" s="16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inlineStr">
        <is>
          <t>EBAY-3</t>
        </is>
      </c>
      <c r="J28" s="17" t="inlineStr">
        <is>
          <t>1179                                134 “ am o a if . * We ' re required by l...</t>
        </is>
      </c>
      <c r="K28" s="17" t="n">
        <v>1</v>
      </c>
      <c r="L28" s="17" t="n"/>
      <c r="M28" s="17" t="n"/>
      <c r="N28" s="17" t="inlineStr">
        <is>
          <t>USD</t>
        </is>
      </c>
      <c r="O28" s="18" t="n">
        <v>20.67</v>
      </c>
      <c r="P28" s="18" t="n">
        <v>20.67</v>
      </c>
      <c r="Q28" s="18" t="n"/>
      <c r="R28" s="18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5" t="n"/>
      <c r="B29" s="15" t="n"/>
      <c r="C29" s="15" t="n"/>
      <c r="D29" s="15" t="n"/>
      <c r="E29" s="15" t="inlineStr">
        <is>
          <t>Vehicles and parts</t>
        </is>
      </c>
      <c r="F29" s="15" t="inlineStr">
        <is>
          <t>87089990</t>
        </is>
      </c>
      <c r="G29" s="15" t="n"/>
      <c r="H29" s="15" t="n"/>
      <c r="I29" s="15" t="n"/>
      <c r="J29" s="15" t="inlineStr">
        <is>
          <t>APc ( 166001234398 ) Advantage . , a ys oor 1 or Suzuki Grand Vitara Vitara 1... (1 items)</t>
        </is>
      </c>
      <c r="K29" s="15" t="n">
        <v>1</v>
      </c>
      <c r="L29" s="15" t="n"/>
      <c r="M29" s="15" t="n"/>
      <c r="N29" s="15" t="inlineStr">
        <is>
          <t>USD</t>
        </is>
      </c>
      <c r="O29" s="16" t="n">
        <v>16.69</v>
      </c>
      <c r="P29" s="16" t="n">
        <v>16.69</v>
      </c>
      <c r="Q29" s="16" t="n"/>
      <c r="R29" s="16" t="n"/>
      <c r="S29" s="16" t="n"/>
      <c r="T29" s="16" t="n"/>
      <c r="U29" s="16" t="n"/>
      <c r="V29" s="16" t="n"/>
      <c r="W29" s="16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inlineStr">
        <is>
          <t>EBAY-4</t>
        </is>
      </c>
      <c r="J30" s="17" t="inlineStr">
        <is>
          <t>APc ( 166001234398 ) Advantage . , a ys oor 1 or Suzuki Grand Vitara Vitara 1...</t>
        </is>
      </c>
      <c r="K30" s="17" t="n">
        <v>1</v>
      </c>
      <c r="L30" s="17" t="n"/>
      <c r="M30" s="17" t="n"/>
      <c r="N30" s="17" t="inlineStr">
        <is>
          <t>USD</t>
        </is>
      </c>
      <c r="O30" s="18" t="n">
        <v>16.69</v>
      </c>
      <c r="P30" s="18" t="n">
        <v>16.69</v>
      </c>
      <c r="Q30" s="18" t="n"/>
      <c r="R30" s="18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5" t="n"/>
      <c r="B31" s="15" t="n"/>
      <c r="C31" s="15" t="n"/>
      <c r="D31" s="15" t="n"/>
      <c r="E31" s="15" t="inlineStr">
        <is>
          <t>MARINE ELECTRICAL</t>
        </is>
      </c>
      <c r="F31" s="15" t="inlineStr">
        <is>
          <t>85365000</t>
        </is>
      </c>
      <c r="G31" s="15" t="n"/>
      <c r="H31" s="15" t="n"/>
      <c r="I31" s="15" t="n"/>
      <c r="J31" s="15" t="inlineStr">
        <is>
          <t>Switch ( 282981840889 ) Economy : ~ eN 1 OPV NISSANRight Upper Lower Door Hin... (1 items)</t>
        </is>
      </c>
      <c r="K31" s="15" t="n">
        <v>1</v>
      </c>
      <c r="L31" s="15" t="n"/>
      <c r="M31" s="15" t="n"/>
      <c r="N31" s="15" t="inlineStr">
        <is>
          <t>USD</t>
        </is>
      </c>
      <c r="O31" s="16" t="n">
        <v>59.98</v>
      </c>
      <c r="P31" s="16" t="n">
        <v>59.98</v>
      </c>
      <c r="Q31" s="16" t="n"/>
      <c r="R31" s="16" t="n"/>
      <c r="S31" s="16" t="n"/>
      <c r="T31" s="16" t="n"/>
      <c r="U31" s="16" t="n"/>
      <c r="V31" s="16" t="n"/>
      <c r="W31" s="16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inlineStr">
        <is>
          <t>EBAY-5</t>
        </is>
      </c>
      <c r="J32" s="17" t="inlineStr">
        <is>
          <t>Switch ( 282981840889 ) Economy : ~ eN 1 OPV NISSANRight Upper Lower Door Hin...</t>
        </is>
      </c>
      <c r="K32" s="17" t="n">
        <v>1</v>
      </c>
      <c r="L32" s="17" t="n"/>
      <c r="M32" s="17" t="n"/>
      <c r="N32" s="17" t="inlineStr">
        <is>
          <t>USD</t>
        </is>
      </c>
      <c r="O32" s="18" t="n">
        <v>59.98</v>
      </c>
      <c r="P32" s="18" t="n">
        <v>59.98</v>
      </c>
      <c r="Q32" s="18" t="n"/>
      <c r="R32" s="18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5" t="n"/>
      <c r="B33" s="15" t="n"/>
      <c r="C33" s="15" t="n"/>
      <c r="D33" s="15" t="n"/>
      <c r="E33" s="15" t="inlineStr">
        <is>
          <t>Vehicles and parts</t>
        </is>
      </c>
      <c r="F33" s="15" t="inlineStr">
        <is>
          <t>87083099</t>
        </is>
      </c>
      <c r="G33" s="15" t="n"/>
      <c r="H33" s="15" t="n"/>
      <c r="I33" s="15" t="n"/>
      <c r="J33" s="15" t="inlineStr">
        <is>
          <t>005 ( 276109893511 ) Advantage ° A yo La H 5844 Front Disc Brake Hardware Kit... (1 items)</t>
        </is>
      </c>
      <c r="K33" s="15" t="n">
        <v>1</v>
      </c>
      <c r="L33" s="15" t="n"/>
      <c r="M33" s="15" t="n"/>
      <c r="N33" s="15" t="inlineStr">
        <is>
          <t>USD</t>
        </is>
      </c>
      <c r="O33" s="16" t="n">
        <v>10.27</v>
      </c>
      <c r="P33" s="16" t="n">
        <v>10.27</v>
      </c>
      <c r="Q33" s="16" t="n"/>
      <c r="R33" s="16" t="n"/>
      <c r="S33" s="16" t="n"/>
      <c r="T33" s="16" t="n"/>
      <c r="U33" s="16" t="n"/>
      <c r="V33" s="16" t="n"/>
      <c r="W33" s="16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inlineStr">
        <is>
          <t>EBAY-6</t>
        </is>
      </c>
      <c r="J34" s="17" t="inlineStr">
        <is>
          <t>005 ( 276109893511 ) Advantage ° A yo La H 5844 Front Disc Brake Hardware Kit...</t>
        </is>
      </c>
      <c r="K34" s="17" t="n">
        <v>1</v>
      </c>
      <c r="L34" s="17" t="n"/>
      <c r="M34" s="17" t="n"/>
      <c r="N34" s="17" t="inlineStr">
        <is>
          <t>USD</t>
        </is>
      </c>
      <c r="O34" s="18" t="n">
        <v>10.27</v>
      </c>
      <c r="P34" s="18" t="n">
        <v>10.27</v>
      </c>
      <c r="Q34" s="18" t="n"/>
      <c r="R34" s="18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REFERENCE SUBTOTAL</t>
        </is>
      </c>
      <c r="K35" s="19" t="n"/>
      <c r="L35" s="19" t="n"/>
      <c r="M35" s="19" t="n"/>
      <c r="N35" s="19" t="n"/>
      <c r="O35" s="19" t="n"/>
      <c r="P35" s="20" t="n">
        <v>140.31</v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REFERENCE FREIGHT</t>
        </is>
      </c>
      <c r="K36" s="19" t="n"/>
      <c r="L36" s="19" t="n"/>
      <c r="M36" s="19" t="n"/>
      <c r="N36" s="19" t="n"/>
      <c r="O36" s="19" t="n"/>
      <c r="P36" s="20" t="n">
        <v>17</v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REFERENCE INSURANCE</t>
        </is>
      </c>
      <c r="K37" s="19" t="n"/>
      <c r="L37" s="19" t="n"/>
      <c r="M37" s="19" t="n"/>
      <c r="N37" s="19" t="n"/>
      <c r="O37" s="19" t="n"/>
      <c r="P37" s="20" t="n">
        <v>0</v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REFERENCE OTHER COST</t>
        </is>
      </c>
      <c r="K38" s="19" t="n"/>
      <c r="L38" s="19" t="n"/>
      <c r="M38" s="19" t="n"/>
      <c r="N38" s="19" t="n"/>
      <c r="O38" s="19" t="n"/>
      <c r="P38" s="20" t="n">
        <v>0</v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inlineStr">
        <is>
          <t>REFERENCE DEDUCTION</t>
        </is>
      </c>
      <c r="K39" s="19" t="n"/>
      <c r="L39" s="19" t="n"/>
      <c r="M39" s="19" t="n"/>
      <c r="N39" s="19" t="n"/>
      <c r="O39" s="19" t="n"/>
      <c r="P39" s="20" t="n">
        <v>0</v>
      </c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inlineStr">
        <is>
          <t>REFERENCE ADJUSTMENTS</t>
        </is>
      </c>
      <c r="K40" s="19" t="n"/>
      <c r="L40" s="19" t="n"/>
      <c r="M40" s="19" t="n"/>
      <c r="N40" s="19" t="n"/>
      <c r="O40" s="19" t="n"/>
      <c r="P40" s="20">
        <f>P36+P37+P38-P39</f>
        <v/>
      </c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inlineStr">
        <is>
          <t>REFERENCE NET TOTAL</t>
        </is>
      </c>
      <c r="K41" s="19" t="n"/>
      <c r="L41" s="19" t="n"/>
      <c r="M41" s="19" t="n"/>
      <c r="N41" s="19" t="n"/>
      <c r="O41" s="19" t="n"/>
      <c r="P41" s="20">
        <f>P35+P40</f>
        <v/>
      </c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inlineStr">
        <is>
          <t>COMBINED ITEMS TOTAL</t>
        </is>
      </c>
      <c r="K43" s="19" t="n"/>
      <c r="L43" s="19" t="n"/>
      <c r="M43" s="19" t="n"/>
      <c r="N43" s="19" t="n"/>
      <c r="O43" s="19" t="n"/>
      <c r="P43" s="20">
        <f>P3+P35</f>
        <v/>
      </c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inlineStr">
        <is>
          <t>FULL INVOICE FREIGHT</t>
        </is>
      </c>
      <c r="K44" s="19" t="n"/>
      <c r="L44" s="19" t="n"/>
      <c r="M44" s="19" t="n"/>
      <c r="N44" s="19" t="n"/>
      <c r="O44" s="19" t="n"/>
      <c r="P44" s="20">
        <f>T2+P36</f>
        <v/>
      </c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inlineStr">
        <is>
          <t>FULL INVOICE INSURANCE</t>
        </is>
      </c>
      <c r="K45" s="19" t="n"/>
      <c r="L45" s="19" t="n"/>
      <c r="M45" s="19" t="n"/>
      <c r="N45" s="19" t="n"/>
      <c r="O45" s="19" t="n"/>
      <c r="P45" s="20">
        <f>U2+P37</f>
        <v/>
      </c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inlineStr">
        <is>
          <t>FULL INVOICE OTHER COST</t>
        </is>
      </c>
      <c r="K46" s="19" t="n"/>
      <c r="L46" s="19" t="n"/>
      <c r="M46" s="19" t="n"/>
      <c r="N46" s="19" t="n"/>
      <c r="O46" s="19" t="n"/>
      <c r="P46" s="20">
        <f>V2+P38</f>
        <v/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inlineStr">
        <is>
          <t>FULL INVOICE DEDUCTION</t>
        </is>
      </c>
      <c r="K47" s="19" t="n"/>
      <c r="L47" s="19" t="n"/>
      <c r="M47" s="19" t="n"/>
      <c r="N47" s="19" t="n"/>
      <c r="O47" s="19" t="n"/>
      <c r="P47" s="20">
        <f>W2+P39</f>
        <v/>
      </c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inlineStr">
        <is>
          <t>FULL ADJUSTMENTS</t>
        </is>
      </c>
      <c r="K48" s="19" t="n"/>
      <c r="L48" s="19" t="n"/>
      <c r="M48" s="19" t="n"/>
      <c r="N48" s="19" t="n"/>
      <c r="O48" s="19" t="n"/>
      <c r="P48" s="20">
        <f>P44+P45+P46-P47</f>
        <v/>
      </c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inlineStr">
        <is>
          <t>COMBINED NET TOTAL</t>
        </is>
      </c>
      <c r="K49" s="19" t="n"/>
      <c r="L49" s="19" t="n"/>
      <c r="M49" s="19" t="n"/>
      <c r="N49" s="19" t="n"/>
      <c r="O49" s="19" t="n"/>
      <c r="P49" s="20">
        <f>P43+P48</f>
        <v/>
      </c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inlineStr">
        <is>
          <t>FULL INVOICE TOTAL</t>
        </is>
      </c>
      <c r="K50" s="19" t="n"/>
      <c r="L50" s="19" t="n"/>
      <c r="M50" s="19" t="n"/>
      <c r="N50" s="19" t="n"/>
      <c r="O50" s="19" t="n"/>
      <c r="P50" s="20" t="n">
        <v>185.35</v>
      </c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inlineStr">
        <is>
          <t>COMBINED VARIANCE CHECK</t>
        </is>
      </c>
      <c r="K51" s="19" t="n"/>
      <c r="L51" s="19" t="n"/>
      <c r="M51" s="19" t="n"/>
      <c r="N51" s="19" t="n"/>
      <c r="O51" s="19" t="n"/>
      <c r="P51" s="20">
        <f>P50-P49</f>
        <v/>
      </c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2026-04-26T23:34:54Z</dcterms:created>
  <dcterms:modified xmlns:dcterms="http://purl.org/dc/terms/" xmlns:xsi="http://www.w3.org/2001/XMLSchema-instance" xsi:type="dcterms:W3CDTF">2026-04-26T23:34:54Z</dcterms:modified>
</cp:coreProperties>
</file>