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  <font>
      <b val="1"/>
      <color rgb="00375623"/>
      <sz val="10"/>
    </font>
    <font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7" fillId="4" borderId="1" pivotButton="0" quotePrefix="0" xfId="0"/>
    <xf numFmtId="4" fontId="7" fillId="4" borderId="1" pivotButton="0" quotePrefix="0" xfId="0"/>
    <xf numFmtId="0" fontId="8" fillId="0" borderId="1" pivotButton="0" quotePrefix="0" xfId="0"/>
    <xf numFmtId="4" fontId="8" fillId="0" borderId="1" pivotButton="0" quotePrefix="0" xfId="0"/>
    <xf numFmtId="0" fontId="7" fillId="0" borderId="1" pivotButton="0" quotePrefix="0" xfId="0"/>
    <xf numFmtId="4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20-11818-51856</t>
        </is>
      </c>
      <c r="D2" s="2" t="inlineStr">
        <is>
          <t>Jul 16 , 2024</t>
        </is>
      </c>
      <c r="E2" s="2" t="inlineStr">
        <is>
          <t>Vehicles and parts</t>
        </is>
      </c>
      <c r="F2" s="2" t="inlineStr">
        <is>
          <t>00000000</t>
        </is>
      </c>
      <c r="G2" s="2" t="inlineStr"/>
      <c r="H2" s="2" t="inlineStr"/>
      <c r="I2" s="2" t="inlineStr">
        <is>
          <t>EBAY-3</t>
        </is>
      </c>
      <c r="J2" s="2" t="inlineStr">
        <is>
          <t>1179                                134 “ am o a if . * We ' re required by l...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20.67</v>
      </c>
      <c r="P2" s="3" t="n">
        <v>20.67</v>
      </c>
      <c r="Q2" s="3">
        <f>O2*K2</f>
        <v/>
      </c>
      <c r="R2" s="3">
        <f>P2-Q2</f>
        <v/>
      </c>
      <c r="S2" s="3" t="n">
        <v>23.67</v>
      </c>
      <c r="T2" s="3" t="n">
        <v>3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EBAY</t>
        </is>
      </c>
      <c r="AA2" s="2" t="inlineStr">
        <is>
          <t>eBay</t>
        </is>
      </c>
      <c r="AB2" s="2" t="inlineStr">
        <is>
          <t>2025 Hamilton Avenue, San Jose, CA 95125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00000000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26.67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72.45999999999999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(20%) — Tariff 00000000</t>
        </is>
      </c>
      <c r="K11" s="7" t="n"/>
      <c r="L11" s="7" t="n"/>
      <c r="M11" s="7" t="n"/>
      <c r="N11" s="7" t="n"/>
      <c r="O11" s="7" t="n"/>
      <c r="P11" s="9" t="n">
        <v>14.49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4.35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13.69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32.53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0.4489373447419266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8" t="inlineStr">
        <is>
          <t>CLIENT DECLARED DUTIES</t>
        </is>
      </c>
      <c r="K16" s="7" t="n"/>
      <c r="L16" s="7" t="n"/>
      <c r="M16" s="7" t="n"/>
      <c r="N16" s="7" t="n"/>
      <c r="O16" s="7" t="n"/>
      <c r="P16" s="9" t="n">
        <v>40.8</v>
      </c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13" t="inlineStr">
        <is>
          <t>DUTY VARIANCE (Client − Estimated)</t>
        </is>
      </c>
      <c r="K17" s="7" t="n"/>
      <c r="L17" s="7" t="n"/>
      <c r="M17" s="7" t="n"/>
      <c r="N17" s="7" t="n"/>
      <c r="O17" s="7" t="n"/>
      <c r="P17" s="14" t="n">
        <v>8.27</v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8" t="inlineStr">
        <is>
          <t>IMPLIED CET RATE (from client value)</t>
        </is>
      </c>
      <c r="K18" s="7" t="n"/>
      <c r="L18" s="7" t="n"/>
      <c r="M18" s="7" t="n"/>
      <c r="N18" s="7" t="n"/>
      <c r="O18" s="7" t="n"/>
      <c r="P18" s="12" t="n">
        <v>0.2991906779152517</v>
      </c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13" t="inlineStr">
        <is>
          <t>⚠ CET MISMATCH: System=20% vs Client≈30% — review classification</t>
        </is>
      </c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8" t="inlineStr">
        <is>
          <t>IMPLIED CIF (from declared duty @ 20% CET, XCD)</t>
        </is>
      </c>
      <c r="K20" s="7" t="n"/>
      <c r="L20" s="7" t="n"/>
      <c r="M20" s="7" t="n"/>
      <c r="N20" s="7" t="n"/>
      <c r="O20" s="7" t="n"/>
      <c r="P20" s="9" t="n">
        <v>90.87</v>
      </c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8" t="inlineStr">
        <is>
          <t>IMPLIED ITEMS VALUE (USD, net of freight/insurance)</t>
        </is>
      </c>
      <c r="K21" s="7" t="n"/>
      <c r="L21" s="7" t="n"/>
      <c r="M21" s="7" t="n"/>
      <c r="N21" s="7" t="n"/>
      <c r="O21" s="7" t="n"/>
      <c r="P21" s="9" t="n">
        <v>30.45</v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</row>
    <row r="22"/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inlineStr">
        <is>
          <t>Items on other declaration(s) (5 items)</t>
        </is>
      </c>
      <c r="K23" s="15" t="n"/>
      <c r="L23" s="15" t="n"/>
      <c r="M23" s="15" t="n"/>
      <c r="N23" s="15" t="n"/>
      <c r="O23" s="15" t="n"/>
      <c r="P23" s="16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</row>
    <row r="24">
      <c r="A24" s="15" t="n"/>
      <c r="B24" s="15" t="n"/>
      <c r="C24" s="15" t="n"/>
      <c r="D24" s="15" t="n"/>
      <c r="E24" s="15" t="inlineStr">
        <is>
          <t>Other lighting or visual signalling equipment</t>
        </is>
      </c>
      <c r="F24" s="15" t="inlineStr">
        <is>
          <t>85122000</t>
        </is>
      </c>
      <c r="G24" s="15" t="n"/>
      <c r="H24" s="15" t="n"/>
      <c r="I24" s="15" t="n"/>
      <c r="J24" s="15" t="inlineStr">
        <is>
          <t>1        FOR 01-04 FRONTIER/SENTRA CLEAR LENS OE DRIVING PAIR FOG LIGHT LAMP+... (1 items)</t>
        </is>
      </c>
      <c r="K24" s="15" t="n">
        <v>1</v>
      </c>
      <c r="L24" s="15" t="n"/>
      <c r="M24" s="15" t="n"/>
      <c r="N24" s="15" t="inlineStr">
        <is>
          <t>USD</t>
        </is>
      </c>
      <c r="O24" s="16" t="n">
        <v>32.7</v>
      </c>
      <c r="P24" s="16" t="n">
        <v>32.7</v>
      </c>
      <c r="Q24" s="16" t="n"/>
      <c r="R24" s="16" t="n"/>
      <c r="S24" s="16" t="n"/>
      <c r="T24" s="16" t="n"/>
      <c r="U24" s="16" t="n"/>
      <c r="V24" s="16" t="n"/>
      <c r="W24" s="16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inlineStr">
        <is>
          <t>EBAY-1</t>
        </is>
      </c>
      <c r="J25" s="17" t="inlineStr">
        <is>
          <t>1        FOR 01-04 FRONTIER/SENTRA CLEAR LENS OE DRIVING PAIR FOG LIGHT LAMP+...</t>
        </is>
      </c>
      <c r="K25" s="17" t="n">
        <v>1</v>
      </c>
      <c r="L25" s="17" t="n"/>
      <c r="M25" s="17" t="n"/>
      <c r="N25" s="17" t="inlineStr">
        <is>
          <t>USD</t>
        </is>
      </c>
      <c r="O25" s="18" t="n">
        <v>32.7</v>
      </c>
      <c r="P25" s="18" t="n">
        <v>32.7</v>
      </c>
      <c r="Q25" s="18" t="n"/>
      <c r="R25" s="18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</row>
    <row r="26">
      <c r="A26" s="15" t="n"/>
      <c r="B26" s="15" t="n"/>
      <c r="C26" s="15" t="n"/>
      <c r="D26" s="15" t="n"/>
      <c r="E26" s="15" t="inlineStr">
        <is>
          <t>Vehicles and parts</t>
        </is>
      </c>
      <c r="F26" s="15" t="inlineStr">
        <is>
          <t>87089990</t>
        </is>
      </c>
      <c r="G26" s="15" t="n"/>
      <c r="H26" s="15" t="n"/>
      <c r="I26" s="15" t="n"/>
      <c r="J26" s="15" t="inlineStr">
        <is>
          <t>01123                               2.29 1        NEW GENUINE SUZUKI GRAND VI... (+1 more) (2 items)</t>
        </is>
      </c>
      <c r="K26" s="15" t="n">
        <v>2</v>
      </c>
      <c r="L26" s="15" t="n"/>
      <c r="M26" s="15" t="n"/>
      <c r="N26" s="15" t="inlineStr">
        <is>
          <t>USD</t>
        </is>
      </c>
      <c r="O26" s="16" t="n">
        <v>17.865</v>
      </c>
      <c r="P26" s="16" t="n">
        <v>35.73</v>
      </c>
      <c r="Q26" s="16" t="n"/>
      <c r="R26" s="16" t="n"/>
      <c r="S26" s="16" t="n"/>
      <c r="T26" s="16" t="n"/>
      <c r="U26" s="16" t="n"/>
      <c r="V26" s="16" t="n"/>
      <c r="W26" s="16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inlineStr">
        <is>
          <t>EBAY-2</t>
        </is>
      </c>
      <c r="J27" s="17" t="inlineStr">
        <is>
          <t>01123                               2.29 1        NEW GENUINE SUZUKI GRAND VI...</t>
        </is>
      </c>
      <c r="K27" s="17" t="n">
        <v>1</v>
      </c>
      <c r="L27" s="17" t="n"/>
      <c r="M27" s="17" t="n"/>
      <c r="N27" s="17" t="inlineStr">
        <is>
          <t>USD</t>
        </is>
      </c>
      <c r="O27" s="18" t="n">
        <v>19.04</v>
      </c>
      <c r="P27" s="18" t="n">
        <v>19.04</v>
      </c>
      <c r="Q27" s="18" t="n"/>
      <c r="R27" s="18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inlineStr">
        <is>
          <t>EBAY-4</t>
        </is>
      </c>
      <c r="J28" s="17" t="inlineStr">
        <is>
          <t>APc ( 166001234398 ) Advantage . , a ys oor 1 or Suzuki Grand Vitara Vitara 1...</t>
        </is>
      </c>
      <c r="K28" s="17" t="n">
        <v>1</v>
      </c>
      <c r="L28" s="17" t="n"/>
      <c r="M28" s="17" t="n"/>
      <c r="N28" s="17" t="inlineStr">
        <is>
          <t>USD</t>
        </is>
      </c>
      <c r="O28" s="18" t="n">
        <v>16.69</v>
      </c>
      <c r="P28" s="18" t="n">
        <v>16.69</v>
      </c>
      <c r="Q28" s="18" t="n"/>
      <c r="R28" s="18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</row>
    <row r="29">
      <c r="A29" s="15" t="n"/>
      <c r="B29" s="15" t="n"/>
      <c r="C29" s="15" t="n"/>
      <c r="D29" s="15" t="n"/>
      <c r="E29" s="15" t="inlineStr">
        <is>
          <t>MARINE ELECTRICAL</t>
        </is>
      </c>
      <c r="F29" s="15" t="inlineStr">
        <is>
          <t>85365000</t>
        </is>
      </c>
      <c r="G29" s="15" t="n"/>
      <c r="H29" s="15" t="n"/>
      <c r="I29" s="15" t="n"/>
      <c r="J29" s="15" t="inlineStr">
        <is>
          <t>Switch ( 282981840889 ) Economy : ~ eN 1 OPV NISSANRight Upper Lower Door Hin... (1 items)</t>
        </is>
      </c>
      <c r="K29" s="15" t="n">
        <v>1</v>
      </c>
      <c r="L29" s="15" t="n"/>
      <c r="M29" s="15" t="n"/>
      <c r="N29" s="15" t="inlineStr">
        <is>
          <t>USD</t>
        </is>
      </c>
      <c r="O29" s="16" t="n">
        <v>59.98</v>
      </c>
      <c r="P29" s="16" t="n">
        <v>59.98</v>
      </c>
      <c r="Q29" s="16" t="n"/>
      <c r="R29" s="16" t="n"/>
      <c r="S29" s="16" t="n"/>
      <c r="T29" s="16" t="n"/>
      <c r="U29" s="16" t="n"/>
      <c r="V29" s="16" t="n"/>
      <c r="W29" s="16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inlineStr">
        <is>
          <t>EBAY-5</t>
        </is>
      </c>
      <c r="J30" s="17" t="inlineStr">
        <is>
          <t>Switch ( 282981840889 ) Economy : ~ eN 1 OPV NISSANRight Upper Lower Door Hin...</t>
        </is>
      </c>
      <c r="K30" s="17" t="n">
        <v>1</v>
      </c>
      <c r="L30" s="17" t="n"/>
      <c r="M30" s="17" t="n"/>
      <c r="N30" s="17" t="inlineStr">
        <is>
          <t>USD</t>
        </is>
      </c>
      <c r="O30" s="18" t="n">
        <v>59.98</v>
      </c>
      <c r="P30" s="18" t="n">
        <v>59.98</v>
      </c>
      <c r="Q30" s="18" t="n"/>
      <c r="R30" s="18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</row>
    <row r="31">
      <c r="A31" s="15" t="n"/>
      <c r="B31" s="15" t="n"/>
      <c r="C31" s="15" t="n"/>
      <c r="D31" s="15" t="n"/>
      <c r="E31" s="15" t="inlineStr">
        <is>
          <t>Vehicles and parts</t>
        </is>
      </c>
      <c r="F31" s="15" t="inlineStr">
        <is>
          <t>87083099</t>
        </is>
      </c>
      <c r="G31" s="15" t="n"/>
      <c r="H31" s="15" t="n"/>
      <c r="I31" s="15" t="n"/>
      <c r="J31" s="15" t="inlineStr">
        <is>
          <t>005 ( 276109893511 ) Advantage ° A yo La H 5844 Front Disc Brake Hardware Kit... (1 items)</t>
        </is>
      </c>
      <c r="K31" s="15" t="n">
        <v>1</v>
      </c>
      <c r="L31" s="15" t="n"/>
      <c r="M31" s="15" t="n"/>
      <c r="N31" s="15" t="inlineStr">
        <is>
          <t>USD</t>
        </is>
      </c>
      <c r="O31" s="16" t="n">
        <v>10.27</v>
      </c>
      <c r="P31" s="16" t="n">
        <v>10.27</v>
      </c>
      <c r="Q31" s="16" t="n"/>
      <c r="R31" s="16" t="n"/>
      <c r="S31" s="16" t="n"/>
      <c r="T31" s="16" t="n"/>
      <c r="U31" s="16" t="n"/>
      <c r="V31" s="16" t="n"/>
      <c r="W31" s="16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inlineStr">
        <is>
          <t>EBAY-6</t>
        </is>
      </c>
      <c r="J32" s="17" t="inlineStr">
        <is>
          <t>005 ( 276109893511 ) Advantage ° A yo La H 5844 Front Disc Brake Hardware Kit...</t>
        </is>
      </c>
      <c r="K32" s="17" t="n">
        <v>1</v>
      </c>
      <c r="L32" s="17" t="n"/>
      <c r="M32" s="17" t="n"/>
      <c r="N32" s="17" t="inlineStr">
        <is>
          <t>USD</t>
        </is>
      </c>
      <c r="O32" s="18" t="n">
        <v>10.27</v>
      </c>
      <c r="P32" s="18" t="n">
        <v>10.27</v>
      </c>
      <c r="Q32" s="18" t="n"/>
      <c r="R32" s="18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</row>
    <row r="33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inlineStr">
        <is>
          <t>REFERENCE SUBTOTAL</t>
        </is>
      </c>
      <c r="K33" s="19" t="n"/>
      <c r="L33" s="19" t="n"/>
      <c r="M33" s="19" t="n"/>
      <c r="N33" s="19" t="n"/>
      <c r="O33" s="19" t="n"/>
      <c r="P33" s="20" t="n">
        <v>138.68</v>
      </c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n"/>
      <c r="AJ33" s="19" t="n"/>
      <c r="AK33" s="19" t="n"/>
    </row>
    <row r="34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inlineStr">
        <is>
          <t>REFERENCE FREIGHT</t>
        </is>
      </c>
      <c r="K34" s="19" t="n"/>
      <c r="L34" s="19" t="n"/>
      <c r="M34" s="19" t="n"/>
      <c r="N34" s="19" t="n"/>
      <c r="O34" s="19" t="n"/>
      <c r="P34" s="20" t="n">
        <v>23</v>
      </c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9" t="n"/>
      <c r="AI34" s="19" t="n"/>
      <c r="AJ34" s="19" t="n"/>
      <c r="AK34" s="19" t="n"/>
    </row>
    <row r="35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inlineStr">
        <is>
          <t>REFERENCE INSURANCE</t>
        </is>
      </c>
      <c r="K35" s="19" t="n"/>
      <c r="L35" s="19" t="n"/>
      <c r="M35" s="19" t="n"/>
      <c r="N35" s="19" t="n"/>
      <c r="O35" s="19" t="n"/>
      <c r="P35" s="20" t="n">
        <v>0</v>
      </c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9" t="n"/>
      <c r="AI35" s="19" t="n"/>
      <c r="AJ35" s="19" t="n"/>
      <c r="AK35" s="19" t="n"/>
    </row>
    <row r="36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inlineStr">
        <is>
          <t>REFERENCE OTHER COST</t>
        </is>
      </c>
      <c r="K36" s="19" t="n"/>
      <c r="L36" s="19" t="n"/>
      <c r="M36" s="19" t="n"/>
      <c r="N36" s="19" t="n"/>
      <c r="O36" s="19" t="n"/>
      <c r="P36" s="20" t="n">
        <v>0</v>
      </c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9" t="n"/>
    </row>
    <row r="37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inlineStr">
        <is>
          <t>REFERENCE DEDUCTION</t>
        </is>
      </c>
      <c r="K37" s="19" t="n"/>
      <c r="L37" s="19" t="n"/>
      <c r="M37" s="19" t="n"/>
      <c r="N37" s="19" t="n"/>
      <c r="O37" s="19" t="n"/>
      <c r="P37" s="20" t="n">
        <v>0</v>
      </c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9" t="n"/>
      <c r="AI37" s="19" t="n"/>
      <c r="AJ37" s="19" t="n"/>
      <c r="AK37" s="19" t="n"/>
    </row>
    <row r="38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inlineStr">
        <is>
          <t>REFERENCE ADJUSTMENTS</t>
        </is>
      </c>
      <c r="K38" s="19" t="n"/>
      <c r="L38" s="19" t="n"/>
      <c r="M38" s="19" t="n"/>
      <c r="N38" s="19" t="n"/>
      <c r="O38" s="19" t="n"/>
      <c r="P38" s="20">
        <f>P34+P35+P36-P37</f>
        <v/>
      </c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19" t="n"/>
      <c r="AI38" s="19" t="n"/>
      <c r="AJ38" s="19" t="n"/>
      <c r="AK38" s="19" t="n"/>
    </row>
    <row r="39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inlineStr">
        <is>
          <t>REFERENCE NET TOTAL</t>
        </is>
      </c>
      <c r="K39" s="19" t="n"/>
      <c r="L39" s="19" t="n"/>
      <c r="M39" s="19" t="n"/>
      <c r="N39" s="19" t="n"/>
      <c r="O39" s="19" t="n"/>
      <c r="P39" s="20">
        <f>P33+P38</f>
        <v/>
      </c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9" t="n"/>
    </row>
    <row r="41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inlineStr">
        <is>
          <t>COMBINED ITEMS TOTAL</t>
        </is>
      </c>
      <c r="K41" s="19" t="n"/>
      <c r="L41" s="19" t="n"/>
      <c r="M41" s="19" t="n"/>
      <c r="N41" s="19" t="n"/>
      <c r="O41" s="19" t="n"/>
      <c r="P41" s="20">
        <f>P3+P33</f>
        <v/>
      </c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9" t="n"/>
      <c r="AI41" s="19" t="n"/>
      <c r="AJ41" s="19" t="n"/>
      <c r="AK41" s="19" t="n"/>
    </row>
    <row r="42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inlineStr">
        <is>
          <t>FULL INVOICE FREIGHT</t>
        </is>
      </c>
      <c r="K42" s="19" t="n"/>
      <c r="L42" s="19" t="n"/>
      <c r="M42" s="19" t="n"/>
      <c r="N42" s="19" t="n"/>
      <c r="O42" s="19" t="n"/>
      <c r="P42" s="20">
        <f>T2+P34</f>
        <v/>
      </c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n"/>
      <c r="AJ42" s="19" t="n"/>
      <c r="AK42" s="19" t="n"/>
    </row>
    <row r="43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inlineStr">
        <is>
          <t>FULL INVOICE INSURANCE</t>
        </is>
      </c>
      <c r="K43" s="19" t="n"/>
      <c r="L43" s="19" t="n"/>
      <c r="M43" s="19" t="n"/>
      <c r="N43" s="19" t="n"/>
      <c r="O43" s="19" t="n"/>
      <c r="P43" s="20">
        <f>U2+P35</f>
        <v/>
      </c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9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inlineStr">
        <is>
          <t>FULL INVOICE OTHER COST</t>
        </is>
      </c>
      <c r="K44" s="19" t="n"/>
      <c r="L44" s="19" t="n"/>
      <c r="M44" s="19" t="n"/>
      <c r="N44" s="19" t="n"/>
      <c r="O44" s="19" t="n"/>
      <c r="P44" s="20">
        <f>V2+P36</f>
        <v/>
      </c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inlineStr">
        <is>
          <t>FULL INVOICE DEDUCTION</t>
        </is>
      </c>
      <c r="K45" s="19" t="n"/>
      <c r="L45" s="19" t="n"/>
      <c r="M45" s="19" t="n"/>
      <c r="N45" s="19" t="n"/>
      <c r="O45" s="19" t="n"/>
      <c r="P45" s="20">
        <f>W2+P37</f>
        <v/>
      </c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9" t="n"/>
      <c r="AI45" s="19" t="n"/>
      <c r="AJ45" s="19" t="n"/>
      <c r="AK45" s="19" t="n"/>
    </row>
    <row r="46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inlineStr">
        <is>
          <t>FULL ADJUSTMENTS</t>
        </is>
      </c>
      <c r="K46" s="19" t="n"/>
      <c r="L46" s="19" t="n"/>
      <c r="M46" s="19" t="n"/>
      <c r="N46" s="19" t="n"/>
      <c r="O46" s="19" t="n"/>
      <c r="P46" s="20">
        <f>P42+P43+P44-P45</f>
        <v/>
      </c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  <c r="AE46" s="19" t="n"/>
      <c r="AF46" s="19" t="n"/>
      <c r="AG46" s="19" t="n"/>
      <c r="AH46" s="19" t="n"/>
      <c r="AI46" s="19" t="n"/>
      <c r="AJ46" s="19" t="n"/>
      <c r="AK46" s="19" t="n"/>
    </row>
    <row r="47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inlineStr">
        <is>
          <t>COMBINED NET TOTAL</t>
        </is>
      </c>
      <c r="K47" s="19" t="n"/>
      <c r="L47" s="19" t="n"/>
      <c r="M47" s="19" t="n"/>
      <c r="N47" s="19" t="n"/>
      <c r="O47" s="19" t="n"/>
      <c r="P47" s="20">
        <f>P41+P46</f>
        <v/>
      </c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  <c r="AE47" s="19" t="n"/>
      <c r="AF47" s="19" t="n"/>
      <c r="AG47" s="19" t="n"/>
      <c r="AH47" s="19" t="n"/>
      <c r="AI47" s="19" t="n"/>
      <c r="AJ47" s="19" t="n"/>
      <c r="AK47" s="19" t="n"/>
    </row>
    <row r="48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inlineStr">
        <is>
          <t>FULL INVOICE TOTAL</t>
        </is>
      </c>
      <c r="K48" s="19" t="n"/>
      <c r="L48" s="19" t="n"/>
      <c r="M48" s="19" t="n"/>
      <c r="N48" s="19" t="n"/>
      <c r="O48" s="19" t="n"/>
      <c r="P48" s="20" t="n">
        <v>185.35</v>
      </c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9" t="n"/>
      <c r="AI48" s="19" t="n"/>
      <c r="AJ48" s="19" t="n"/>
      <c r="AK48" s="19" t="n"/>
    </row>
    <row r="49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inlineStr">
        <is>
          <t>COMBINED VARIANCE CHECK</t>
        </is>
      </c>
      <c r="K49" s="19" t="n"/>
      <c r="L49" s="19" t="n"/>
      <c r="M49" s="19" t="n"/>
      <c r="N49" s="19" t="n"/>
      <c r="O49" s="19" t="n"/>
      <c r="P49" s="20">
        <f>P48-P47</f>
        <v/>
      </c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  <c r="AE49" s="19" t="n"/>
      <c r="AF49" s="19" t="n"/>
      <c r="AG49" s="19" t="n"/>
      <c r="AH49" s="19" t="n"/>
      <c r="AI49" s="19" t="n"/>
      <c r="AJ49" s="19" t="n"/>
      <c r="AK49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2026-04-26T23:34:54Z</dcterms:created>
  <dcterms:modified xmlns:dcterms="http://purl.org/dc/terms/" xmlns:xsi="http://www.w3.org/2001/XMLSchema-instance" xsi:type="dcterms:W3CDTF">2026-04-26T23:34:54Z</dcterms:modified>
</cp:coreProperties>
</file>