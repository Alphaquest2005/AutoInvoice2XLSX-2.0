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Vehicles and parts</t>
        </is>
      </c>
      <c r="F2" s="2" t="inlineStr">
        <is>
          <t>87089990</t>
        </is>
      </c>
      <c r="G2" s="2" t="inlineStr"/>
      <c r="H2" s="2" t="inlineStr"/>
      <c r="I2" s="2" t="inlineStr">
        <is>
          <t>EBAY-4</t>
        </is>
      </c>
      <c r="J2" s="2" t="inlineStr">
        <is>
          <t>APc ( 166001234398 ) Advantage . , a ys oor 1 or Suzuki Grand Vitara Vitara 1...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16.69</v>
      </c>
      <c r="P2" s="3" t="n">
        <v>16.69</v>
      </c>
      <c r="Q2" s="3">
        <f>O2*K2</f>
        <v/>
      </c>
      <c r="R2" s="3">
        <f>P2-Q2</f>
        <v/>
      </c>
      <c r="S2" s="3" t="n">
        <v>19.69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87089990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22.69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61.65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87089990</t>
        </is>
      </c>
      <c r="K11" s="7" t="n"/>
      <c r="L11" s="7" t="n"/>
      <c r="M11" s="7" t="n"/>
      <c r="N11" s="7" t="n"/>
      <c r="O11" s="7" t="n"/>
      <c r="P11" s="9" t="n">
        <v>3.08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10.26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17.04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0.2763990267639903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(5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Other lighting or visual signalling equipment</t>
        </is>
      </c>
      <c r="F18" s="13" t="inlineStr">
        <is>
          <t>85122000</t>
        </is>
      </c>
      <c r="G18" s="13" t="n"/>
      <c r="H18" s="13" t="n"/>
      <c r="I18" s="13" t="n"/>
      <c r="J18" s="13" t="inlineStr">
        <is>
          <t>1        FOR 01-04 FRONTIER/SENTRA CLEAR LENS OE DRIVING PAIR FOG LIGHT LAMP+... (1 items)</t>
        </is>
      </c>
      <c r="K18" s="13" t="n">
        <v>1</v>
      </c>
      <c r="L18" s="13" t="n"/>
      <c r="M18" s="13" t="n"/>
      <c r="N18" s="13" t="inlineStr">
        <is>
          <t>USD</t>
        </is>
      </c>
      <c r="O18" s="14" t="n">
        <v>32.7</v>
      </c>
      <c r="P18" s="14" t="n">
        <v>32.7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EBAY-1</t>
        </is>
      </c>
      <c r="J19" s="15" t="inlineStr">
        <is>
          <t>1        FOR 01-04 FRONTIER/SENTRA CLEAR LENS OE DRIVING PAIR FOG LIGHT LAMP+...</t>
        </is>
      </c>
      <c r="K19" s="15" t="n">
        <v>1</v>
      </c>
      <c r="L19" s="15" t="n"/>
      <c r="M19" s="15" t="n"/>
      <c r="N19" s="15" t="inlineStr">
        <is>
          <t>USD</t>
        </is>
      </c>
      <c r="O19" s="16" t="n">
        <v>32.7</v>
      </c>
      <c r="P19" s="16" t="n">
        <v>32.7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3" t="n"/>
      <c r="B20" s="13" t="n"/>
      <c r="C20" s="13" t="n"/>
      <c r="D20" s="13" t="n"/>
      <c r="E20" s="13" t="inlineStr">
        <is>
          <t>Vehicles and parts</t>
        </is>
      </c>
      <c r="F20" s="13" t="inlineStr">
        <is>
          <t>87089990</t>
        </is>
      </c>
      <c r="G20" s="13" t="n"/>
      <c r="H20" s="13" t="n"/>
      <c r="I20" s="13" t="n"/>
      <c r="J20" s="13" t="inlineStr">
        <is>
          <t>01123                               2.29 1        NEW GENUINE SUZUKI GRAND VI... (1 items)</t>
        </is>
      </c>
      <c r="K20" s="13" t="n">
        <v>1</v>
      </c>
      <c r="L20" s="13" t="n"/>
      <c r="M20" s="13" t="n"/>
      <c r="N20" s="13" t="inlineStr">
        <is>
          <t>USD</t>
        </is>
      </c>
      <c r="O20" s="14" t="n">
        <v>19.04</v>
      </c>
      <c r="P20" s="14" t="n">
        <v>19.04</v>
      </c>
      <c r="Q20" s="14" t="n"/>
      <c r="R20" s="14" t="n"/>
      <c r="S20" s="14" t="n"/>
      <c r="T20" s="14" t="n"/>
      <c r="U20" s="14" t="n"/>
      <c r="V20" s="14" t="n"/>
      <c r="W20" s="14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inlineStr">
        <is>
          <t>EBAY-2</t>
        </is>
      </c>
      <c r="J21" s="15" t="inlineStr">
        <is>
          <t>01123                               2.29 1        NEW GENUINE SUZUKI GRAND VI...</t>
        </is>
      </c>
      <c r="K21" s="15" t="n">
        <v>1</v>
      </c>
      <c r="L21" s="15" t="n"/>
      <c r="M21" s="15" t="n"/>
      <c r="N21" s="15" t="inlineStr">
        <is>
          <t>USD</t>
        </is>
      </c>
      <c r="O21" s="16" t="n">
        <v>19.04</v>
      </c>
      <c r="P21" s="16" t="n">
        <v>19.04</v>
      </c>
      <c r="Q21" s="16" t="n"/>
      <c r="R21" s="16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3" t="n"/>
      <c r="B22" s="13" t="n"/>
      <c r="C22" s="13" t="n"/>
      <c r="D22" s="13" t="n"/>
      <c r="E22" s="13" t="inlineStr">
        <is>
          <t>Vehicles and parts</t>
        </is>
      </c>
      <c r="F22" s="13" t="inlineStr">
        <is>
          <t>00000000</t>
        </is>
      </c>
      <c r="G22" s="13" t="n"/>
      <c r="H22" s="13" t="n"/>
      <c r="I22" s="13" t="n"/>
      <c r="J22" s="13" t="inlineStr">
        <is>
          <t>1179                                134 “ am o a if . * We ' re required by l... (1 items)</t>
        </is>
      </c>
      <c r="K22" s="13" t="n">
        <v>1</v>
      </c>
      <c r="L22" s="13" t="n"/>
      <c r="M22" s="13" t="n"/>
      <c r="N22" s="13" t="inlineStr">
        <is>
          <t>USD</t>
        </is>
      </c>
      <c r="O22" s="14" t="n">
        <v>20.67</v>
      </c>
      <c r="P22" s="14" t="n">
        <v>20.67</v>
      </c>
      <c r="Q22" s="14" t="n"/>
      <c r="R22" s="14" t="n"/>
      <c r="S22" s="14" t="n"/>
      <c r="T22" s="14" t="n"/>
      <c r="U22" s="14" t="n"/>
      <c r="V22" s="14" t="n"/>
      <c r="W22" s="14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inlineStr">
        <is>
          <t>EBAY-3</t>
        </is>
      </c>
      <c r="J23" s="15" t="inlineStr">
        <is>
          <t>1179                                134 “ am o a if . * We ' re required by l...</t>
        </is>
      </c>
      <c r="K23" s="15" t="n">
        <v>1</v>
      </c>
      <c r="L23" s="15" t="n"/>
      <c r="M23" s="15" t="n"/>
      <c r="N23" s="15" t="inlineStr">
        <is>
          <t>USD</t>
        </is>
      </c>
      <c r="O23" s="16" t="n">
        <v>20.67</v>
      </c>
      <c r="P23" s="16" t="n">
        <v>20.67</v>
      </c>
      <c r="Q23" s="16" t="n"/>
      <c r="R23" s="16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3" t="n"/>
      <c r="B24" s="13" t="n"/>
      <c r="C24" s="13" t="n"/>
      <c r="D24" s="13" t="n"/>
      <c r="E24" s="13" t="inlineStr">
        <is>
          <t>MARINE ELECTRICAL</t>
        </is>
      </c>
      <c r="F24" s="13" t="inlineStr">
        <is>
          <t>85365000</t>
        </is>
      </c>
      <c r="G24" s="13" t="n"/>
      <c r="H24" s="13" t="n"/>
      <c r="I24" s="13" t="n"/>
      <c r="J24" s="13" t="inlineStr">
        <is>
          <t>Switch ( 282981840889 ) Economy : ~ eN 1 OPV NISSANRight Upper Lower Door Hin... (1 items)</t>
        </is>
      </c>
      <c r="K24" s="13" t="n">
        <v>1</v>
      </c>
      <c r="L24" s="13" t="n"/>
      <c r="M24" s="13" t="n"/>
      <c r="N24" s="13" t="inlineStr">
        <is>
          <t>USD</t>
        </is>
      </c>
      <c r="O24" s="14" t="n">
        <v>59.98</v>
      </c>
      <c r="P24" s="14" t="n">
        <v>59.98</v>
      </c>
      <c r="Q24" s="14" t="n"/>
      <c r="R24" s="14" t="n"/>
      <c r="S24" s="14" t="n"/>
      <c r="T24" s="14" t="n"/>
      <c r="U24" s="14" t="n"/>
      <c r="V24" s="14" t="n"/>
      <c r="W24" s="14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inlineStr">
        <is>
          <t>EBAY-5</t>
        </is>
      </c>
      <c r="J25" s="15" t="inlineStr">
        <is>
          <t>Switch ( 282981840889 ) Economy : ~ eN 1 OPV NISSANRight Upper Lower Door Hin...</t>
        </is>
      </c>
      <c r="K25" s="15" t="n">
        <v>1</v>
      </c>
      <c r="L25" s="15" t="n"/>
      <c r="M25" s="15" t="n"/>
      <c r="N25" s="15" t="inlineStr">
        <is>
          <t>USD</t>
        </is>
      </c>
      <c r="O25" s="16" t="n">
        <v>59.98</v>
      </c>
      <c r="P25" s="16" t="n">
        <v>59.98</v>
      </c>
      <c r="Q25" s="16" t="n"/>
      <c r="R25" s="16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3" t="n"/>
      <c r="B26" s="13" t="n"/>
      <c r="C26" s="13" t="n"/>
      <c r="D26" s="13" t="n"/>
      <c r="E26" s="13" t="inlineStr">
        <is>
          <t>Vehicles and parts</t>
        </is>
      </c>
      <c r="F26" s="13" t="inlineStr">
        <is>
          <t>87083099</t>
        </is>
      </c>
      <c r="G26" s="13" t="n"/>
      <c r="H26" s="13" t="n"/>
      <c r="I26" s="13" t="n"/>
      <c r="J26" s="13" t="inlineStr">
        <is>
          <t>005 ( 276109893511 ) Advantage ° A yo La H 5844 Front Disc Brake Hardware Kit... (1 items)</t>
        </is>
      </c>
      <c r="K26" s="13" t="n">
        <v>1</v>
      </c>
      <c r="L26" s="13" t="n"/>
      <c r="M26" s="13" t="n"/>
      <c r="N26" s="13" t="inlineStr">
        <is>
          <t>USD</t>
        </is>
      </c>
      <c r="O26" s="14" t="n">
        <v>10.27</v>
      </c>
      <c r="P26" s="14" t="n">
        <v>10.27</v>
      </c>
      <c r="Q26" s="14" t="n"/>
      <c r="R26" s="14" t="n"/>
      <c r="S26" s="14" t="n"/>
      <c r="T26" s="14" t="n"/>
      <c r="U26" s="14" t="n"/>
      <c r="V26" s="14" t="n"/>
      <c r="W26" s="14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inlineStr">
        <is>
          <t>EBAY-6</t>
        </is>
      </c>
      <c r="J27" s="15" t="inlineStr">
        <is>
          <t>005 ( 276109893511 ) Advantage ° A yo La H 5844 Front Disc Brake Hardware Kit...</t>
        </is>
      </c>
      <c r="K27" s="15" t="n">
        <v>1</v>
      </c>
      <c r="L27" s="15" t="n"/>
      <c r="M27" s="15" t="n"/>
      <c r="N27" s="15" t="inlineStr">
        <is>
          <t>USD</t>
        </is>
      </c>
      <c r="O27" s="16" t="n">
        <v>10.27</v>
      </c>
      <c r="P27" s="16" t="n">
        <v>10.27</v>
      </c>
      <c r="Q27" s="16" t="n"/>
      <c r="R27" s="16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inlineStr">
        <is>
          <t>REFERENCE SUBTOTAL</t>
        </is>
      </c>
      <c r="K28" s="17" t="n"/>
      <c r="L28" s="17" t="n"/>
      <c r="M28" s="17" t="n"/>
      <c r="N28" s="17" t="n"/>
      <c r="O28" s="17" t="n"/>
      <c r="P28" s="18" t="n">
        <v>142.66</v>
      </c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REFERENCE FREIGHT</t>
        </is>
      </c>
      <c r="K29" s="17" t="n"/>
      <c r="L29" s="17" t="n"/>
      <c r="M29" s="17" t="n"/>
      <c r="N29" s="17" t="n"/>
      <c r="O29" s="17" t="n"/>
      <c r="P29" s="18" t="n">
        <v>23</v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inlineStr">
        <is>
          <t>REFERENCE INSURANCE</t>
        </is>
      </c>
      <c r="K30" s="17" t="n"/>
      <c r="L30" s="17" t="n"/>
      <c r="M30" s="17" t="n"/>
      <c r="N30" s="17" t="n"/>
      <c r="O30" s="17" t="n"/>
      <c r="P30" s="18" t="n">
        <v>0</v>
      </c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REFERENCE OTHER COST</t>
        </is>
      </c>
      <c r="K31" s="17" t="n"/>
      <c r="L31" s="17" t="n"/>
      <c r="M31" s="17" t="n"/>
      <c r="N31" s="17" t="n"/>
      <c r="O31" s="17" t="n"/>
      <c r="P31" s="18" t="n">
        <v>0</v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REFERENCE DEDUCTION</t>
        </is>
      </c>
      <c r="K32" s="17" t="n"/>
      <c r="L32" s="17" t="n"/>
      <c r="M32" s="17" t="n"/>
      <c r="N32" s="17" t="n"/>
      <c r="O32" s="17" t="n"/>
      <c r="P32" s="18" t="n">
        <v>0</v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REFERENCE ADJUSTMENTS</t>
        </is>
      </c>
      <c r="K33" s="17" t="n"/>
      <c r="L33" s="17" t="n"/>
      <c r="M33" s="17" t="n"/>
      <c r="N33" s="17" t="n"/>
      <c r="O33" s="17" t="n"/>
      <c r="P33" s="18">
        <f>P29+P30+P31-P32</f>
        <v/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inlineStr">
        <is>
          <t>REFERENCE NET TOTAL</t>
        </is>
      </c>
      <c r="K34" s="17" t="n"/>
      <c r="L34" s="17" t="n"/>
      <c r="M34" s="17" t="n"/>
      <c r="N34" s="17" t="n"/>
      <c r="O34" s="17" t="n"/>
      <c r="P34" s="18">
        <f>P28+P33</f>
        <v/>
      </c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inlineStr">
        <is>
          <t>COMBINED ITEMS TOTAL</t>
        </is>
      </c>
      <c r="K36" s="17" t="n"/>
      <c r="L36" s="17" t="n"/>
      <c r="M36" s="17" t="n"/>
      <c r="N36" s="17" t="n"/>
      <c r="O36" s="17" t="n"/>
      <c r="P36" s="18">
        <f>P3+P28</f>
        <v/>
      </c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FULL INVOICE FREIGHT</t>
        </is>
      </c>
      <c r="K37" s="17" t="n"/>
      <c r="L37" s="17" t="n"/>
      <c r="M37" s="17" t="n"/>
      <c r="N37" s="17" t="n"/>
      <c r="O37" s="17" t="n"/>
      <c r="P37" s="18">
        <f>T2+P29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inlineStr">
        <is>
          <t>FULL INVOICE INSURANCE</t>
        </is>
      </c>
      <c r="K38" s="17" t="n"/>
      <c r="L38" s="17" t="n"/>
      <c r="M38" s="17" t="n"/>
      <c r="N38" s="17" t="n"/>
      <c r="O38" s="17" t="n"/>
      <c r="P38" s="18">
        <f>U2+P30</f>
        <v/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inlineStr">
        <is>
          <t>FULL INVOICE OTHER COST</t>
        </is>
      </c>
      <c r="K39" s="17" t="n"/>
      <c r="L39" s="17" t="n"/>
      <c r="M39" s="17" t="n"/>
      <c r="N39" s="17" t="n"/>
      <c r="O39" s="17" t="n"/>
      <c r="P39" s="18">
        <f>V2+P31</f>
        <v/>
      </c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inlineStr">
        <is>
          <t>FULL INVOICE DEDUCTION</t>
        </is>
      </c>
      <c r="K40" s="17" t="n"/>
      <c r="L40" s="17" t="n"/>
      <c r="M40" s="17" t="n"/>
      <c r="N40" s="17" t="n"/>
      <c r="O40" s="17" t="n"/>
      <c r="P40" s="18">
        <f>W2+P32</f>
        <v/>
      </c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inlineStr">
        <is>
          <t>FULL ADJUSTMENTS</t>
        </is>
      </c>
      <c r="K41" s="17" t="n"/>
      <c r="L41" s="17" t="n"/>
      <c r="M41" s="17" t="n"/>
      <c r="N41" s="17" t="n"/>
      <c r="O41" s="17" t="n"/>
      <c r="P41" s="18">
        <f>P37+P38+P39-P40</f>
        <v/>
      </c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inlineStr">
        <is>
          <t>COMBINED NET TOTAL</t>
        </is>
      </c>
      <c r="K42" s="17" t="n"/>
      <c r="L42" s="17" t="n"/>
      <c r="M42" s="17" t="n"/>
      <c r="N42" s="17" t="n"/>
      <c r="O42" s="17" t="n"/>
      <c r="P42" s="18">
        <f>P36+P41</f>
        <v/>
      </c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inlineStr">
        <is>
          <t>FULL INVOICE TOTAL</t>
        </is>
      </c>
      <c r="K43" s="17" t="n"/>
      <c r="L43" s="17" t="n"/>
      <c r="M43" s="17" t="n"/>
      <c r="N43" s="17" t="n"/>
      <c r="O43" s="17" t="n"/>
      <c r="P43" s="18" t="n">
        <v>185.35</v>
      </c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inlineStr">
        <is>
          <t>COMBINED VARIANCE CHECK</t>
        </is>
      </c>
      <c r="K44" s="17" t="n"/>
      <c r="L44" s="17" t="n"/>
      <c r="M44" s="17" t="n"/>
      <c r="N44" s="17" t="n"/>
      <c r="O44" s="17" t="n"/>
      <c r="P44" s="18">
        <f>P43-P42</f>
        <v/>
      </c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