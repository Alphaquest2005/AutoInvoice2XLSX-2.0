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1F4E79"/>
      <sz val="10"/>
    </font>
    <font>
      <color rgb="001F4E79"/>
      <sz val="10"/>
    </font>
    <font>
      <b val="1"/>
      <color rgb="00375623"/>
      <sz val="10"/>
    </font>
    <font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0" fillId="3" borderId="1" pivotButton="0" quotePrefix="0" xfId="0"/>
    <xf numFmtId="164" fontId="4" fillId="3" borderId="1" pivotButton="0" quotePrefix="0" xfId="0"/>
    <xf numFmtId="165" fontId="4" fillId="0" borderId="1" pivotButton="0" quotePrefix="0" xfId="0"/>
    <xf numFmtId="0" fontId="6" fillId="4" borderId="1" pivotButton="0" quotePrefix="0" xfId="0"/>
    <xf numFmtId="4" fontId="6" fillId="4" borderId="1" pivotButton="0" quotePrefix="0" xfId="0"/>
    <xf numFmtId="0" fontId="7" fillId="0" borderId="1" pivotButton="0" quotePrefix="0" xfId="0"/>
    <xf numFmtId="4" fontId="7" fillId="0" borderId="1" pivotButton="0" quotePrefix="0" xfId="0"/>
    <xf numFmtId="0" fontId="6" fillId="0" borderId="1" pivotButton="0" quotePrefix="0" xfId="0"/>
    <xf numFmtId="4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20-11818-51856</t>
        </is>
      </c>
      <c r="D2" s="2" t="inlineStr">
        <is>
          <t>Jul 16 , 2024</t>
        </is>
      </c>
      <c r="E2" s="2" t="inlineStr">
        <is>
          <t>Vehicles and parts</t>
        </is>
      </c>
      <c r="F2" s="2" t="inlineStr">
        <is>
          <t>87083099</t>
        </is>
      </c>
      <c r="G2" s="2" t="inlineStr"/>
      <c r="H2" s="2" t="inlineStr"/>
      <c r="I2" s="2" t="inlineStr">
        <is>
          <t>EBAY-6</t>
        </is>
      </c>
      <c r="J2" s="2" t="inlineStr">
        <is>
          <t>005 ( 276109893511 ) Advantage ° A yo La H 5844 Front Disc Brake Hardware Kit...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10.27</v>
      </c>
      <c r="P2" s="3" t="n">
        <v>10.27</v>
      </c>
      <c r="Q2" s="3">
        <f>O2*K2</f>
        <v/>
      </c>
      <c r="R2" s="3">
        <f>P2-Q2</f>
        <v/>
      </c>
      <c r="S2" s="3" t="n">
        <v>13.27</v>
      </c>
      <c r="T2" s="3" t="n">
        <v>3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EBAY</t>
        </is>
      </c>
      <c r="AA2" s="2" t="inlineStr">
        <is>
          <t>eBay</t>
        </is>
      </c>
      <c r="AB2" s="2" t="inlineStr">
        <is>
          <t>2025 Hamilton Avenue, San Jose, CA 95125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87083099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inlineStr">
        <is>
          <t>SUBTOTAL</t>
        </is>
      </c>
      <c r="K3" s="4" t="n"/>
      <c r="L3" s="4" t="n"/>
      <c r="M3" s="4" t="n"/>
      <c r="N3" s="4" t="n"/>
      <c r="O3" s="4" t="n"/>
      <c r="P3" s="5">
        <f>P2</f>
        <v/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inlineStr">
        <is>
          <t>ADJUSTMENTS</t>
        </is>
      </c>
      <c r="K4" s="4" t="n"/>
      <c r="L4" s="4" t="n"/>
      <c r="M4" s="4" t="n"/>
      <c r="N4" s="4" t="n"/>
      <c r="O4" s="4" t="n"/>
      <c r="P4" s="5">
        <f>(T2+U2+V2-W2)</f>
        <v/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inlineStr">
        <is>
          <t>NET TOTAL</t>
        </is>
      </c>
      <c r="K5" s="4" t="n"/>
      <c r="L5" s="4" t="n"/>
      <c r="M5" s="4" t="n"/>
      <c r="N5" s="4" t="n"/>
      <c r="O5" s="4" t="n"/>
      <c r="P5" s="5">
        <f>(P3+P4)</f>
        <v/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inlineStr">
        <is>
          <t>VARIANCE CHECK</t>
        </is>
      </c>
      <c r="K6" s="4" t="n"/>
      <c r="L6" s="4" t="n"/>
      <c r="M6" s="4" t="n"/>
      <c r="N6" s="4" t="n"/>
      <c r="O6" s="4" t="n"/>
      <c r="P6" s="5">
        <f>(S2-P5)</f>
        <v/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DUTY ESTIMATION (Classification Cross-Check)</t>
        </is>
      </c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8" t="inlineStr">
        <is>
          <t>CIF (USD) = InvTotal + Freight + Insurance</t>
        </is>
      </c>
      <c r="K9" s="7" t="n"/>
      <c r="L9" s="7" t="n"/>
      <c r="M9" s="7" t="n"/>
      <c r="N9" s="7" t="n"/>
      <c r="O9" s="7" t="n"/>
      <c r="P9" s="9" t="n">
        <v>16.27</v>
      </c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8" t="inlineStr">
        <is>
          <t>CIF (XCD) = CIF × 2.7169</t>
        </is>
      </c>
      <c r="K10" s="7" t="n"/>
      <c r="L10" s="7" t="n"/>
      <c r="M10" s="7" t="n"/>
      <c r="N10" s="7" t="n"/>
      <c r="O10" s="7" t="n"/>
      <c r="P10" s="9" t="n">
        <v>44.2</v>
      </c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8" t="inlineStr">
        <is>
          <t>CET (5%) — Tariff 87083099</t>
        </is>
      </c>
      <c r="K11" s="7" t="n"/>
      <c r="L11" s="7" t="n"/>
      <c r="M11" s="7" t="n"/>
      <c r="N11" s="7" t="n"/>
      <c r="O11" s="7" t="n"/>
      <c r="P11" s="9" t="n">
        <v>2.21</v>
      </c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8" t="inlineStr">
        <is>
          <t>CSC (6%)</t>
        </is>
      </c>
      <c r="K12" s="7" t="n"/>
      <c r="L12" s="7" t="n"/>
      <c r="M12" s="7" t="n"/>
      <c r="N12" s="7" t="n"/>
      <c r="O12" s="7" t="n"/>
      <c r="P12" s="9" t="n">
        <v>2.65</v>
      </c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8" t="inlineStr">
        <is>
          <t>VAT (15%) on CIF+CET+CSC</t>
        </is>
      </c>
      <c r="K13" s="7" t="n"/>
      <c r="L13" s="7" t="n"/>
      <c r="M13" s="7" t="n"/>
      <c r="N13" s="7" t="n"/>
      <c r="O13" s="7" t="n"/>
      <c r="P13" s="9" t="n">
        <v>7.36</v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6" t="inlineStr">
        <is>
          <t>ESTIMATED TOTAL DUTIES</t>
        </is>
      </c>
      <c r="K14" s="10" t="n"/>
      <c r="L14" s="10" t="n"/>
      <c r="M14" s="10" t="n"/>
      <c r="N14" s="10" t="n"/>
      <c r="O14" s="10" t="n"/>
      <c r="P14" s="11" t="n">
        <v>12.22</v>
      </c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8" t="inlineStr">
        <is>
          <t>Effective Duty Rate</t>
        </is>
      </c>
      <c r="K15" s="7" t="n"/>
      <c r="L15" s="7" t="n"/>
      <c r="M15" s="7" t="n"/>
      <c r="N15" s="7" t="n"/>
      <c r="O15" s="7" t="n"/>
      <c r="P15" s="12" t="n">
        <v>0.2764705882352941</v>
      </c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</row>
    <row r="16"/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inlineStr">
        <is>
          <t>Items on other declaration(s) (5 items)</t>
        </is>
      </c>
      <c r="K17" s="13" t="n"/>
      <c r="L17" s="13" t="n"/>
      <c r="M17" s="13" t="n"/>
      <c r="N17" s="13" t="n"/>
      <c r="O17" s="13" t="n"/>
      <c r="P17" s="14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3" t="n"/>
      <c r="AF17" s="13" t="n"/>
      <c r="AG17" s="13" t="n"/>
      <c r="AH17" s="13" t="n"/>
      <c r="AI17" s="13" t="n"/>
      <c r="AJ17" s="13" t="n"/>
      <c r="AK17" s="13" t="n"/>
    </row>
    <row r="18">
      <c r="A18" s="13" t="n"/>
      <c r="B18" s="13" t="n"/>
      <c r="C18" s="13" t="n"/>
      <c r="D18" s="13" t="n"/>
      <c r="E18" s="13" t="inlineStr">
        <is>
          <t>Other lighting or visual signalling equipment</t>
        </is>
      </c>
      <c r="F18" s="13" t="inlineStr">
        <is>
          <t>85122000</t>
        </is>
      </c>
      <c r="G18" s="13" t="n"/>
      <c r="H18" s="13" t="n"/>
      <c r="I18" s="13" t="n"/>
      <c r="J18" s="13" t="inlineStr">
        <is>
          <t>1        FOR 01-04 FRONTIER/SENTRA CLEAR LENS OE DRIVING PAIR FOG LIGHT LAMP+... (1 items)</t>
        </is>
      </c>
      <c r="K18" s="13" t="n">
        <v>1</v>
      </c>
      <c r="L18" s="13" t="n"/>
      <c r="M18" s="13" t="n"/>
      <c r="N18" s="13" t="inlineStr">
        <is>
          <t>USD</t>
        </is>
      </c>
      <c r="O18" s="14" t="n">
        <v>32.7</v>
      </c>
      <c r="P18" s="14" t="n">
        <v>32.7</v>
      </c>
      <c r="Q18" s="14" t="n"/>
      <c r="R18" s="14" t="n"/>
      <c r="S18" s="14" t="n"/>
      <c r="T18" s="14" t="n"/>
      <c r="U18" s="14" t="n"/>
      <c r="V18" s="14" t="n"/>
      <c r="W18" s="14" t="n"/>
      <c r="X18" s="13" t="n"/>
      <c r="Y18" s="13" t="n"/>
      <c r="Z18" s="13" t="n"/>
      <c r="AA18" s="13" t="n"/>
      <c r="AB18" s="13" t="n"/>
      <c r="AC18" s="13" t="n"/>
      <c r="AD18" s="13" t="n"/>
      <c r="AE18" s="13" t="n"/>
      <c r="AF18" s="13" t="n"/>
      <c r="AG18" s="13" t="n"/>
      <c r="AH18" s="13" t="n"/>
      <c r="AI18" s="13" t="n"/>
      <c r="AJ18" s="13" t="n"/>
      <c r="AK18" s="13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inlineStr">
        <is>
          <t>EBAY-1</t>
        </is>
      </c>
      <c r="J19" s="15" t="inlineStr">
        <is>
          <t>1        FOR 01-04 FRONTIER/SENTRA CLEAR LENS OE DRIVING PAIR FOG LIGHT LAMP+...</t>
        </is>
      </c>
      <c r="K19" s="15" t="n">
        <v>1</v>
      </c>
      <c r="L19" s="15" t="n"/>
      <c r="M19" s="15" t="n"/>
      <c r="N19" s="15" t="inlineStr">
        <is>
          <t>USD</t>
        </is>
      </c>
      <c r="O19" s="16" t="n">
        <v>32.7</v>
      </c>
      <c r="P19" s="16" t="n">
        <v>32.7</v>
      </c>
      <c r="Q19" s="16" t="n"/>
      <c r="R19" s="16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</row>
    <row r="20">
      <c r="A20" s="13" t="n"/>
      <c r="B20" s="13" t="n"/>
      <c r="C20" s="13" t="n"/>
      <c r="D20" s="13" t="n"/>
      <c r="E20" s="13" t="inlineStr">
        <is>
          <t>Vehicles and parts</t>
        </is>
      </c>
      <c r="F20" s="13" t="inlineStr">
        <is>
          <t>87089990</t>
        </is>
      </c>
      <c r="G20" s="13" t="n"/>
      <c r="H20" s="13" t="n"/>
      <c r="I20" s="13" t="n"/>
      <c r="J20" s="13" t="inlineStr">
        <is>
          <t>01123                               2.29 1        NEW GENUINE SUZUKI GRAND VI... (+1 more) (2 items)</t>
        </is>
      </c>
      <c r="K20" s="13" t="n">
        <v>2</v>
      </c>
      <c r="L20" s="13" t="n"/>
      <c r="M20" s="13" t="n"/>
      <c r="N20" s="13" t="inlineStr">
        <is>
          <t>USD</t>
        </is>
      </c>
      <c r="O20" s="14" t="n">
        <v>17.865</v>
      </c>
      <c r="P20" s="14" t="n">
        <v>35.73</v>
      </c>
      <c r="Q20" s="14" t="n"/>
      <c r="R20" s="14" t="n"/>
      <c r="S20" s="14" t="n"/>
      <c r="T20" s="14" t="n"/>
      <c r="U20" s="14" t="n"/>
      <c r="V20" s="14" t="n"/>
      <c r="W20" s="14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inlineStr">
        <is>
          <t>EBAY-2</t>
        </is>
      </c>
      <c r="J21" s="15" t="inlineStr">
        <is>
          <t>01123                               2.29 1        NEW GENUINE SUZUKI GRAND VI...</t>
        </is>
      </c>
      <c r="K21" s="15" t="n">
        <v>1</v>
      </c>
      <c r="L21" s="15" t="n"/>
      <c r="M21" s="15" t="n"/>
      <c r="N21" s="15" t="inlineStr">
        <is>
          <t>USD</t>
        </is>
      </c>
      <c r="O21" s="16" t="n">
        <v>19.04</v>
      </c>
      <c r="P21" s="16" t="n">
        <v>19.04</v>
      </c>
      <c r="Q21" s="16" t="n"/>
      <c r="R21" s="16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inlineStr">
        <is>
          <t>EBAY-4</t>
        </is>
      </c>
      <c r="J22" s="15" t="inlineStr">
        <is>
          <t>APc ( 166001234398 ) Advantage . , a ys oor 1 or Suzuki Grand Vitara Vitara 1...</t>
        </is>
      </c>
      <c r="K22" s="15" t="n">
        <v>1</v>
      </c>
      <c r="L22" s="15" t="n"/>
      <c r="M22" s="15" t="n"/>
      <c r="N22" s="15" t="inlineStr">
        <is>
          <t>USD</t>
        </is>
      </c>
      <c r="O22" s="16" t="n">
        <v>16.69</v>
      </c>
      <c r="P22" s="16" t="n">
        <v>16.69</v>
      </c>
      <c r="Q22" s="16" t="n"/>
      <c r="R22" s="16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</row>
    <row r="23">
      <c r="A23" s="13" t="n"/>
      <c r="B23" s="13" t="n"/>
      <c r="C23" s="13" t="n"/>
      <c r="D23" s="13" t="n"/>
      <c r="E23" s="13" t="inlineStr">
        <is>
          <t>Vehicles and parts</t>
        </is>
      </c>
      <c r="F23" s="13" t="inlineStr">
        <is>
          <t>00000000</t>
        </is>
      </c>
      <c r="G23" s="13" t="n"/>
      <c r="H23" s="13" t="n"/>
      <c r="I23" s="13" t="n"/>
      <c r="J23" s="13" t="inlineStr">
        <is>
          <t>1179                                134 “ am o a if . * We ' re required by l... (1 items)</t>
        </is>
      </c>
      <c r="K23" s="13" t="n">
        <v>1</v>
      </c>
      <c r="L23" s="13" t="n"/>
      <c r="M23" s="13" t="n"/>
      <c r="N23" s="13" t="inlineStr">
        <is>
          <t>USD</t>
        </is>
      </c>
      <c r="O23" s="14" t="n">
        <v>20.67</v>
      </c>
      <c r="P23" s="14" t="n">
        <v>20.67</v>
      </c>
      <c r="Q23" s="14" t="n"/>
      <c r="R23" s="14" t="n"/>
      <c r="S23" s="14" t="n"/>
      <c r="T23" s="14" t="n"/>
      <c r="U23" s="14" t="n"/>
      <c r="V23" s="14" t="n"/>
      <c r="W23" s="14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inlineStr">
        <is>
          <t>EBAY-3</t>
        </is>
      </c>
      <c r="J24" s="15" t="inlineStr">
        <is>
          <t>1179                                134 “ am o a if . * We ' re required by l...</t>
        </is>
      </c>
      <c r="K24" s="15" t="n">
        <v>1</v>
      </c>
      <c r="L24" s="15" t="n"/>
      <c r="M24" s="15" t="n"/>
      <c r="N24" s="15" t="inlineStr">
        <is>
          <t>USD</t>
        </is>
      </c>
      <c r="O24" s="16" t="n">
        <v>20.67</v>
      </c>
      <c r="P24" s="16" t="n">
        <v>20.67</v>
      </c>
      <c r="Q24" s="16" t="n"/>
      <c r="R24" s="16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</row>
    <row r="25">
      <c r="A25" s="13" t="n"/>
      <c r="B25" s="13" t="n"/>
      <c r="C25" s="13" t="n"/>
      <c r="D25" s="13" t="n"/>
      <c r="E25" s="13" t="inlineStr">
        <is>
          <t>MARINE ELECTRICAL</t>
        </is>
      </c>
      <c r="F25" s="13" t="inlineStr">
        <is>
          <t>85365000</t>
        </is>
      </c>
      <c r="G25" s="13" t="n"/>
      <c r="H25" s="13" t="n"/>
      <c r="I25" s="13" t="n"/>
      <c r="J25" s="13" t="inlineStr">
        <is>
          <t>Switch ( 282981840889 ) Economy : ~ eN 1 OPV NISSANRight Upper Lower Door Hin... (1 items)</t>
        </is>
      </c>
      <c r="K25" s="13" t="n">
        <v>1</v>
      </c>
      <c r="L25" s="13" t="n"/>
      <c r="M25" s="13" t="n"/>
      <c r="N25" s="13" t="inlineStr">
        <is>
          <t>USD</t>
        </is>
      </c>
      <c r="O25" s="14" t="n">
        <v>59.98</v>
      </c>
      <c r="P25" s="14" t="n">
        <v>59.98</v>
      </c>
      <c r="Q25" s="14" t="n"/>
      <c r="R25" s="14" t="n"/>
      <c r="S25" s="14" t="n"/>
      <c r="T25" s="14" t="n"/>
      <c r="U25" s="14" t="n"/>
      <c r="V25" s="14" t="n"/>
      <c r="W25" s="14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inlineStr">
        <is>
          <t>EBAY-5</t>
        </is>
      </c>
      <c r="J26" s="15" t="inlineStr">
        <is>
          <t>Switch ( 282981840889 ) Economy : ~ eN 1 OPV NISSANRight Upper Lower Door Hin...</t>
        </is>
      </c>
      <c r="K26" s="15" t="n">
        <v>1</v>
      </c>
      <c r="L26" s="15" t="n"/>
      <c r="M26" s="15" t="n"/>
      <c r="N26" s="15" t="inlineStr">
        <is>
          <t>USD</t>
        </is>
      </c>
      <c r="O26" s="16" t="n">
        <v>59.98</v>
      </c>
      <c r="P26" s="16" t="n">
        <v>59.98</v>
      </c>
      <c r="Q26" s="16" t="n"/>
      <c r="R26" s="16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inlineStr">
        <is>
          <t>REFERENCE SUBTOTAL</t>
        </is>
      </c>
      <c r="K27" s="17" t="n"/>
      <c r="L27" s="17" t="n"/>
      <c r="M27" s="17" t="n"/>
      <c r="N27" s="17" t="n"/>
      <c r="O27" s="17" t="n"/>
      <c r="P27" s="18" t="n">
        <v>149.08</v>
      </c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inlineStr">
        <is>
          <t>REFERENCE FREIGHT</t>
        </is>
      </c>
      <c r="K28" s="17" t="n"/>
      <c r="L28" s="17" t="n"/>
      <c r="M28" s="17" t="n"/>
      <c r="N28" s="17" t="n"/>
      <c r="O28" s="17" t="n"/>
      <c r="P28" s="18" t="n">
        <v>23</v>
      </c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inlineStr">
        <is>
          <t>REFERENCE INSURANCE</t>
        </is>
      </c>
      <c r="K29" s="17" t="n"/>
      <c r="L29" s="17" t="n"/>
      <c r="M29" s="17" t="n"/>
      <c r="N29" s="17" t="n"/>
      <c r="O29" s="17" t="n"/>
      <c r="P29" s="18" t="n">
        <v>0</v>
      </c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inlineStr">
        <is>
          <t>REFERENCE OTHER COST</t>
        </is>
      </c>
      <c r="K30" s="17" t="n"/>
      <c r="L30" s="17" t="n"/>
      <c r="M30" s="17" t="n"/>
      <c r="N30" s="17" t="n"/>
      <c r="O30" s="17" t="n"/>
      <c r="P30" s="18" t="n">
        <v>0</v>
      </c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inlineStr">
        <is>
          <t>REFERENCE DEDUCTION</t>
        </is>
      </c>
      <c r="K31" s="17" t="n"/>
      <c r="L31" s="17" t="n"/>
      <c r="M31" s="17" t="n"/>
      <c r="N31" s="17" t="n"/>
      <c r="O31" s="17" t="n"/>
      <c r="P31" s="18" t="n">
        <v>0</v>
      </c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inlineStr">
        <is>
          <t>REFERENCE ADJUSTMENTS</t>
        </is>
      </c>
      <c r="K32" s="17" t="n"/>
      <c r="L32" s="17" t="n"/>
      <c r="M32" s="17" t="n"/>
      <c r="N32" s="17" t="n"/>
      <c r="O32" s="17" t="n"/>
      <c r="P32" s="18">
        <f>P28+P29+P30-P31</f>
        <v/>
      </c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inlineStr">
        <is>
          <t>REFERENCE NET TOTAL</t>
        </is>
      </c>
      <c r="K33" s="17" t="n"/>
      <c r="L33" s="17" t="n"/>
      <c r="M33" s="17" t="n"/>
      <c r="N33" s="17" t="n"/>
      <c r="O33" s="17" t="n"/>
      <c r="P33" s="18">
        <f>P27+P32</f>
        <v/>
      </c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inlineStr">
        <is>
          <t>COMBINED ITEMS TOTAL</t>
        </is>
      </c>
      <c r="K35" s="17" t="n"/>
      <c r="L35" s="17" t="n"/>
      <c r="M35" s="17" t="n"/>
      <c r="N35" s="17" t="n"/>
      <c r="O35" s="17" t="n"/>
      <c r="P35" s="18">
        <f>P3+P27</f>
        <v/>
      </c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inlineStr">
        <is>
          <t>FULL INVOICE FREIGHT</t>
        </is>
      </c>
      <c r="K36" s="17" t="n"/>
      <c r="L36" s="17" t="n"/>
      <c r="M36" s="17" t="n"/>
      <c r="N36" s="17" t="n"/>
      <c r="O36" s="17" t="n"/>
      <c r="P36" s="18">
        <f>T2+P28</f>
        <v/>
      </c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inlineStr">
        <is>
          <t>FULL INVOICE INSURANCE</t>
        </is>
      </c>
      <c r="K37" s="17" t="n"/>
      <c r="L37" s="17" t="n"/>
      <c r="M37" s="17" t="n"/>
      <c r="N37" s="17" t="n"/>
      <c r="O37" s="17" t="n"/>
      <c r="P37" s="18">
        <f>U2+P29</f>
        <v/>
      </c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inlineStr">
        <is>
          <t>FULL INVOICE OTHER COST</t>
        </is>
      </c>
      <c r="K38" s="17" t="n"/>
      <c r="L38" s="17" t="n"/>
      <c r="M38" s="17" t="n"/>
      <c r="N38" s="17" t="n"/>
      <c r="O38" s="17" t="n"/>
      <c r="P38" s="18">
        <f>V2+P30</f>
        <v/>
      </c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inlineStr">
        <is>
          <t>FULL INVOICE DEDUCTION</t>
        </is>
      </c>
      <c r="K39" s="17" t="n"/>
      <c r="L39" s="17" t="n"/>
      <c r="M39" s="17" t="n"/>
      <c r="N39" s="17" t="n"/>
      <c r="O39" s="17" t="n"/>
      <c r="P39" s="18">
        <f>W2+P31</f>
        <v/>
      </c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inlineStr">
        <is>
          <t>FULL ADJUSTMENTS</t>
        </is>
      </c>
      <c r="K40" s="17" t="n"/>
      <c r="L40" s="17" t="n"/>
      <c r="M40" s="17" t="n"/>
      <c r="N40" s="17" t="n"/>
      <c r="O40" s="17" t="n"/>
      <c r="P40" s="18">
        <f>P36+P37+P38-P39</f>
        <v/>
      </c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inlineStr">
        <is>
          <t>COMBINED NET TOTAL</t>
        </is>
      </c>
      <c r="K41" s="17" t="n"/>
      <c r="L41" s="17" t="n"/>
      <c r="M41" s="17" t="n"/>
      <c r="N41" s="17" t="n"/>
      <c r="O41" s="17" t="n"/>
      <c r="P41" s="18">
        <f>P35+P40</f>
        <v/>
      </c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inlineStr">
        <is>
          <t>FULL INVOICE TOTAL</t>
        </is>
      </c>
      <c r="K42" s="17" t="n"/>
      <c r="L42" s="17" t="n"/>
      <c r="M42" s="17" t="n"/>
      <c r="N42" s="17" t="n"/>
      <c r="O42" s="17" t="n"/>
      <c r="P42" s="18" t="n">
        <v>185.35</v>
      </c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inlineStr">
        <is>
          <t>COMBINED VARIANCE CHECK</t>
        </is>
      </c>
      <c r="K43" s="17" t="n"/>
      <c r="L43" s="17" t="n"/>
      <c r="M43" s="17" t="n"/>
      <c r="N43" s="17" t="n"/>
      <c r="O43" s="17" t="n"/>
      <c r="P43" s="18">
        <f>P42-P41</f>
        <v/>
      </c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2026-04-26T23:34:54Z</dcterms:created>
  <dcterms:modified xmlns:dcterms="http://purl.org/dc/terms/" xmlns:xsi="http://www.w3.org/2001/XMLSchema-instance" xsi:type="dcterms:W3CDTF">2026-04-26T23:34:54Z</dcterms:modified>
</cp:coreProperties>
</file>