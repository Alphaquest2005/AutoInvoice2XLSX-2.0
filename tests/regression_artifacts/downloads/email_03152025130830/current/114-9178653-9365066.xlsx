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  <xf numFmtId="0" fontId="6" fillId="0" borderId="1" pivotButton="0" quotePrefix="0" xfId="0"/>
    <xf numFmtId="16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114-9178653-9365066</t>
        </is>
      </c>
      <c r="D2" s="2" t="inlineStr"/>
      <c r="E2" s="2" t="inlineStr">
        <is>
          <t>SIGNALING EQUIPMENT</t>
        </is>
      </c>
      <c r="F2" s="2" t="inlineStr">
        <is>
          <t>33042000</t>
        </is>
      </c>
      <c r="G2" s="2" t="inlineStr"/>
      <c r="H2" s="2" t="inlineStr"/>
      <c r="I2" s="2" t="inlineStr">
        <is>
          <t>AMZ-1</t>
        </is>
      </c>
      <c r="J2" s="2" t="inlineStr">
        <is>
          <t>2024 New Magic Eyebrow Pencil , Upgraded 3 D Waterproof Microblading Eyebrow ...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7.99</v>
      </c>
      <c r="P2" s="3" t="n">
        <v>7.99</v>
      </c>
      <c r="Q2" s="3">
        <f>O2*K2</f>
        <v/>
      </c>
      <c r="R2" s="3">
        <f>P2-Q2</f>
        <v/>
      </c>
      <c r="S2" s="3" t="n">
        <v>18.54</v>
      </c>
      <c r="T2" s="3" t="n">
        <v>9.99</v>
      </c>
      <c r="U2" s="3" t="n">
        <v>0</v>
      </c>
      <c r="V2" s="3" t="n">
        <v>0.5600000000000001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114-9178653-9365066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33042000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21.54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58.52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(5%) — Tariff 85319000</t>
        </is>
      </c>
      <c r="K11" s="7" t="n"/>
      <c r="L11" s="7" t="n"/>
      <c r="M11" s="7" t="n"/>
      <c r="N11" s="7" t="n"/>
      <c r="O11" s="7" t="n"/>
      <c r="P11" s="9" t="n">
        <v>2.93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3.51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9.74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16.18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0.2764866712235133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8" t="inlineStr">
        <is>
          <t>CLIENT DECLARED DUTIES</t>
        </is>
      </c>
      <c r="K16" s="7" t="n"/>
      <c r="L16" s="7" t="n"/>
      <c r="M16" s="7" t="n"/>
      <c r="N16" s="7" t="n"/>
      <c r="O16" s="7" t="n"/>
      <c r="P16" s="9" t="n">
        <v>13.86</v>
      </c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13" t="inlineStr">
        <is>
          <t>DUTY VARIANCE (Client − Estimated)</t>
        </is>
      </c>
      <c r="K17" s="7" t="n"/>
      <c r="L17" s="7" t="n"/>
      <c r="M17" s="7" t="n"/>
      <c r="N17" s="7" t="n"/>
      <c r="O17" s="7" t="n"/>
      <c r="P17" s="14" t="n">
        <v>-2.32</v>
      </c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8" t="inlineStr">
        <is>
          <t>IMPLIED CET RATE (from client value)</t>
        </is>
      </c>
      <c r="K18" s="7" t="n"/>
      <c r="L18" s="7" t="n"/>
      <c r="M18" s="7" t="n"/>
      <c r="N18" s="7" t="n"/>
      <c r="O18" s="7" t="n"/>
      <c r="P18" s="12" t="n">
        <v>0.01551487414187642</v>
      </c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13" t="inlineStr">
        <is>
          <t>⚠ CET MISMATCH: System=5% vs Client≈2% — review classification</t>
        </is>
      </c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8" t="inlineStr">
        <is>
          <t>IMPLIED CIF (from declared duty @ 5% CET, XCD)</t>
        </is>
      </c>
      <c r="K20" s="7" t="n"/>
      <c r="L20" s="7" t="n"/>
      <c r="M20" s="7" t="n"/>
      <c r="N20" s="7" t="n"/>
      <c r="O20" s="7" t="n"/>
      <c r="P20" s="9" t="n">
        <v>50.13</v>
      </c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</row>
    <row r="21">
      <c r="A21" s="7" t="n"/>
      <c r="B21" s="7" t="n"/>
      <c r="C21" s="7" t="n"/>
      <c r="D21" s="7" t="n"/>
      <c r="E21" s="7" t="n"/>
      <c r="F21" s="7" t="n"/>
      <c r="G21" s="7" t="n"/>
      <c r="H21" s="7" t="n"/>
      <c r="I21" s="7" t="n"/>
      <c r="J21" s="8" t="inlineStr">
        <is>
          <t>IMPLIED ITEMS VALUE (USD, net of freight/insurance)</t>
        </is>
      </c>
      <c r="K21" s="7" t="n"/>
      <c r="L21" s="7" t="n"/>
      <c r="M21" s="7" t="n"/>
      <c r="N21" s="7" t="n"/>
      <c r="O21" s="7" t="n"/>
      <c r="P21" s="9" t="n">
        <v>15.45</v>
      </c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  <c r="AJ21" s="7" t="n"/>
      <c r="AK21" s="7" t="n"/>
    </row>
    <row r="22">
      <c r="A22" s="7" t="n"/>
      <c r="B22" s="7" t="n"/>
      <c r="C22" s="7" t="n"/>
      <c r="D22" s="7" t="n"/>
      <c r="E22" s="7" t="n"/>
      <c r="F22" s="7" t="n"/>
      <c r="G22" s="7" t="n"/>
      <c r="H22" s="7" t="n"/>
      <c r="I22" s="7" t="n"/>
      <c r="J22" s="13" t="inlineStr">
        <is>
          <t>⚠ ITEM ALLOCATION CHECK: actual $7.99 USD vs implied $15.45 USD — UNDER-ALLOCATED (items from another waybill may belong here)</t>
        </is>
      </c>
      <c r="K22" s="7" t="n"/>
      <c r="L22" s="7" t="n"/>
      <c r="M22" s="7" t="n"/>
      <c r="N22" s="7" t="n"/>
      <c r="O22" s="7" t="n"/>
      <c r="P22" s="7" t="n"/>
      <c r="Q22" s="7" t="n"/>
      <c r="R22" s="7" t="n"/>
      <c r="S22" s="7" t="n"/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7" t="n"/>
      <c r="AE22" s="7" t="n"/>
      <c r="AF22" s="7" t="n"/>
      <c r="AG22" s="7" t="n"/>
      <c r="AH22" s="7" t="n"/>
      <c r="AI22" s="7" t="n"/>
      <c r="AJ22" s="7" t="n"/>
      <c r="AK22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2026-04-26T23:35:22Z</dcterms:created>
  <dcterms:modified xmlns:dcterms="http://purl.org/dc/terms/" xmlns:xsi="http://www.w3.org/2001/XMLSchema-instance" xsi:type="dcterms:W3CDTF">2026-04-26T23:35:27Z</dcterms:modified>
</cp:coreProperties>
</file>