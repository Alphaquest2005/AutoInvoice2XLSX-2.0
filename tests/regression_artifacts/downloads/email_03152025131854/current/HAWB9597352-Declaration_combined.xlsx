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INVUS20240718001265517</t>
        </is>
      </c>
      <c r="D2" s="2" t="inlineStr">
        <is>
          <t>2024-07-18</t>
        </is>
      </c>
      <c r="E2" s="2" t="inlineStr">
        <is>
          <t>Of man-made fibres</t>
        </is>
      </c>
      <c r="F2" s="2" t="inlineStr">
        <is>
          <t>62114300</t>
        </is>
      </c>
      <c r="G2" s="2" t="inlineStr"/>
      <c r="H2" s="2" t="inlineStr"/>
      <c r="I2" s="2" t="inlineStr">
        <is>
          <t>62114300</t>
        </is>
      </c>
      <c r="J2" s="2" t="inlineStr">
        <is>
          <t>Workwear Overall Jumpsuit With Bustier Top For Daily Wear In Spring And Summer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0.01</v>
      </c>
      <c r="P2" s="3" t="n">
        <v>0.01</v>
      </c>
      <c r="Q2" s="3">
        <f>O2*K2</f>
        <v/>
      </c>
      <c r="R2" s="3">
        <f>P2-Q2</f>
        <v/>
      </c>
      <c r="S2" s="3" t="n">
        <v>0.01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SHEIN</t>
        </is>
      </c>
      <c r="AA2" s="2" t="inlineStr">
        <is>
          <t>HAWB9597352-Declaration_combined</t>
        </is>
      </c>
      <c r="AB2" s="2" t="inlineStr">
        <is>
          <t>777 S. Alameda St., Second Floor, Los Angeles, CA 90021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62114300</t>
        </is>
      </c>
    </row>
    <row r="3">
      <c r="A3" s="4" t="n"/>
      <c r="B3" s="4" t="n"/>
      <c r="C3" s="4" t="n"/>
      <c r="D3" s="4" t="n"/>
      <c r="E3" s="4" t="n"/>
      <c r="F3" s="4" t="inlineStr">
        <is>
          <t>62114300</t>
        </is>
      </c>
      <c r="G3" s="4" t="n"/>
      <c r="H3" s="4" t="n"/>
      <c r="I3" s="4" t="inlineStr">
        <is>
          <t>SHEIN-1</t>
        </is>
      </c>
      <c r="J3" s="4" t="inlineStr">
        <is>
          <t>Workwear Overall Jumpsuit With Bustier Top For Daily Wear In Spring And Summer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0.01</v>
      </c>
      <c r="P3" s="5" t="n">
        <v>0.01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0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7.01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19.05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62114300</t>
        </is>
      </c>
      <c r="K22" s="13" t="n"/>
      <c r="L22" s="13" t="n"/>
      <c r="M22" s="13" t="n"/>
      <c r="N22" s="13" t="n"/>
      <c r="O22" s="13" t="n"/>
      <c r="P22" s="15" t="n">
        <v>3.81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1.14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3.6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8.550000000000001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0.4488188976377953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11.75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3.2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IMPLIED CET RATE (from client value)</t>
        </is>
      </c>
      <c r="K29" s="13" t="n"/>
      <c r="L29" s="13" t="n"/>
      <c r="M29" s="13" t="n"/>
      <c r="N29" s="13" t="n"/>
      <c r="O29" s="13" t="n"/>
      <c r="P29" s="18" t="n">
        <v>0.3459112176195367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9" t="inlineStr">
        <is>
          <t>⚠ CET MISMATCH: System=20% vs Client≈35% — review classification</t>
        </is>
      </c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IMPLIED CIF (from declared duty @ 20% CET, XCD)</t>
        </is>
      </c>
      <c r="K31" s="13" t="n"/>
      <c r="L31" s="13" t="n"/>
      <c r="M31" s="13" t="n"/>
      <c r="N31" s="13" t="n"/>
      <c r="O31" s="13" t="n"/>
      <c r="P31" s="15" t="n">
        <v>26.17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IMPLIED ITEMS VALUE (USD, net of freight/insurance)</t>
        </is>
      </c>
      <c r="K32" s="13" t="n"/>
      <c r="L32" s="13" t="n"/>
      <c r="M32" s="13" t="n"/>
      <c r="N32" s="13" t="n"/>
      <c r="O32" s="13" t="n"/>
      <c r="P32" s="15" t="n">
        <v>2.63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9" t="inlineStr">
        <is>
          <t>⚠ ITEM ALLOCATION CHECK: actual $0.01 USD vs implied $2.63 USD — UNDER-ALLOCATED (items from another waybill may belong here)</t>
        </is>
      </c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2026-04-24T05:22:15Z</dcterms:created>
  <dcterms:modified xsi:type="dcterms:W3CDTF">2026-04-24T05:22:22Z</dcterms:modified>
</cp:coreProperties>
</file>