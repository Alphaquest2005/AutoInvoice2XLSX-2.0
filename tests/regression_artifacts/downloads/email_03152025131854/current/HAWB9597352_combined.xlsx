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1"/>
    </font>
    <font>
      <b val="1"/>
      <color rgb="001F4E79"/>
      <sz val="10"/>
    </font>
    <font>
      <color rgb="001F4E79"/>
      <sz val="10"/>
    </font>
    <font>
      <b val="1"/>
      <color rgb="00CC0000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4" fontId="2" fillId="0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4" fillId="3" borderId="1" pivotButton="0" quotePrefix="0" xfId="0"/>
    <xf numFmtId="0" fontId="0" fillId="0" borderId="1" pivotButton="0" quotePrefix="0" xfId="0"/>
    <xf numFmtId="0" fontId="5" fillId="0" borderId="1" pivotButton="0" quotePrefix="0" xfId="0"/>
    <xf numFmtId="164" fontId="4" fillId="0" borderId="1" pivotButton="0" quotePrefix="0" xfId="0"/>
    <xf numFmtId="0" fontId="0" fillId="3" borderId="1" pivotButton="0" quotePrefix="0" xfId="0"/>
    <xf numFmtId="164" fontId="4" fillId="3" borderId="1" pivotButton="0" quotePrefix="0" xfId="0"/>
    <xf numFmtId="165" fontId="4" fillId="0" borderId="1" pivotButton="0" quotePrefix="0" xfId="0"/>
    <xf numFmtId="0" fontId="6" fillId="0" borderId="1" pivotButton="0" quotePrefix="0" xfId="0"/>
    <xf numFmtId="164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INVUS20240718001265517</t>
        </is>
      </c>
      <c r="D2" s="2" t="inlineStr">
        <is>
          <t>2024-07-18</t>
        </is>
      </c>
      <c r="E2" s="2" t="inlineStr">
        <is>
          <t>Other Of other textile materials</t>
        </is>
      </c>
      <c r="F2" s="2" t="inlineStr">
        <is>
          <t>62046990</t>
        </is>
      </c>
      <c r="G2" s="2" t="inlineStr"/>
      <c r="H2" s="2" t="inlineStr"/>
      <c r="I2" s="2" t="inlineStr">
        <is>
          <t>SHEIN-1</t>
        </is>
      </c>
      <c r="J2" s="2" t="inlineStr">
        <is>
          <t>Workwear Overall Jumpsuit With Bustier Top For Daily Wear In Spring And Summer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0.01</v>
      </c>
      <c r="P2" s="3" t="n">
        <v>0.01</v>
      </c>
      <c r="Q2" s="3">
        <f>O2*K2</f>
        <v/>
      </c>
      <c r="R2" s="3">
        <f>P2-Q2</f>
        <v/>
      </c>
      <c r="S2" s="3" t="n">
        <v>0.01</v>
      </c>
      <c r="T2" s="3" t="n">
        <v>0</v>
      </c>
      <c r="U2" s="3" t="n">
        <v>0</v>
      </c>
      <c r="V2" s="3" t="n">
        <v>0</v>
      </c>
      <c r="W2" s="3" t="n">
        <v>0</v>
      </c>
      <c r="X2" s="2" t="n">
        <v>1</v>
      </c>
      <c r="Y2" s="2" t="n"/>
      <c r="Z2" s="2" t="inlineStr">
        <is>
          <t>SHEIN</t>
        </is>
      </c>
      <c r="AA2" s="2" t="inlineStr">
        <is>
          <t>HAWB9597352_combined</t>
        </is>
      </c>
      <c r="AB2" s="2" t="inlineStr">
        <is>
          <t>777 S. Alameda St., Second Floor, Los Angeles, CA 90021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62046990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inlineStr">
        <is>
          <t>SUBTOTAL</t>
        </is>
      </c>
      <c r="K3" s="4" t="n"/>
      <c r="L3" s="4" t="n"/>
      <c r="M3" s="4" t="n"/>
      <c r="N3" s="4" t="n"/>
      <c r="O3" s="4" t="n"/>
      <c r="P3" s="5">
        <f>P2</f>
        <v/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inlineStr">
        <is>
          <t>ADJUSTMENTS</t>
        </is>
      </c>
      <c r="K4" s="4" t="n"/>
      <c r="L4" s="4" t="n"/>
      <c r="M4" s="4" t="n"/>
      <c r="N4" s="4" t="n"/>
      <c r="O4" s="4" t="n"/>
      <c r="P4" s="5">
        <f>(T2+U2+V2-W2)</f>
        <v/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inlineStr">
        <is>
          <t>NET TOTAL</t>
        </is>
      </c>
      <c r="K5" s="4" t="n"/>
      <c r="L5" s="4" t="n"/>
      <c r="M5" s="4" t="n"/>
      <c r="N5" s="4" t="n"/>
      <c r="O5" s="4" t="n"/>
      <c r="P5" s="5">
        <f>(P3+P4)</f>
        <v/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inlineStr">
        <is>
          <t>VARIANCE CHECK</t>
        </is>
      </c>
      <c r="K6" s="4" t="n"/>
      <c r="L6" s="4" t="n"/>
      <c r="M6" s="4" t="n"/>
      <c r="N6" s="4" t="n"/>
      <c r="O6" s="4" t="n"/>
      <c r="P6" s="5">
        <f>(S2-P5)</f>
        <v/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</row>
    <row r="7"/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DUTY ESTIMATION (Classification Cross-Check)</t>
        </is>
      </c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8" t="inlineStr">
        <is>
          <t>CIF (USD) = InvTotal + Freight + Insurance</t>
        </is>
      </c>
      <c r="K9" s="7" t="n"/>
      <c r="L9" s="7" t="n"/>
      <c r="M9" s="7" t="n"/>
      <c r="N9" s="7" t="n"/>
      <c r="O9" s="7" t="n"/>
      <c r="P9" s="9" t="n">
        <v>7.01</v>
      </c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8" t="inlineStr">
        <is>
          <t>CIF (XCD) = CIF × 2.7169</t>
        </is>
      </c>
      <c r="K10" s="7" t="n"/>
      <c r="L10" s="7" t="n"/>
      <c r="M10" s="7" t="n"/>
      <c r="N10" s="7" t="n"/>
      <c r="O10" s="7" t="n"/>
      <c r="P10" s="9" t="n">
        <v>19.05</v>
      </c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8" t="inlineStr">
        <is>
          <t>CET (20%) — Tariff 62046990</t>
        </is>
      </c>
      <c r="K11" s="7" t="n"/>
      <c r="L11" s="7" t="n"/>
      <c r="M11" s="7" t="n"/>
      <c r="N11" s="7" t="n"/>
      <c r="O11" s="7" t="n"/>
      <c r="P11" s="9" t="n">
        <v>3.81</v>
      </c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8" t="inlineStr">
        <is>
          <t>CSC (6%)</t>
        </is>
      </c>
      <c r="K12" s="7" t="n"/>
      <c r="L12" s="7" t="n"/>
      <c r="M12" s="7" t="n"/>
      <c r="N12" s="7" t="n"/>
      <c r="O12" s="7" t="n"/>
      <c r="P12" s="9" t="n">
        <v>1.14</v>
      </c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8" t="inlineStr">
        <is>
          <t>VAT (15%) on CIF+CET+CSC</t>
        </is>
      </c>
      <c r="K13" s="7" t="n"/>
      <c r="L13" s="7" t="n"/>
      <c r="M13" s="7" t="n"/>
      <c r="N13" s="7" t="n"/>
      <c r="O13" s="7" t="n"/>
      <c r="P13" s="9" t="n">
        <v>3.6</v>
      </c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6" t="inlineStr">
        <is>
          <t>ESTIMATED TOTAL DUTIES</t>
        </is>
      </c>
      <c r="K14" s="10" t="n"/>
      <c r="L14" s="10" t="n"/>
      <c r="M14" s="10" t="n"/>
      <c r="N14" s="10" t="n"/>
      <c r="O14" s="10" t="n"/>
      <c r="P14" s="11" t="n">
        <v>8.550000000000001</v>
      </c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8" t="inlineStr">
        <is>
          <t>Effective Duty Rate</t>
        </is>
      </c>
      <c r="K15" s="7" t="n"/>
      <c r="L15" s="7" t="n"/>
      <c r="M15" s="7" t="n"/>
      <c r="N15" s="7" t="n"/>
      <c r="O15" s="7" t="n"/>
      <c r="P15" s="12" t="n">
        <v>0.4488188976377953</v>
      </c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8" t="inlineStr">
        <is>
          <t>CLIENT DECLARED DUTIES</t>
        </is>
      </c>
      <c r="K16" s="7" t="n"/>
      <c r="L16" s="7" t="n"/>
      <c r="M16" s="7" t="n"/>
      <c r="N16" s="7" t="n"/>
      <c r="O16" s="7" t="n"/>
      <c r="P16" s="9" t="n">
        <v>11.75</v>
      </c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13" t="inlineStr">
        <is>
          <t>DUTY VARIANCE (Client − Estimated)</t>
        </is>
      </c>
      <c r="K17" s="7" t="n"/>
      <c r="L17" s="7" t="n"/>
      <c r="M17" s="7" t="n"/>
      <c r="N17" s="7" t="n"/>
      <c r="O17" s="7" t="n"/>
      <c r="P17" s="14" t="n">
        <v>3.2</v>
      </c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8" t="inlineStr">
        <is>
          <t>IMPLIED CET RATE (from client value)</t>
        </is>
      </c>
      <c r="K18" s="7" t="n"/>
      <c r="L18" s="7" t="n"/>
      <c r="M18" s="7" t="n"/>
      <c r="N18" s="7" t="n"/>
      <c r="O18" s="7" t="n"/>
      <c r="P18" s="12" t="n">
        <v>0.3459112176195367</v>
      </c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13" t="inlineStr">
        <is>
          <t>⚠ CET MISMATCH: System=20% vs Client≈35% — review classification</t>
        </is>
      </c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8" t="inlineStr">
        <is>
          <t>IMPLIED CIF (from declared duty @ 20% CET, XCD)</t>
        </is>
      </c>
      <c r="K20" s="7" t="n"/>
      <c r="L20" s="7" t="n"/>
      <c r="M20" s="7" t="n"/>
      <c r="N20" s="7" t="n"/>
      <c r="O20" s="7" t="n"/>
      <c r="P20" s="9" t="n">
        <v>26.17</v>
      </c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8" t="inlineStr">
        <is>
          <t>IMPLIED ITEMS VALUE (USD, net of freight/insurance)</t>
        </is>
      </c>
      <c r="K21" s="7" t="n"/>
      <c r="L21" s="7" t="n"/>
      <c r="M21" s="7" t="n"/>
      <c r="N21" s="7" t="n"/>
      <c r="O21" s="7" t="n"/>
      <c r="P21" s="9" t="n">
        <v>2.63</v>
      </c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13" t="inlineStr">
        <is>
          <t>⚠ ITEM ALLOCATION CHECK: actual $0.01 USD vs implied $2.63 USD — UNDER-ALLOCATED (items from another waybill may belong here)</t>
        </is>
      </c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2026-04-26T18:05:25Z</dcterms:created>
  <dcterms:modified xmlns:dcterms="http://purl.org/dc/terms/" xmlns:xsi="http://www.w3.org/2001/XMLSchema-instance" xsi:type="dcterms:W3CDTF">2026-04-26T18:05:25Z</dcterms:modified>
</cp:coreProperties>
</file>