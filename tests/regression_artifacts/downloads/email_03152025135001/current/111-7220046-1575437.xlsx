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111-7220046-1575437</t>
        </is>
      </c>
      <c r="D2" s="2" t="inlineStr">
        <is>
          <t>2024-07-17</t>
        </is>
      </c>
      <c r="E2" s="2" t="inlineStr">
        <is>
          <t>WATER SPORTS</t>
        </is>
      </c>
      <c r="F2" s="2" t="inlineStr">
        <is>
          <t>95062900</t>
        </is>
      </c>
      <c r="G2" s="2" t="inlineStr"/>
      <c r="H2" s="2" t="inlineStr"/>
      <c r="I2" s="2" t="inlineStr">
        <is>
          <t>95062900</t>
        </is>
      </c>
      <c r="J2" s="2" t="inlineStr">
        <is>
          <t>EZIGO Baby Pool Float with Canopy UPF50+ Sun Protection, Inflatable Kids Pool...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26.99</v>
      </c>
      <c r="P2" s="3" t="n">
        <v>26.99</v>
      </c>
      <c r="Q2" s="3">
        <f>O2*K2</f>
        <v/>
      </c>
      <c r="R2" s="3">
        <f>P2-Q2</f>
        <v/>
      </c>
      <c r="S2" s="3" t="n">
        <v>169.87</v>
      </c>
      <c r="T2" s="3" t="n">
        <v>0</v>
      </c>
      <c r="U2" s="3" t="n">
        <v>-8.5</v>
      </c>
      <c r="V2" s="3" t="n">
        <v>3.27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95062900</t>
        </is>
      </c>
    </row>
    <row r="3">
      <c r="A3" s="4" t="n"/>
      <c r="B3" s="4" t="n"/>
      <c r="C3" s="4" t="n"/>
      <c r="D3" s="4" t="n"/>
      <c r="E3" s="4" t="n"/>
      <c r="F3" s="4" t="inlineStr">
        <is>
          <t>95062900</t>
        </is>
      </c>
      <c r="G3" s="4" t="n"/>
      <c r="H3" s="4" t="n"/>
      <c r="I3" s="4" t="inlineStr">
        <is>
          <t>AMZ-1</t>
        </is>
      </c>
      <c r="J3" s="4" t="inlineStr">
        <is>
          <t>EZIGO Baby Pool Float with Canopy UPF50+ Sun Protection, Inflatable Kids Pool...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26.99</v>
      </c>
      <c r="P3" s="5" t="n">
        <v>26.99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111-7220046-1575437</t>
        </is>
      </c>
      <c r="D4" s="2" t="inlineStr">
        <is>
          <t>2024-07-17</t>
        </is>
      </c>
      <c r="E4" s="2" t="inlineStr">
        <is>
          <t>Of cotton</t>
        </is>
      </c>
      <c r="F4" s="2" t="inlineStr">
        <is>
          <t>61071100</t>
        </is>
      </c>
      <c r="G4" s="2" t="inlineStr"/>
      <c r="H4" s="2" t="inlineStr"/>
      <c r="I4" s="2" t="inlineStr">
        <is>
          <t>61071100</t>
        </is>
      </c>
      <c r="J4" s="2" t="inlineStr">
        <is>
          <t>Fruit of the Loom Men's Coolzone Boxer Briefs, Moisture Wicking &amp; Breathable,...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16.235</v>
      </c>
      <c r="P4" s="3" t="n">
        <v>32.47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61071100</t>
        </is>
      </c>
    </row>
    <row r="5">
      <c r="A5" s="4" t="n"/>
      <c r="B5" s="4" t="n"/>
      <c r="C5" s="4" t="n"/>
      <c r="D5" s="4" t="n"/>
      <c r="E5" s="4" t="n"/>
      <c r="F5" s="4" t="inlineStr">
        <is>
          <t>61071100</t>
        </is>
      </c>
      <c r="G5" s="4" t="n"/>
      <c r="H5" s="4" t="n"/>
      <c r="I5" s="4" t="inlineStr">
        <is>
          <t>AMZ-2</t>
        </is>
      </c>
      <c r="J5" s="4" t="inlineStr">
        <is>
          <t>Fruit of the Loom Men's Coolzone Boxer Briefs, Moisture Wicking &amp; Breathable,...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17.48</v>
      </c>
      <c r="P5" s="5" t="n">
        <v>17.48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62121000</t>
        </is>
      </c>
      <c r="G6" s="4" t="n"/>
      <c r="H6" s="4" t="n"/>
      <c r="I6" s="4" t="inlineStr">
        <is>
          <t>AMZ-7</t>
        </is>
      </c>
      <c r="J6" s="4" t="inlineStr">
        <is>
          <t>PLAYTEX Womens 18 Hour Wireless Seamless Full-coverage T-shirt With Smoothing...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14.99</v>
      </c>
      <c r="P6" s="5" t="n">
        <v>14.99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inlineStr">
        <is>
          <t>62121000</t>
        </is>
      </c>
    </row>
    <row r="7">
      <c r="A7" s="2" t="n"/>
      <c r="B7" s="2" t="inlineStr"/>
      <c r="C7" s="2" t="inlineStr">
        <is>
          <t>111-7220046-1575437</t>
        </is>
      </c>
      <c r="D7" s="2" t="inlineStr">
        <is>
          <t>2024-07-17</t>
        </is>
      </c>
      <c r="E7" s="2" t="inlineStr">
        <is>
          <t>Footwear</t>
        </is>
      </c>
      <c r="F7" s="2" t="inlineStr">
        <is>
          <t>64041990</t>
        </is>
      </c>
      <c r="G7" s="2" t="inlineStr"/>
      <c r="H7" s="2" t="inlineStr"/>
      <c r="I7" s="2" t="inlineStr">
        <is>
          <t>64041990</t>
        </is>
      </c>
      <c r="J7" s="2" t="inlineStr">
        <is>
          <t>BMCITYBM Baby High Top Sneakers Boy Girl Walking Shoes Infant First Walker Sh... (+1 more) (2 items)</t>
        </is>
      </c>
      <c r="K7" s="2" t="n">
        <v>2</v>
      </c>
      <c r="L7" s="2" t="n"/>
      <c r="M7" s="2" t="inlineStr"/>
      <c r="N7" s="2" t="inlineStr">
        <is>
          <t>USD</t>
        </is>
      </c>
      <c r="O7" s="3" t="n">
        <v>30.085</v>
      </c>
      <c r="P7" s="3" t="n">
        <v>60.17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64041990</t>
        </is>
      </c>
    </row>
    <row r="8">
      <c r="A8" s="4" t="n"/>
      <c r="B8" s="4" t="n"/>
      <c r="C8" s="4" t="n"/>
      <c r="D8" s="4" t="n"/>
      <c r="E8" s="4" t="n"/>
      <c r="F8" s="4" t="inlineStr">
        <is>
          <t>64041990</t>
        </is>
      </c>
      <c r="G8" s="4" t="n"/>
      <c r="H8" s="4" t="n"/>
      <c r="I8" s="4" t="inlineStr">
        <is>
          <t>AMZ-3</t>
        </is>
      </c>
      <c r="J8" s="4" t="inlineStr">
        <is>
          <t>BMCITYBM Baby High Top Sneakers Boy Girl Walking Shoes Infant First Walker Sh...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31.19</v>
      </c>
      <c r="P8" s="5" t="n">
        <v>31.19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inlineStr">
        <is>
          <t>64041990</t>
        </is>
      </c>
      <c r="G9" s="4" t="n"/>
      <c r="H9" s="4" t="n"/>
      <c r="I9" s="4" t="inlineStr">
        <is>
          <t>AMZ-6</t>
        </is>
      </c>
      <c r="J9" s="4" t="inlineStr">
        <is>
          <t>Stride Rite 360 Unisex Child Taye 2.0 First Walker Shoe, Brown, 4 Infant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28.98</v>
      </c>
      <c r="P9" s="5" t="n">
        <v>28.98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2" t="n"/>
      <c r="B10" s="2" t="inlineStr"/>
      <c r="C10" s="2" t="inlineStr">
        <is>
          <t>111-7220046-1575437</t>
        </is>
      </c>
      <c r="D10" s="2" t="inlineStr">
        <is>
          <t>2024-07-17</t>
        </is>
      </c>
      <c r="E10" s="2" t="inlineStr">
        <is>
          <t>MARINE HARDWARE</t>
        </is>
      </c>
      <c r="F10" s="2" t="inlineStr">
        <is>
          <t>63079090</t>
        </is>
      </c>
      <c r="G10" s="2" t="inlineStr"/>
      <c r="H10" s="2" t="inlineStr"/>
      <c r="I10" s="2" t="inlineStr">
        <is>
          <t>63079090</t>
        </is>
      </c>
      <c r="J10" s="2" t="inlineStr">
        <is>
          <t>Baby Carrier Newborn to Toddler - TSRETE Baby Ergonomic and Cozy Infant Carri... (+1 more) (2 items)</t>
        </is>
      </c>
      <c r="K10" s="2" t="n">
        <v>2</v>
      </c>
      <c r="L10" s="2" t="n"/>
      <c r="M10" s="2" t="inlineStr"/>
      <c r="N10" s="2" t="inlineStr">
        <is>
          <t>USD</t>
        </is>
      </c>
      <c r="O10" s="3" t="n">
        <v>17.49</v>
      </c>
      <c r="P10" s="3" t="n">
        <v>34.98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63079090</t>
        </is>
      </c>
    </row>
    <row r="11">
      <c r="A11" s="4" t="n"/>
      <c r="B11" s="4" t="n"/>
      <c r="C11" s="4" t="n"/>
      <c r="D11" s="4" t="n"/>
      <c r="E11" s="4" t="n"/>
      <c r="F11" s="4" t="inlineStr">
        <is>
          <t>63079090</t>
        </is>
      </c>
      <c r="G11" s="4" t="n"/>
      <c r="H11" s="4" t="n"/>
      <c r="I11" s="4" t="inlineStr">
        <is>
          <t>AMZ-4</t>
        </is>
      </c>
      <c r="J11" s="4" t="inlineStr">
        <is>
          <t>Baby Carrier Newborn to Toddler - TSRETE Baby Ergonomic and Cozy Infant Carri...</t>
        </is>
      </c>
      <c r="K11" s="4" t="n">
        <v>1</v>
      </c>
      <c r="L11" s="4" t="n"/>
      <c r="M11" s="4" t="inlineStr"/>
      <c r="N11" s="4" t="inlineStr">
        <is>
          <t>USD</t>
        </is>
      </c>
      <c r="O11" s="5" t="n">
        <v>24.99</v>
      </c>
      <c r="P11" s="5" t="n">
        <v>24.99</v>
      </c>
      <c r="Q11" s="5">
        <f>O11*K11</f>
        <v/>
      </c>
      <c r="R11" s="5">
        <f>P11-Q11</f>
        <v/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4" t="n"/>
      <c r="B12" s="4" t="n"/>
      <c r="C12" s="4" t="n"/>
      <c r="D12" s="4" t="n"/>
      <c r="E12" s="4" t="n"/>
      <c r="F12" s="4" t="inlineStr">
        <is>
          <t>63079090</t>
        </is>
      </c>
      <c r="G12" s="4" t="n"/>
      <c r="H12" s="4" t="n"/>
      <c r="I12" s="4" t="inlineStr">
        <is>
          <t>AMZ-8</t>
        </is>
      </c>
      <c r="J12" s="4" t="inlineStr">
        <is>
          <t>Popsicle Holder for Kids, 6 Pieces Ice Pop Neoprene Insulator Sleeves, Freeze...</t>
        </is>
      </c>
      <c r="K12" s="4" t="n">
        <v>1</v>
      </c>
      <c r="L12" s="4" t="n"/>
      <c r="M12" s="4" t="inlineStr"/>
      <c r="N12" s="4" t="inlineStr">
        <is>
          <t>USD</t>
        </is>
      </c>
      <c r="O12" s="5" t="n">
        <v>9.99</v>
      </c>
      <c r="P12" s="5" t="n">
        <v>9.99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2" t="n"/>
      <c r="B13" s="2" t="inlineStr"/>
      <c r="C13" s="2" t="inlineStr">
        <is>
          <t>111-7220046-1575437</t>
        </is>
      </c>
      <c r="D13" s="2" t="inlineStr">
        <is>
          <t>2024-07-17</t>
        </is>
      </c>
      <c r="E13" s="2" t="inlineStr">
        <is>
          <t>Plastics and articles thereof</t>
        </is>
      </c>
      <c r="F13" s="2" t="inlineStr">
        <is>
          <t>39241090</t>
        </is>
      </c>
      <c r="G13" s="2" t="inlineStr"/>
      <c r="H13" s="2" t="inlineStr"/>
      <c r="I13" s="2" t="inlineStr">
        <is>
          <t>39241090</t>
        </is>
      </c>
      <c r="J13" s="2" t="inlineStr">
        <is>
          <t>4Pack Drip-Free Silicone Popsicle Holders, AODISTUCE Popsicle Holder with Str... (1 items)</t>
        </is>
      </c>
      <c r="K13" s="2" t="n">
        <v>1</v>
      </c>
      <c r="L13" s="2" t="n"/>
      <c r="M13" s="2" t="inlineStr"/>
      <c r="N13" s="2" t="inlineStr">
        <is>
          <t>USD</t>
        </is>
      </c>
      <c r="O13" s="3" t="n">
        <v>11.99</v>
      </c>
      <c r="P13" s="3" t="n">
        <v>11.99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39241090</t>
        </is>
      </c>
    </row>
    <row r="14">
      <c r="A14" s="4" t="n"/>
      <c r="B14" s="4" t="n"/>
      <c r="C14" s="4" t="n"/>
      <c r="D14" s="4" t="n"/>
      <c r="E14" s="4" t="n"/>
      <c r="F14" s="4" t="inlineStr">
        <is>
          <t>39241090</t>
        </is>
      </c>
      <c r="G14" s="4" t="n"/>
      <c r="H14" s="4" t="n"/>
      <c r="I14" s="4" t="inlineStr">
        <is>
          <t>AMZ-5</t>
        </is>
      </c>
      <c r="J14" s="4" t="inlineStr">
        <is>
          <t>4Pack Drip-Free Silicone Popsicle Holders, AODISTUCE Popsicle Holder with Str...</t>
        </is>
      </c>
      <c r="K14" s="4" t="n">
        <v>1</v>
      </c>
      <c r="L14" s="4" t="n"/>
      <c r="M14" s="4" t="inlineStr"/>
      <c r="N14" s="4" t="inlineStr">
        <is>
          <t>USD</t>
        </is>
      </c>
      <c r="O14" s="5" t="n">
        <v>11.99</v>
      </c>
      <c r="P14" s="5" t="n">
        <v>11.99</v>
      </c>
      <c r="Q14" s="5">
        <f>O14*K14</f>
        <v/>
      </c>
      <c r="R14" s="5">
        <f>P14-Q14</f>
        <v/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SUBTOTAL (GROUPED)</t>
        </is>
      </c>
      <c r="K15" s="6" t="n"/>
      <c r="L15" s="6" t="n"/>
      <c r="M15" s="6" t="n"/>
      <c r="N15" s="6" t="n"/>
      <c r="O15" s="6" t="n"/>
      <c r="P15" s="7">
        <f>P2+P4+P7+P10+P13</f>
        <v/>
      </c>
      <c r="Q15" s="7">
        <f>Q2+Q4+Q7+Q10+Q13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SUBTOTAL (DETAILS)</t>
        </is>
      </c>
      <c r="K16" s="6" t="n"/>
      <c r="L16" s="6" t="n"/>
      <c r="M16" s="6" t="n"/>
      <c r="N16" s="6" t="n"/>
      <c r="O16" s="6" t="n"/>
      <c r="P16" s="7">
        <f>SUM(P2:P14)-P15</f>
        <v/>
      </c>
      <c r="Q16" s="7">
        <f>SUM(Q2:Q14)-Q15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inlineStr">
        <is>
          <t>GROUP VERIFICATION</t>
        </is>
      </c>
      <c r="K17" s="8" t="n"/>
      <c r="L17" s="8" t="n"/>
      <c r="M17" s="8" t="n"/>
      <c r="N17" s="8" t="n"/>
      <c r="O17" s="8" t="n"/>
      <c r="P17" s="9">
        <f>P15-P16</f>
        <v/>
      </c>
      <c r="Q17" s="9">
        <f>Q15-Q16</f>
        <v/>
      </c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INTERNAL FREIGHT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TOTAL INSURANCE</t>
        </is>
      </c>
      <c r="K20" s="6" t="n"/>
      <c r="L20" s="6" t="n"/>
      <c r="M20" s="6" t="n"/>
      <c r="N20" s="6" t="n"/>
      <c r="O20" s="6" t="n"/>
      <c r="P20" s="7" t="n">
        <v>-8.5</v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TOTAL OTHER COST</t>
        </is>
      </c>
      <c r="K21" s="6" t="n"/>
      <c r="L21" s="6" t="n"/>
      <c r="M21" s="6" t="n"/>
      <c r="N21" s="6" t="n"/>
      <c r="O21" s="6" t="n"/>
      <c r="P21" s="7" t="n">
        <v>3.27</v>
      </c>
      <c r="Q21" s="7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TOTAL DEDUCTION</t>
        </is>
      </c>
      <c r="K22" s="6" t="n"/>
      <c r="L22" s="6" t="n"/>
      <c r="M22" s="6" t="n"/>
      <c r="N22" s="6" t="n"/>
      <c r="O22" s="6" t="n"/>
      <c r="P22" s="7" t="n">
        <v>0</v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ADJUSTMENTS</t>
        </is>
      </c>
      <c r="K23" s="6" t="n"/>
      <c r="L23" s="6" t="n"/>
      <c r="M23" s="6" t="n"/>
      <c r="N23" s="6" t="n"/>
      <c r="O23" s="6" t="n"/>
      <c r="P23" s="7">
        <f>(T2+U2+V2-W2)</f>
        <v/>
      </c>
      <c r="Q23" s="7">
        <f>(T2+U2+V2-W2)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NET TOTAL</t>
        </is>
      </c>
      <c r="K25" s="6" t="n"/>
      <c r="L25" s="6" t="n"/>
      <c r="M25" s="6" t="n"/>
      <c r="N25" s="6" t="n"/>
      <c r="O25" s="6" t="n"/>
      <c r="P25" s="7">
        <f>P15+P23</f>
        <v/>
      </c>
      <c r="Q25" s="7">
        <f>Q15+Q23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inlineStr">
        <is>
          <t>INVOICE TOTAL</t>
        </is>
      </c>
      <c r="K26" s="6" t="n"/>
      <c r="L26" s="6" t="n"/>
      <c r="M26" s="6" t="n"/>
      <c r="N26" s="6" t="n"/>
      <c r="O26" s="6" t="n"/>
      <c r="P26" s="7">
        <f>S2</f>
        <v/>
      </c>
      <c r="Q26" s="7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inlineStr">
        <is>
          <t>VARIANCE CHECK</t>
        </is>
      </c>
      <c r="K28" s="10" t="n"/>
      <c r="L28" s="10" t="n"/>
      <c r="M28" s="10" t="n"/>
      <c r="N28" s="10" t="n"/>
      <c r="O28" s="10" t="n"/>
      <c r="P28" s="11">
        <f>S2-P25</f>
        <v/>
      </c>
      <c r="Q28" s="11">
        <f>S2-Q25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inlineStr">
        <is>
          <t>INVOICE NOTES: Structural item count mismatch: 4 price lines found between section markers but 8 items extracted</t>
        </is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inlineStr">
        <is>
          <t>DUTY ESTIMATION (Classification Cross-Check)</t>
        </is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CIF (USD) = InvTotal + Freight + Insurance</t>
        </is>
      </c>
      <c r="K33" s="15" t="n"/>
      <c r="L33" s="15" t="n"/>
      <c r="M33" s="15" t="n"/>
      <c r="N33" s="15" t="n"/>
      <c r="O33" s="15" t="n"/>
      <c r="P33" s="17" t="n">
        <v>169.87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>CIF (XCD) = CIF × 2.7169</t>
        </is>
      </c>
      <c r="K34" s="15" t="n"/>
      <c r="L34" s="15" t="n"/>
      <c r="M34" s="15" t="n"/>
      <c r="N34" s="15" t="n"/>
      <c r="O34" s="15" t="n"/>
      <c r="P34" s="17" t="n">
        <v>461.52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CET (weighted avg 15.8%)</t>
        </is>
      </c>
      <c r="K35" s="15" t="n"/>
      <c r="L35" s="15" t="n"/>
      <c r="M35" s="15" t="n"/>
      <c r="N35" s="15" t="n"/>
      <c r="O35" s="15" t="n"/>
      <c r="P35" s="17" t="n">
        <v>72.92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 xml:space="preserve">  └ 39241090: 20% CET (7% of value)</t>
        </is>
      </c>
      <c r="K36" s="15" t="n"/>
      <c r="L36" s="15" t="n"/>
      <c r="M36" s="15" t="n"/>
      <c r="N36" s="15" t="n"/>
      <c r="O36" s="15" t="n"/>
      <c r="P36" s="17" t="n">
        <v>6.64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 xml:space="preserve">  └ 61071100: 20% CET (19% of value)</t>
        </is>
      </c>
      <c r="K37" s="15" t="n"/>
      <c r="L37" s="15" t="n"/>
      <c r="M37" s="15" t="n"/>
      <c r="N37" s="15" t="n"/>
      <c r="O37" s="15" t="n"/>
      <c r="P37" s="17" t="n">
        <v>17.99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 xml:space="preserve">  └ 63079090: 0% CET (21% of value)</t>
        </is>
      </c>
      <c r="K38" s="15" t="n"/>
      <c r="L38" s="15" t="n"/>
      <c r="M38" s="15" t="n"/>
      <c r="N38" s="15" t="n"/>
      <c r="O38" s="15" t="n"/>
      <c r="P38" s="17" t="n">
        <v>0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 xml:space="preserve">  └ 64041990: 20% CET (36% of value)</t>
        </is>
      </c>
      <c r="K39" s="15" t="n"/>
      <c r="L39" s="15" t="n"/>
      <c r="M39" s="15" t="n"/>
      <c r="N39" s="15" t="n"/>
      <c r="O39" s="15" t="n"/>
      <c r="P39" s="17" t="n">
        <v>33.34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 xml:space="preserve">  └ 95062900: 20% CET (16% of value)</t>
        </is>
      </c>
      <c r="K40" s="15" t="n"/>
      <c r="L40" s="15" t="n"/>
      <c r="M40" s="15" t="n"/>
      <c r="N40" s="15" t="n"/>
      <c r="O40" s="15" t="n"/>
      <c r="P40" s="17" t="n">
        <v>14.95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inlineStr">
        <is>
          <t>CSC (6%)</t>
        </is>
      </c>
      <c r="K41" s="15" t="n"/>
      <c r="L41" s="15" t="n"/>
      <c r="M41" s="15" t="n"/>
      <c r="N41" s="15" t="n"/>
      <c r="O41" s="15" t="n"/>
      <c r="P41" s="17" t="n">
        <v>27.69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inlineStr">
        <is>
          <t>VAT (15%) on CIF+CET+CSC</t>
        </is>
      </c>
      <c r="K42" s="15" t="n"/>
      <c r="L42" s="15" t="n"/>
      <c r="M42" s="15" t="n"/>
      <c r="N42" s="15" t="n"/>
      <c r="O42" s="15" t="n"/>
      <c r="P42" s="17" t="n">
        <v>84.31999999999999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4" t="inlineStr">
        <is>
          <t>ESTIMATED TOTAL DUTIES</t>
        </is>
      </c>
      <c r="K43" s="18" t="n"/>
      <c r="L43" s="18" t="n"/>
      <c r="M43" s="18" t="n"/>
      <c r="N43" s="18" t="n"/>
      <c r="O43" s="18" t="n"/>
      <c r="P43" s="19" t="n">
        <v>184.93</v>
      </c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inlineStr">
        <is>
          <t>Effective Duty Rate</t>
        </is>
      </c>
      <c r="K44" s="15" t="n"/>
      <c r="L44" s="15" t="n"/>
      <c r="M44" s="15" t="n"/>
      <c r="N44" s="15" t="n"/>
      <c r="O44" s="15" t="n"/>
      <c r="P44" s="20" t="n">
        <v>0.4006976945744496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2026-04-26T18:06:31Z</dcterms:created>
  <dcterms:modified xmlns:dcterms="http://purl.org/dc/terms/" xmlns:xsi="http://www.w3.org/2001/XMLSchema-instance" xsi:type="dcterms:W3CDTF">2026-04-26T18:06:41Z</dcterms:modified>
</cp:coreProperties>
</file>