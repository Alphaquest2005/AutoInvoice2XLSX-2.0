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0" fontId="10" fillId="6" borderId="1" pivotButton="0" quotePrefix="0" xfId="0"/>
    <xf numFmtId="4" fontId="10" fillId="6" borderId="1" pivotButton="0" quotePrefix="0" xfId="0"/>
    <xf numFmtId="0" fontId="11" fillId="0" borderId="1" pivotButton="0" quotePrefix="0" xfId="0"/>
    <xf numFmtId="4" fontId="11" fillId="0" borderId="1" pivotButton="0" quotePrefix="0" xfId="0"/>
    <xf numFmtId="0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111-7220046-1575437</t>
        </is>
      </c>
      <c r="D2" s="2" t="inlineStr">
        <is>
          <t>2024-07-17</t>
        </is>
      </c>
      <c r="E2" s="2" t="inlineStr">
        <is>
          <t>WATER SPORTS</t>
        </is>
      </c>
      <c r="F2" s="2" t="inlineStr">
        <is>
          <t>95062900</t>
        </is>
      </c>
      <c r="G2" s="2" t="inlineStr"/>
      <c r="H2" s="2" t="inlineStr"/>
      <c r="I2" s="2" t="inlineStr">
        <is>
          <t>95062900</t>
        </is>
      </c>
      <c r="J2" s="2" t="inlineStr">
        <is>
          <t>EZIGO Baby Pool Float with Canopy UPF50+ Sun Protection, Inflatable Kids Pool...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26.99</v>
      </c>
      <c r="P2" s="3" t="n">
        <v>26.99</v>
      </c>
      <c r="Q2" s="3">
        <f>O2*K2</f>
        <v/>
      </c>
      <c r="R2" s="3">
        <f>P2-Q2</f>
        <v/>
      </c>
      <c r="S2" s="3" t="n">
        <v>69.69</v>
      </c>
      <c r="T2" s="3" t="n">
        <v>15</v>
      </c>
      <c r="U2" s="3" t="n">
        <v>-2.88</v>
      </c>
      <c r="V2" s="3" t="n">
        <v>1.11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95062900</t>
        </is>
      </c>
    </row>
    <row r="3">
      <c r="A3" s="4" t="n"/>
      <c r="B3" s="4" t="n"/>
      <c r="C3" s="4" t="n"/>
      <c r="D3" s="4" t="n"/>
      <c r="E3" s="4" t="n"/>
      <c r="F3" s="4" t="inlineStr">
        <is>
          <t>95062900</t>
        </is>
      </c>
      <c r="G3" s="4" t="n"/>
      <c r="H3" s="4" t="n"/>
      <c r="I3" s="4" t="inlineStr">
        <is>
          <t>AMZ-1</t>
        </is>
      </c>
      <c r="J3" s="4" t="inlineStr">
        <is>
          <t>EZIGO Baby Pool Float with Canopy UPF50+ Sun Protection, Inflatable Kids Pool...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26.99</v>
      </c>
      <c r="P3" s="5" t="n">
        <v>26.99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2" t="n"/>
      <c r="B4" s="2" t="inlineStr"/>
      <c r="C4" s="2" t="inlineStr">
        <is>
          <t>111-7220046-1575437</t>
        </is>
      </c>
      <c r="D4" s="2" t="inlineStr">
        <is>
          <t>2024-07-17</t>
        </is>
      </c>
      <c r="E4" s="2" t="inlineStr">
        <is>
          <t>Of cotton</t>
        </is>
      </c>
      <c r="F4" s="2" t="inlineStr">
        <is>
          <t>61071100</t>
        </is>
      </c>
      <c r="G4" s="2" t="inlineStr"/>
      <c r="H4" s="2" t="inlineStr"/>
      <c r="I4" s="2" t="inlineStr">
        <is>
          <t>61071100</t>
        </is>
      </c>
      <c r="J4" s="2" t="inlineStr">
        <is>
          <t>Fruit of the Loom Men's Coolzone Boxer Briefs, Moisture Wicking &amp; Breathable,... (1 items)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17.48</v>
      </c>
      <c r="P4" s="3" t="n">
        <v>17.48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61071100</t>
        </is>
      </c>
    </row>
    <row r="5">
      <c r="A5" s="4" t="n"/>
      <c r="B5" s="4" t="n"/>
      <c r="C5" s="4" t="n"/>
      <c r="D5" s="4" t="n"/>
      <c r="E5" s="4" t="n"/>
      <c r="F5" s="4" t="inlineStr">
        <is>
          <t>61071100</t>
        </is>
      </c>
      <c r="G5" s="4" t="n"/>
      <c r="H5" s="4" t="n"/>
      <c r="I5" s="4" t="inlineStr">
        <is>
          <t>AMZ-2</t>
        </is>
      </c>
      <c r="J5" s="4" t="inlineStr">
        <is>
          <t>Fruit of the Loom Men's Coolzone Boxer Briefs, Moisture Wicking &amp; Breathable,...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17.48</v>
      </c>
      <c r="P5" s="5" t="n">
        <v>17.48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2" t="n"/>
      <c r="B6" s="2" t="inlineStr"/>
      <c r="C6" s="2" t="inlineStr">
        <is>
          <t>111-7220046-1575437</t>
        </is>
      </c>
      <c r="D6" s="2" t="inlineStr">
        <is>
          <t>2024-07-17</t>
        </is>
      </c>
      <c r="E6" s="2" t="inlineStr">
        <is>
          <t>Plastics and articles thereof</t>
        </is>
      </c>
      <c r="F6" s="2" t="inlineStr">
        <is>
          <t>39241090</t>
        </is>
      </c>
      <c r="G6" s="2" t="inlineStr"/>
      <c r="H6" s="2" t="inlineStr"/>
      <c r="I6" s="2" t="inlineStr">
        <is>
          <t>39241090</t>
        </is>
      </c>
      <c r="J6" s="2" t="inlineStr">
        <is>
          <t>4Pack Drip-Free Silicone Popsicle Holders, AODISTUCE Popsicle Holder with Str... (1 items)</t>
        </is>
      </c>
      <c r="K6" s="2" t="n">
        <v>1</v>
      </c>
      <c r="L6" s="2" t="n"/>
      <c r="M6" s="2" t="inlineStr"/>
      <c r="N6" s="2" t="inlineStr">
        <is>
          <t>USD</t>
        </is>
      </c>
      <c r="O6" s="3" t="n">
        <v>11.99</v>
      </c>
      <c r="P6" s="3" t="n">
        <v>11.99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39241090</t>
        </is>
      </c>
    </row>
    <row r="7">
      <c r="A7" s="4" t="n"/>
      <c r="B7" s="4" t="n"/>
      <c r="C7" s="4" t="n"/>
      <c r="D7" s="4" t="n"/>
      <c r="E7" s="4" t="n"/>
      <c r="F7" s="4" t="inlineStr">
        <is>
          <t>39241090</t>
        </is>
      </c>
      <c r="G7" s="4" t="n"/>
      <c r="H7" s="4" t="n"/>
      <c r="I7" s="4" t="inlineStr">
        <is>
          <t>AMZ-5</t>
        </is>
      </c>
      <c r="J7" s="4" t="inlineStr">
        <is>
          <t>4Pack Drip-Free Silicone Popsicle Holders, AODISTUCE Popsicle Holder with Str...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11.99</v>
      </c>
      <c r="P7" s="5" t="n">
        <v>11.99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SUBTOTAL (GROUPED)</t>
        </is>
      </c>
      <c r="K8" s="6" t="n"/>
      <c r="L8" s="6" t="n"/>
      <c r="M8" s="6" t="n"/>
      <c r="N8" s="6" t="n"/>
      <c r="O8" s="6" t="n"/>
      <c r="P8" s="7">
        <f>P2+P4+P6</f>
        <v/>
      </c>
      <c r="Q8" s="7">
        <f>Q2+Q4+Q6</f>
        <v/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SUBTOTAL (DETAILS)</t>
        </is>
      </c>
      <c r="K9" s="6" t="n"/>
      <c r="L9" s="6" t="n"/>
      <c r="M9" s="6" t="n"/>
      <c r="N9" s="6" t="n"/>
      <c r="O9" s="6" t="n"/>
      <c r="P9" s="7">
        <f>SUM(P2:P7)-P8</f>
        <v/>
      </c>
      <c r="Q9" s="7">
        <f>SUM(Q2:Q7)-Q8</f>
        <v/>
      </c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GROUP VERIFICATION</t>
        </is>
      </c>
      <c r="K10" s="8" t="n"/>
      <c r="L10" s="8" t="n"/>
      <c r="M10" s="8" t="n"/>
      <c r="N10" s="8" t="n"/>
      <c r="O10" s="8" t="n"/>
      <c r="P10" s="9">
        <f>P8-P9</f>
        <v/>
      </c>
      <c r="Q10" s="9">
        <f>Q8-Q9</f>
        <v/>
      </c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/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INTERNAL FREIGHT</t>
        </is>
      </c>
      <c r="K12" s="6" t="n"/>
      <c r="L12" s="6" t="n"/>
      <c r="M12" s="6" t="n"/>
      <c r="N12" s="6" t="n"/>
      <c r="O12" s="6" t="n"/>
      <c r="P12" s="7" t="n">
        <v>15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INSURANCE</t>
        </is>
      </c>
      <c r="K13" s="6" t="n"/>
      <c r="L13" s="6" t="n"/>
      <c r="M13" s="6" t="n"/>
      <c r="N13" s="6" t="n"/>
      <c r="O13" s="6" t="n"/>
      <c r="P13" s="7" t="n">
        <v>-2.88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TOTAL OTHER COST</t>
        </is>
      </c>
      <c r="K14" s="6" t="n"/>
      <c r="L14" s="6" t="n"/>
      <c r="M14" s="6" t="n"/>
      <c r="N14" s="6" t="n"/>
      <c r="O14" s="6" t="n"/>
      <c r="P14" s="7" t="n">
        <v>1.11</v>
      </c>
      <c r="Q14" s="7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DEDUCTION</t>
        </is>
      </c>
      <c r="K15" s="6" t="n"/>
      <c r="L15" s="6" t="n"/>
      <c r="M15" s="6" t="n"/>
      <c r="N15" s="6" t="n"/>
      <c r="O15" s="6" t="n"/>
      <c r="P15" s="7" t="n">
        <v>0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ADJUSTMENTS</t>
        </is>
      </c>
      <c r="K16" s="6" t="n"/>
      <c r="L16" s="6" t="n"/>
      <c r="M16" s="6" t="n"/>
      <c r="N16" s="6" t="n"/>
      <c r="O16" s="6" t="n"/>
      <c r="P16" s="7">
        <f>(T2+U2+V2-W2)</f>
        <v/>
      </c>
      <c r="Q16" s="7">
        <f>(T2+U2+V2-W2)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NET TOTAL</t>
        </is>
      </c>
      <c r="K18" s="6" t="n"/>
      <c r="L18" s="6" t="n"/>
      <c r="M18" s="6" t="n"/>
      <c r="N18" s="6" t="n"/>
      <c r="O18" s="6" t="n"/>
      <c r="P18" s="7">
        <f>P8+P16</f>
        <v/>
      </c>
      <c r="Q18" s="7">
        <f>Q8+Q16</f>
        <v/>
      </c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INVOICE TOTAL</t>
        </is>
      </c>
      <c r="K19" s="6" t="n"/>
      <c r="L19" s="6" t="n"/>
      <c r="M19" s="6" t="n"/>
      <c r="N19" s="6" t="n"/>
      <c r="O19" s="6" t="n"/>
      <c r="P19" s="7">
        <f>S2</f>
        <v/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inlineStr">
        <is>
          <t>VARIANCE CHECK</t>
        </is>
      </c>
      <c r="K21" s="10" t="n"/>
      <c r="L21" s="10" t="n"/>
      <c r="M21" s="10" t="n"/>
      <c r="N21" s="10" t="n"/>
      <c r="O21" s="10" t="n"/>
      <c r="P21" s="11">
        <f>S2-P18</f>
        <v/>
      </c>
      <c r="Q21" s="11">
        <f>S2-Q18</f>
        <v/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</row>
    <row r="22"/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3" t="inlineStr">
        <is>
          <t>INVOICE NOTES: Structural item count mismatch: 4 price lines found between section markers but 8 items extracted</t>
        </is>
      </c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</row>
    <row r="24"/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inlineStr">
        <is>
          <t>DUTY ESTIMATION (Classification Cross-Check)</t>
        </is>
      </c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CIF (USD) = InvTotal + Freight + Insurance</t>
        </is>
      </c>
      <c r="K26" s="15" t="n"/>
      <c r="L26" s="15" t="n"/>
      <c r="M26" s="15" t="n"/>
      <c r="N26" s="15" t="n"/>
      <c r="O26" s="15" t="n"/>
      <c r="P26" s="17" t="n">
        <v>84.69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CIF (XCD) = CIF × 2.7169</t>
        </is>
      </c>
      <c r="K27" s="15" t="n"/>
      <c r="L27" s="15" t="n"/>
      <c r="M27" s="15" t="n"/>
      <c r="N27" s="15" t="n"/>
      <c r="O27" s="15" t="n"/>
      <c r="P27" s="17" t="n">
        <v>230.09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CET (weighted avg 20.0%)</t>
        </is>
      </c>
      <c r="K28" s="15" t="n"/>
      <c r="L28" s="15" t="n"/>
      <c r="M28" s="15" t="n"/>
      <c r="N28" s="15" t="n"/>
      <c r="O28" s="15" t="n"/>
      <c r="P28" s="17" t="n">
        <v>46.02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 xml:space="preserve">  └ 39241090: 20% CET (21% of value)</t>
        </is>
      </c>
      <c r="K29" s="15" t="n"/>
      <c r="L29" s="15" t="n"/>
      <c r="M29" s="15" t="n"/>
      <c r="N29" s="15" t="n"/>
      <c r="O29" s="15" t="n"/>
      <c r="P29" s="17" t="n">
        <v>9.77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 xml:space="preserve">  └ 61071100: 20% CET (31% of value)</t>
        </is>
      </c>
      <c r="K30" s="15" t="n"/>
      <c r="L30" s="15" t="n"/>
      <c r="M30" s="15" t="n"/>
      <c r="N30" s="15" t="n"/>
      <c r="O30" s="15" t="n"/>
      <c r="P30" s="17" t="n">
        <v>14.25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 xml:space="preserve">  └ 95062900: 20% CET (48% of value)</t>
        </is>
      </c>
      <c r="K31" s="15" t="n"/>
      <c r="L31" s="15" t="n"/>
      <c r="M31" s="15" t="n"/>
      <c r="N31" s="15" t="n"/>
      <c r="O31" s="15" t="n"/>
      <c r="P31" s="17" t="n">
        <v>22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inlineStr">
        <is>
          <t>CSC (6%)</t>
        </is>
      </c>
      <c r="K32" s="15" t="n"/>
      <c r="L32" s="15" t="n"/>
      <c r="M32" s="15" t="n"/>
      <c r="N32" s="15" t="n"/>
      <c r="O32" s="15" t="n"/>
      <c r="P32" s="17" t="n">
        <v>13.81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>VAT (15%) on CIF+CET+CSC</t>
        </is>
      </c>
      <c r="K33" s="15" t="n"/>
      <c r="L33" s="15" t="n"/>
      <c r="M33" s="15" t="n"/>
      <c r="N33" s="15" t="n"/>
      <c r="O33" s="15" t="n"/>
      <c r="P33" s="17" t="n">
        <v>43.49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4" t="inlineStr">
        <is>
          <t>ESTIMATED TOTAL DUTIES</t>
        </is>
      </c>
      <c r="K34" s="18" t="n"/>
      <c r="L34" s="18" t="n"/>
      <c r="M34" s="18" t="n"/>
      <c r="N34" s="18" t="n"/>
      <c r="O34" s="18" t="n"/>
      <c r="P34" s="19" t="n">
        <v>103.32</v>
      </c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inlineStr">
        <is>
          <t>Effective Duty Rate</t>
        </is>
      </c>
      <c r="K35" s="15" t="n"/>
      <c r="L35" s="15" t="n"/>
      <c r="M35" s="15" t="n"/>
      <c r="N35" s="15" t="n"/>
      <c r="O35" s="15" t="n"/>
      <c r="P35" s="20" t="n">
        <v>0.4490416793428658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inlineStr">
        <is>
          <t>CLIENT DECLARED DUTIES</t>
        </is>
      </c>
      <c r="K36" s="15" t="n"/>
      <c r="L36" s="15" t="n"/>
      <c r="M36" s="15" t="n"/>
      <c r="N36" s="15" t="n"/>
      <c r="O36" s="15" t="n"/>
      <c r="P36" s="17" t="n">
        <v>150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21" t="inlineStr">
        <is>
          <t>DUTY VARIANCE (Client − Estimated)</t>
        </is>
      </c>
      <c r="K37" s="15" t="n"/>
      <c r="L37" s="15" t="n"/>
      <c r="M37" s="15" t="n"/>
      <c r="N37" s="15" t="n"/>
      <c r="O37" s="15" t="n"/>
      <c r="P37" s="22" t="n">
        <v>46.68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6" t="inlineStr">
        <is>
          <t>IMPLIED CET RATE (from client value)</t>
        </is>
      </c>
      <c r="K38" s="15" t="n"/>
      <c r="L38" s="15" t="n"/>
      <c r="M38" s="15" t="n"/>
      <c r="N38" s="15" t="n"/>
      <c r="O38" s="15" t="n"/>
      <c r="P38" s="20" t="n">
        <v>0.376451142936507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21" t="inlineStr">
        <is>
          <t>⚠ CET MISMATCH: System=20% vs Client≈38% — review classification</t>
        </is>
      </c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6" t="inlineStr">
        <is>
          <t>IMPLIED CIF (from declared duty @ 20% CET, XCD)</t>
        </is>
      </c>
      <c r="K40" s="15" t="n"/>
      <c r="L40" s="15" t="n"/>
      <c r="M40" s="15" t="n"/>
      <c r="N40" s="15" t="n"/>
      <c r="O40" s="15" t="n"/>
      <c r="P40" s="17" t="n">
        <v>334.08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6" t="inlineStr">
        <is>
          <t>IMPLIED ITEMS VALUE (USD, net of freight/insurance)</t>
        </is>
      </c>
      <c r="K41" s="15" t="n"/>
      <c r="L41" s="15" t="n"/>
      <c r="M41" s="15" t="n"/>
      <c r="N41" s="15" t="n"/>
      <c r="O41" s="15" t="n"/>
      <c r="P41" s="17" t="n">
        <v>107.96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21" t="inlineStr">
        <is>
          <t>⚠ ITEM ALLOCATION CHECK: actual $56.46 USD vs implied $107.96 USD — UNDER-ALLOCATED (items from another waybill may belong here)</t>
        </is>
      </c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</row>
    <row r="43"/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inlineStr">
        <is>
          <t>Items on other declaration(s) (5 items)</t>
        </is>
      </c>
      <c r="K44" s="23" t="n"/>
      <c r="L44" s="23" t="n"/>
      <c r="M44" s="23" t="n"/>
      <c r="N44" s="23" t="n"/>
      <c r="O44" s="23" t="n"/>
      <c r="P44" s="24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>
      <c r="A45" s="23" t="n"/>
      <c r="B45" s="23" t="n"/>
      <c r="C45" s="23" t="n"/>
      <c r="D45" s="23" t="n"/>
      <c r="E45" s="23" t="inlineStr">
        <is>
          <t>Footwear</t>
        </is>
      </c>
      <c r="F45" s="23" t="inlineStr">
        <is>
          <t>64041990</t>
        </is>
      </c>
      <c r="G45" s="23" t="n"/>
      <c r="H45" s="23" t="n"/>
      <c r="I45" s="23" t="n"/>
      <c r="J45" s="23" t="inlineStr">
        <is>
          <t>BMCITYBM Baby High Top Sneakers Boy Girl Walking Shoes Infant First Walker Sh... (+1 more) (2 items)</t>
        </is>
      </c>
      <c r="K45" s="23" t="n">
        <v>2</v>
      </c>
      <c r="L45" s="23" t="n"/>
      <c r="M45" s="23" t="n"/>
      <c r="N45" s="23" t="inlineStr">
        <is>
          <t>USD</t>
        </is>
      </c>
      <c r="O45" s="24" t="n">
        <v>30.085</v>
      </c>
      <c r="P45" s="24" t="n">
        <v>60.17</v>
      </c>
      <c r="Q45" s="24" t="n"/>
      <c r="R45" s="24" t="n"/>
      <c r="S45" s="24" t="n"/>
      <c r="T45" s="24" t="n"/>
      <c r="U45" s="24" t="n"/>
      <c r="V45" s="24" t="n"/>
      <c r="W45" s="24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inlineStr">
        <is>
          <t>AMZ-3</t>
        </is>
      </c>
      <c r="J46" s="25" t="inlineStr">
        <is>
          <t>BMCITYBM Baby High Top Sneakers Boy Girl Walking Shoes Infant First Walker Sh...</t>
        </is>
      </c>
      <c r="K46" s="25" t="n">
        <v>1</v>
      </c>
      <c r="L46" s="25" t="n"/>
      <c r="M46" s="25" t="n"/>
      <c r="N46" s="25" t="inlineStr">
        <is>
          <t>USD</t>
        </is>
      </c>
      <c r="O46" s="26" t="n">
        <v>31.19</v>
      </c>
      <c r="P46" s="26" t="n">
        <v>31.19</v>
      </c>
      <c r="Q46" s="26" t="n"/>
      <c r="R46" s="26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inlineStr">
        <is>
          <t>AMZ-6</t>
        </is>
      </c>
      <c r="J47" s="25" t="inlineStr">
        <is>
          <t>Stride Rite 360 Unisex Child Taye 2.0 First Walker Shoe, Brown, 4 Infant</t>
        </is>
      </c>
      <c r="K47" s="25" t="n">
        <v>1</v>
      </c>
      <c r="L47" s="25" t="n"/>
      <c r="M47" s="25" t="n"/>
      <c r="N47" s="25" t="inlineStr">
        <is>
          <t>USD</t>
        </is>
      </c>
      <c r="O47" s="26" t="n">
        <v>28.98</v>
      </c>
      <c r="P47" s="26" t="n">
        <v>28.98</v>
      </c>
      <c r="Q47" s="26" t="n"/>
      <c r="R47" s="26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8">
      <c r="A48" s="23" t="n"/>
      <c r="B48" s="23" t="n"/>
      <c r="C48" s="23" t="n"/>
      <c r="D48" s="23" t="n"/>
      <c r="E48" s="23" t="inlineStr">
        <is>
          <t>MARINE HARDWARE</t>
        </is>
      </c>
      <c r="F48" s="23" t="inlineStr">
        <is>
          <t>63079090</t>
        </is>
      </c>
      <c r="G48" s="23" t="n"/>
      <c r="H48" s="23" t="n"/>
      <c r="I48" s="23" t="n"/>
      <c r="J48" s="23" t="inlineStr">
        <is>
          <t>Baby Carrier Newborn to Toddler - TSRETE Baby Ergonomic and Cozy Infant Carri... (+1 more) (2 items)</t>
        </is>
      </c>
      <c r="K48" s="23" t="n">
        <v>2</v>
      </c>
      <c r="L48" s="23" t="n"/>
      <c r="M48" s="23" t="n"/>
      <c r="N48" s="23" t="inlineStr">
        <is>
          <t>USD</t>
        </is>
      </c>
      <c r="O48" s="24" t="n">
        <v>17.49</v>
      </c>
      <c r="P48" s="24" t="n">
        <v>34.98</v>
      </c>
      <c r="Q48" s="24" t="n"/>
      <c r="R48" s="24" t="n"/>
      <c r="S48" s="24" t="n"/>
      <c r="T48" s="24" t="n"/>
      <c r="U48" s="24" t="n"/>
      <c r="V48" s="24" t="n"/>
      <c r="W48" s="24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inlineStr">
        <is>
          <t>AMZ-4</t>
        </is>
      </c>
      <c r="J49" s="25" t="inlineStr">
        <is>
          <t>Baby Carrier Newborn to Toddler - TSRETE Baby Ergonomic and Cozy Infant Carri...</t>
        </is>
      </c>
      <c r="K49" s="25" t="n">
        <v>1</v>
      </c>
      <c r="L49" s="25" t="n"/>
      <c r="M49" s="25" t="n"/>
      <c r="N49" s="25" t="inlineStr">
        <is>
          <t>USD</t>
        </is>
      </c>
      <c r="O49" s="26" t="n">
        <v>24.99</v>
      </c>
      <c r="P49" s="26" t="n">
        <v>24.99</v>
      </c>
      <c r="Q49" s="26" t="n"/>
      <c r="R49" s="26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inlineStr">
        <is>
          <t>AMZ-8</t>
        </is>
      </c>
      <c r="J50" s="25" t="inlineStr">
        <is>
          <t>Popsicle Holder for Kids, 6 Pieces Ice Pop Neoprene Insulator Sleeves, Freeze...</t>
        </is>
      </c>
      <c r="K50" s="25" t="n">
        <v>1</v>
      </c>
      <c r="L50" s="25" t="n"/>
      <c r="M50" s="25" t="n"/>
      <c r="N50" s="25" t="inlineStr">
        <is>
          <t>USD</t>
        </is>
      </c>
      <c r="O50" s="26" t="n">
        <v>9.99</v>
      </c>
      <c r="P50" s="26" t="n">
        <v>9.99</v>
      </c>
      <c r="Q50" s="26" t="n"/>
      <c r="R50" s="26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3" t="n"/>
      <c r="B51" s="23" t="n"/>
      <c r="C51" s="23" t="n"/>
      <c r="D51" s="23" t="n"/>
      <c r="E51" s="23" t="inlineStr">
        <is>
          <t>Of cotton</t>
        </is>
      </c>
      <c r="F51" s="23" t="inlineStr">
        <is>
          <t>61071100</t>
        </is>
      </c>
      <c r="G51" s="23" t="n"/>
      <c r="H51" s="23" t="n"/>
      <c r="I51" s="23" t="n"/>
      <c r="J51" s="23" t="inlineStr">
        <is>
          <t>PLAYTEX Womens 18 Hour Wireless Seamless Full-coverage T-shirt With Smoothing... (1 items)</t>
        </is>
      </c>
      <c r="K51" s="23" t="n">
        <v>1</v>
      </c>
      <c r="L51" s="23" t="n"/>
      <c r="M51" s="23" t="n"/>
      <c r="N51" s="23" t="inlineStr">
        <is>
          <t>USD</t>
        </is>
      </c>
      <c r="O51" s="24" t="n">
        <v>14.99</v>
      </c>
      <c r="P51" s="24" t="n">
        <v>14.99</v>
      </c>
      <c r="Q51" s="24" t="n"/>
      <c r="R51" s="24" t="n"/>
      <c r="S51" s="24" t="n"/>
      <c r="T51" s="24" t="n"/>
      <c r="U51" s="24" t="n"/>
      <c r="V51" s="24" t="n"/>
      <c r="W51" s="24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inlineStr">
        <is>
          <t>AMZ-7</t>
        </is>
      </c>
      <c r="J52" s="25" t="inlineStr">
        <is>
          <t>PLAYTEX Womens 18 Hour Wireless Seamless Full-coverage T-shirt With Smoothing...</t>
        </is>
      </c>
      <c r="K52" s="25" t="n">
        <v>1</v>
      </c>
      <c r="L52" s="25" t="n"/>
      <c r="M52" s="25" t="n"/>
      <c r="N52" s="25" t="inlineStr">
        <is>
          <t>USD</t>
        </is>
      </c>
      <c r="O52" s="26" t="n">
        <v>14.99</v>
      </c>
      <c r="P52" s="26" t="n">
        <v>14.99</v>
      </c>
      <c r="Q52" s="26" t="n"/>
      <c r="R52" s="26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inlineStr">
        <is>
          <t>REFERENCE SUBTOTAL</t>
        </is>
      </c>
      <c r="K53" s="27" t="n"/>
      <c r="L53" s="27" t="n"/>
      <c r="M53" s="27" t="n"/>
      <c r="N53" s="27" t="n"/>
      <c r="O53" s="27" t="n"/>
      <c r="P53" s="28" t="n">
        <v>110.14</v>
      </c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7" t="n"/>
      <c r="AK53" s="27" t="n"/>
    </row>
    <row r="54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inlineStr">
        <is>
          <t>REFERENCE FREIGHT</t>
        </is>
      </c>
      <c r="K54" s="27" t="n"/>
      <c r="L54" s="27" t="n"/>
      <c r="M54" s="27" t="n"/>
      <c r="N54" s="27" t="n"/>
      <c r="O54" s="27" t="n"/>
      <c r="P54" s="28" t="n">
        <v>5</v>
      </c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7" t="n"/>
      <c r="AK54" s="27" t="n"/>
    </row>
    <row r="5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inlineStr">
        <is>
          <t>REFERENCE INSURANCE</t>
        </is>
      </c>
      <c r="K55" s="27" t="n"/>
      <c r="L55" s="27" t="n"/>
      <c r="M55" s="27" t="n"/>
      <c r="N55" s="27" t="n"/>
      <c r="O55" s="27" t="n"/>
      <c r="P55" s="28" t="n">
        <v>-5.62</v>
      </c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</row>
    <row r="56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inlineStr">
        <is>
          <t>REFERENCE OTHER COST</t>
        </is>
      </c>
      <c r="K56" s="27" t="n"/>
      <c r="L56" s="27" t="n"/>
      <c r="M56" s="27" t="n"/>
      <c r="N56" s="27" t="n"/>
      <c r="O56" s="27" t="n"/>
      <c r="P56" s="28" t="n">
        <v>2.16</v>
      </c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</row>
    <row r="57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inlineStr">
        <is>
          <t>REFERENCE DEDUCTION</t>
        </is>
      </c>
      <c r="K57" s="27" t="n"/>
      <c r="L57" s="27" t="n"/>
      <c r="M57" s="27" t="n"/>
      <c r="N57" s="27" t="n"/>
      <c r="O57" s="27" t="n"/>
      <c r="P57" s="28" t="n">
        <v>0</v>
      </c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</row>
    <row r="58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inlineStr">
        <is>
          <t>REFERENCE ADJUSTMENTS</t>
        </is>
      </c>
      <c r="K58" s="27" t="n"/>
      <c r="L58" s="27" t="n"/>
      <c r="M58" s="27" t="n"/>
      <c r="N58" s="27" t="n"/>
      <c r="O58" s="27" t="n"/>
      <c r="P58" s="28">
        <f>P54+P55+P56-P57</f>
        <v/>
      </c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</row>
    <row r="59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inlineStr">
        <is>
          <t>REFERENCE NET TOTAL</t>
        </is>
      </c>
      <c r="K59" s="27" t="n"/>
      <c r="L59" s="27" t="n"/>
      <c r="M59" s="27" t="n"/>
      <c r="N59" s="27" t="n"/>
      <c r="O59" s="27" t="n"/>
      <c r="P59" s="28">
        <f>P53+P58</f>
        <v/>
      </c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</row>
    <row r="6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inlineStr">
        <is>
          <t>COMBINED ITEMS TOTAL</t>
        </is>
      </c>
      <c r="K61" s="27" t="n"/>
      <c r="L61" s="27" t="n"/>
      <c r="M61" s="27" t="n"/>
      <c r="N61" s="27" t="n"/>
      <c r="O61" s="27" t="n"/>
      <c r="P61" s="28">
        <f>P8+P53</f>
        <v/>
      </c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</row>
    <row r="62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inlineStr">
        <is>
          <t>FULL INVOICE FREIGHT</t>
        </is>
      </c>
      <c r="K62" s="27" t="n"/>
      <c r="L62" s="27" t="n"/>
      <c r="M62" s="27" t="n"/>
      <c r="N62" s="27" t="n"/>
      <c r="O62" s="27" t="n"/>
      <c r="P62" s="28">
        <f>P12+P54</f>
        <v/>
      </c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</row>
    <row r="63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inlineStr">
        <is>
          <t>FULL INVOICE INSURANCE</t>
        </is>
      </c>
      <c r="K63" s="27" t="n"/>
      <c r="L63" s="27" t="n"/>
      <c r="M63" s="27" t="n"/>
      <c r="N63" s="27" t="n"/>
      <c r="O63" s="27" t="n"/>
      <c r="P63" s="28">
        <f>P13+P55</f>
        <v/>
      </c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</row>
    <row r="64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inlineStr">
        <is>
          <t>FULL INVOICE OTHER COST</t>
        </is>
      </c>
      <c r="K64" s="27" t="n"/>
      <c r="L64" s="27" t="n"/>
      <c r="M64" s="27" t="n"/>
      <c r="N64" s="27" t="n"/>
      <c r="O64" s="27" t="n"/>
      <c r="P64" s="28">
        <f>P14+P56</f>
        <v/>
      </c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</row>
    <row r="6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inlineStr">
        <is>
          <t>FULL INVOICE DEDUCTION</t>
        </is>
      </c>
      <c r="K65" s="27" t="n"/>
      <c r="L65" s="27" t="n"/>
      <c r="M65" s="27" t="n"/>
      <c r="N65" s="27" t="n"/>
      <c r="O65" s="27" t="n"/>
      <c r="P65" s="28">
        <f>P15+P57</f>
        <v/>
      </c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</row>
    <row r="66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inlineStr">
        <is>
          <t>FULL ADJUSTMENTS</t>
        </is>
      </c>
      <c r="K66" s="27" t="n"/>
      <c r="L66" s="27" t="n"/>
      <c r="M66" s="27" t="n"/>
      <c r="N66" s="27" t="n"/>
      <c r="O66" s="27" t="n"/>
      <c r="P66" s="28">
        <f>P62+P63+P64-P65</f>
        <v/>
      </c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7" t="n"/>
      <c r="AK66" s="27" t="n"/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inlineStr">
        <is>
          <t>COMBINED NET TOTAL</t>
        </is>
      </c>
      <c r="K67" s="27" t="n"/>
      <c r="L67" s="27" t="n"/>
      <c r="M67" s="27" t="n"/>
      <c r="N67" s="27" t="n"/>
      <c r="O67" s="27" t="n"/>
      <c r="P67" s="28">
        <f>P61+P66</f>
        <v/>
      </c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</row>
    <row r="68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inlineStr">
        <is>
          <t>FULL INVOICE TOTAL</t>
        </is>
      </c>
      <c r="K68" s="27" t="n"/>
      <c r="L68" s="27" t="n"/>
      <c r="M68" s="27" t="n"/>
      <c r="N68" s="27" t="n"/>
      <c r="O68" s="27" t="n"/>
      <c r="P68" s="28" t="n">
        <v>181.37</v>
      </c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</row>
    <row r="69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inlineStr">
        <is>
          <t>COMBINED VARIANCE CHECK</t>
        </is>
      </c>
      <c r="K69" s="27" t="n"/>
      <c r="L69" s="27" t="n"/>
      <c r="M69" s="27" t="n"/>
      <c r="N69" s="27" t="n"/>
      <c r="O69" s="27" t="n"/>
      <c r="P69" s="28">
        <f>P68-P67</f>
        <v/>
      </c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2026-04-26T18:06:42Z</dcterms:created>
  <dcterms:modified xmlns:dcterms="http://purl.org/dc/terms/" xmlns:xsi="http://www.w3.org/2001/XMLSchema-instance" xsi:type="dcterms:W3CDTF">2026-04-26T18:06:42Z</dcterms:modified>
</cp:coreProperties>
</file>