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111-7220046-1575437</t>
        </is>
      </c>
      <c r="D2" s="2" t="inlineStr">
        <is>
          <t>2024-07-17</t>
        </is>
      </c>
      <c r="E2" s="2" t="inlineStr">
        <is>
          <t>Footwear</t>
        </is>
      </c>
      <c r="F2" s="2" t="inlineStr">
        <is>
          <t>64041990</t>
        </is>
      </c>
      <c r="G2" s="2" t="inlineStr"/>
      <c r="H2" s="2" t="inlineStr"/>
      <c r="I2" s="2" t="inlineStr">
        <is>
          <t>64041990</t>
        </is>
      </c>
      <c r="J2" s="2" t="inlineStr">
        <is>
          <t>BMCITYBM Baby High Top Sneakers Boy Girl Walking Shoes Infant First Walker Sh...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30.085</v>
      </c>
      <c r="P2" s="3" t="n">
        <v>60.17</v>
      </c>
      <c r="Q2" s="3">
        <f>O2*K2</f>
        <v/>
      </c>
      <c r="R2" s="3">
        <f>P2-Q2</f>
        <v/>
      </c>
      <c r="S2" s="3" t="n">
        <v>111.68</v>
      </c>
      <c r="T2" s="3" t="n">
        <v>5</v>
      </c>
      <c r="U2" s="3" t="n">
        <v>-5.62</v>
      </c>
      <c r="V2" s="3" t="n">
        <v>2.16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64041990</t>
        </is>
      </c>
    </row>
    <row r="3">
      <c r="A3" s="4" t="n"/>
      <c r="B3" s="4" t="n"/>
      <c r="C3" s="4" t="n"/>
      <c r="D3" s="4" t="n"/>
      <c r="E3" s="4" t="n"/>
      <c r="F3" s="4" t="inlineStr">
        <is>
          <t>64041990</t>
        </is>
      </c>
      <c r="G3" s="4" t="n"/>
      <c r="H3" s="4" t="n"/>
      <c r="I3" s="4" t="inlineStr">
        <is>
          <t>AMZ-3</t>
        </is>
      </c>
      <c r="J3" s="4" t="inlineStr">
        <is>
          <t>BMCITYBM Baby High Top Sneakers Boy Girl Walking Shoes Infant First Walker Sh...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31.19</v>
      </c>
      <c r="P3" s="5" t="n">
        <v>31.19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64041990</t>
        </is>
      </c>
      <c r="G4" s="4" t="n"/>
      <c r="H4" s="4" t="n"/>
      <c r="I4" s="4" t="inlineStr">
        <is>
          <t>AMZ-6</t>
        </is>
      </c>
      <c r="J4" s="4" t="inlineStr">
        <is>
          <t>Stride Rite 360 Unisex Child Taye 2.0 First Walker Shoe, Brown, 4 Infant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28.98</v>
      </c>
      <c r="P4" s="5" t="n">
        <v>28.98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111-7220046-1575437</t>
        </is>
      </c>
      <c r="D5" s="2" t="inlineStr">
        <is>
          <t>2024-07-17</t>
        </is>
      </c>
      <c r="E5" s="2" t="inlineStr">
        <is>
          <t>MARINE HARDWARE</t>
        </is>
      </c>
      <c r="F5" s="2" t="inlineStr">
        <is>
          <t>63079090</t>
        </is>
      </c>
      <c r="G5" s="2" t="inlineStr"/>
      <c r="H5" s="2" t="inlineStr"/>
      <c r="I5" s="2" t="inlineStr">
        <is>
          <t>63079090</t>
        </is>
      </c>
      <c r="J5" s="2" t="inlineStr">
        <is>
          <t>Baby Carrier Newborn to Toddler - TSRETE Baby Ergonomic and Cozy Infant Carri... (+1 more) (2 items)</t>
        </is>
      </c>
      <c r="K5" s="2" t="n">
        <v>2</v>
      </c>
      <c r="L5" s="2" t="n"/>
      <c r="M5" s="2" t="inlineStr"/>
      <c r="N5" s="2" t="inlineStr">
        <is>
          <t>USD</t>
        </is>
      </c>
      <c r="O5" s="3" t="n">
        <v>17.49</v>
      </c>
      <c r="P5" s="3" t="n">
        <v>34.98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63079090</t>
        </is>
      </c>
    </row>
    <row r="6">
      <c r="A6" s="4" t="n"/>
      <c r="B6" s="4" t="n"/>
      <c r="C6" s="4" t="n"/>
      <c r="D6" s="4" t="n"/>
      <c r="E6" s="4" t="n"/>
      <c r="F6" s="4" t="inlineStr">
        <is>
          <t>63079090</t>
        </is>
      </c>
      <c r="G6" s="4" t="n"/>
      <c r="H6" s="4" t="n"/>
      <c r="I6" s="4" t="inlineStr">
        <is>
          <t>AMZ-4</t>
        </is>
      </c>
      <c r="J6" s="4" t="inlineStr">
        <is>
          <t>Baby Carrier Newborn to Toddler - TSRETE Baby Ergonomic and Cozy Infant Carri...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24.99</v>
      </c>
      <c r="P6" s="5" t="n">
        <v>24.99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63079090</t>
        </is>
      </c>
      <c r="G7" s="4" t="n"/>
      <c r="H7" s="4" t="n"/>
      <c r="I7" s="4" t="inlineStr">
        <is>
          <t>AMZ-8</t>
        </is>
      </c>
      <c r="J7" s="4" t="inlineStr">
        <is>
          <t>Popsicle Holder for Kids, 6 Pieces Ice Pop Neoprene Insulator Sleeves, Freeze...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9.99</v>
      </c>
      <c r="P7" s="5" t="n">
        <v>9.99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2" t="n"/>
      <c r="B8" s="2" t="inlineStr"/>
      <c r="C8" s="2" t="inlineStr">
        <is>
          <t>111-7220046-1575437</t>
        </is>
      </c>
      <c r="D8" s="2" t="inlineStr">
        <is>
          <t>2024-07-17</t>
        </is>
      </c>
      <c r="E8" s="2" t="inlineStr">
        <is>
          <t>Of cotton</t>
        </is>
      </c>
      <c r="F8" s="2" t="inlineStr">
        <is>
          <t>61071100</t>
        </is>
      </c>
      <c r="G8" s="2" t="inlineStr"/>
      <c r="H8" s="2" t="inlineStr"/>
      <c r="I8" s="2" t="inlineStr">
        <is>
          <t>61071100</t>
        </is>
      </c>
      <c r="J8" s="2" t="inlineStr">
        <is>
          <t>PLAYTEX Womens 18 Hour Wireless Seamless Full-coverage T-shirt With Smoothing... (1 items)</t>
        </is>
      </c>
      <c r="K8" s="2" t="n">
        <v>1</v>
      </c>
      <c r="L8" s="2" t="n"/>
      <c r="M8" s="2" t="inlineStr"/>
      <c r="N8" s="2" t="inlineStr">
        <is>
          <t>USD</t>
        </is>
      </c>
      <c r="O8" s="3" t="n">
        <v>14.99</v>
      </c>
      <c r="P8" s="3" t="n">
        <v>14.99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61071100</t>
        </is>
      </c>
    </row>
    <row r="9">
      <c r="A9" s="4" t="n"/>
      <c r="B9" s="4" t="n"/>
      <c r="C9" s="4" t="n"/>
      <c r="D9" s="4" t="n"/>
      <c r="E9" s="4" t="n"/>
      <c r="F9" s="4" t="inlineStr">
        <is>
          <t>61071100</t>
        </is>
      </c>
      <c r="G9" s="4" t="n"/>
      <c r="H9" s="4" t="n"/>
      <c r="I9" s="4" t="inlineStr">
        <is>
          <t>AMZ-7</t>
        </is>
      </c>
      <c r="J9" s="4" t="inlineStr">
        <is>
          <t>PLAYTEX Womens 18 Hour Wireless Seamless Full-coverage T-shirt With Smoothing...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14.99</v>
      </c>
      <c r="P9" s="5" t="n">
        <v>14.99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(GROUPED)</t>
        </is>
      </c>
      <c r="K10" s="6" t="n"/>
      <c r="L10" s="6" t="n"/>
      <c r="M10" s="6" t="n"/>
      <c r="N10" s="6" t="n"/>
      <c r="O10" s="6" t="n"/>
      <c r="P10" s="7">
        <f>P2+P5+P8</f>
        <v/>
      </c>
      <c r="Q10" s="7">
        <f>Q2+Q5+Q8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(DETAILS)</t>
        </is>
      </c>
      <c r="K11" s="6" t="n"/>
      <c r="L11" s="6" t="n"/>
      <c r="M11" s="6" t="n"/>
      <c r="N11" s="6" t="n"/>
      <c r="O11" s="6" t="n"/>
      <c r="P11" s="7">
        <f>SUM(P2:P9)-P10</f>
        <v/>
      </c>
      <c r="Q11" s="7">
        <f>SUM(Q2:Q9)-Q10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GROUP VERIFICATION</t>
        </is>
      </c>
      <c r="K12" s="8" t="n"/>
      <c r="L12" s="8" t="n"/>
      <c r="M12" s="8" t="n"/>
      <c r="N12" s="8" t="n"/>
      <c r="O12" s="8" t="n"/>
      <c r="P12" s="9">
        <f>P10-P11</f>
        <v/>
      </c>
      <c r="Q12" s="9">
        <f>Q10-Q11</f>
        <v/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INTERNAL FREIGHT</t>
        </is>
      </c>
      <c r="K14" s="6" t="n"/>
      <c r="L14" s="6" t="n"/>
      <c r="M14" s="6" t="n"/>
      <c r="N14" s="6" t="n"/>
      <c r="O14" s="6" t="n"/>
      <c r="P14" s="7" t="n">
        <v>5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INSURANCE</t>
        </is>
      </c>
      <c r="K15" s="6" t="n"/>
      <c r="L15" s="6" t="n"/>
      <c r="M15" s="6" t="n"/>
      <c r="N15" s="6" t="n"/>
      <c r="O15" s="6" t="n"/>
      <c r="P15" s="7" t="n">
        <v>-5.62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OTHER COST</t>
        </is>
      </c>
      <c r="K16" s="6" t="n"/>
      <c r="L16" s="6" t="n"/>
      <c r="M16" s="6" t="n"/>
      <c r="N16" s="6" t="n"/>
      <c r="O16" s="6" t="n"/>
      <c r="P16" s="7" t="n">
        <v>2.16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DEDUCTION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ADJUSTMENTS</t>
        </is>
      </c>
      <c r="K18" s="6" t="n"/>
      <c r="L18" s="6" t="n"/>
      <c r="M18" s="6" t="n"/>
      <c r="N18" s="6" t="n"/>
      <c r="O18" s="6" t="n"/>
      <c r="P18" s="7">
        <f>(T2+U2+V2-W2)</f>
        <v/>
      </c>
      <c r="Q18" s="7">
        <f>(T2+U2+V2-W2)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NET TOTAL</t>
        </is>
      </c>
      <c r="K20" s="6" t="n"/>
      <c r="L20" s="6" t="n"/>
      <c r="M20" s="6" t="n"/>
      <c r="N20" s="6" t="n"/>
      <c r="O20" s="6" t="n"/>
      <c r="P20" s="7">
        <f>P10+P18</f>
        <v/>
      </c>
      <c r="Q20" s="7">
        <f>Q10+Q18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INVOICE TOTAL</t>
        </is>
      </c>
      <c r="K21" s="6" t="n"/>
      <c r="L21" s="6" t="n"/>
      <c r="M21" s="6" t="n"/>
      <c r="N21" s="6" t="n"/>
      <c r="O21" s="6" t="n"/>
      <c r="P21" s="7">
        <f>S2</f>
        <v/>
      </c>
      <c r="Q21" s="7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/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inlineStr">
        <is>
          <t>VARIANCE CHECK</t>
        </is>
      </c>
      <c r="K23" s="10" t="n"/>
      <c r="L23" s="10" t="n"/>
      <c r="M23" s="10" t="n"/>
      <c r="N23" s="10" t="n"/>
      <c r="O23" s="10" t="n"/>
      <c r="P23" s="11">
        <f>S2-P20</f>
        <v/>
      </c>
      <c r="Q23" s="11">
        <f>S2-Q20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4"/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inlineStr">
        <is>
          <t>INVOICE NOTES: Structural item count mismatch: 4 price lines found between section markers but 8 items extracted</t>
        </is>
      </c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/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inlineStr">
        <is>
          <t>DUTY ESTIMATION (Classification Cross-Check)</t>
        </is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CIF (USD) = InvTotal + Freight + Insurance</t>
        </is>
      </c>
      <c r="K28" s="15" t="n"/>
      <c r="L28" s="15" t="n"/>
      <c r="M28" s="15" t="n"/>
      <c r="N28" s="15" t="n"/>
      <c r="O28" s="15" t="n"/>
      <c r="P28" s="17" t="n">
        <v>116.68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CIF (XCD) = CIF × 2.7169</t>
        </is>
      </c>
      <c r="K29" s="15" t="n"/>
      <c r="L29" s="15" t="n"/>
      <c r="M29" s="15" t="n"/>
      <c r="N29" s="15" t="n"/>
      <c r="O29" s="15" t="n"/>
      <c r="P29" s="17" t="n">
        <v>317.01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CET (weighted avg 13.6%)</t>
        </is>
      </c>
      <c r="K30" s="15" t="n"/>
      <c r="L30" s="15" t="n"/>
      <c r="M30" s="15" t="n"/>
      <c r="N30" s="15" t="n"/>
      <c r="O30" s="15" t="n"/>
      <c r="P30" s="17" t="n">
        <v>43.27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 xml:space="preserve">  └ 61071100: 20% CET (14% of value)</t>
        </is>
      </c>
      <c r="K31" s="15" t="n"/>
      <c r="L31" s="15" t="n"/>
      <c r="M31" s="15" t="n"/>
      <c r="N31" s="15" t="n"/>
      <c r="O31" s="15" t="n"/>
      <c r="P31" s="17" t="n">
        <v>8.630000000000001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 xml:space="preserve">  └ 63079090: 0% CET (32% of value)</t>
        </is>
      </c>
      <c r="K32" s="15" t="n"/>
      <c r="L32" s="15" t="n"/>
      <c r="M32" s="15" t="n"/>
      <c r="N32" s="15" t="n"/>
      <c r="O32" s="15" t="n"/>
      <c r="P32" s="17" t="n">
        <v>0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 xml:space="preserve">  └ 64041990: 20% CET (55% of value)</t>
        </is>
      </c>
      <c r="K33" s="15" t="n"/>
      <c r="L33" s="15" t="n"/>
      <c r="M33" s="15" t="n"/>
      <c r="N33" s="15" t="n"/>
      <c r="O33" s="15" t="n"/>
      <c r="P33" s="17" t="n">
        <v>34.64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inlineStr">
        <is>
          <t>CSC (6%)</t>
        </is>
      </c>
      <c r="K34" s="15" t="n"/>
      <c r="L34" s="15" t="n"/>
      <c r="M34" s="15" t="n"/>
      <c r="N34" s="15" t="n"/>
      <c r="O34" s="15" t="n"/>
      <c r="P34" s="17" t="n">
        <v>19.02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VAT (15%) on CIF+CET+CSC</t>
        </is>
      </c>
      <c r="K35" s="15" t="n"/>
      <c r="L35" s="15" t="n"/>
      <c r="M35" s="15" t="n"/>
      <c r="N35" s="15" t="n"/>
      <c r="O35" s="15" t="n"/>
      <c r="P35" s="17" t="n">
        <v>56.89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4" t="inlineStr">
        <is>
          <t>ESTIMATED TOTAL DUTIES</t>
        </is>
      </c>
      <c r="K36" s="18" t="n"/>
      <c r="L36" s="18" t="n"/>
      <c r="M36" s="18" t="n"/>
      <c r="N36" s="18" t="n"/>
      <c r="O36" s="18" t="n"/>
      <c r="P36" s="19" t="n">
        <v>119.18</v>
      </c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>Effective Duty Rate</t>
        </is>
      </c>
      <c r="K37" s="15" t="n"/>
      <c r="L37" s="15" t="n"/>
      <c r="M37" s="15" t="n"/>
      <c r="N37" s="15" t="n"/>
      <c r="O37" s="15" t="n"/>
      <c r="P37" s="20" t="n">
        <v>0.3759502854799533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/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inlineStr">
        <is>
          <t>Items on other declaration(s) (3 items)</t>
        </is>
      </c>
      <c r="K39" s="21" t="n"/>
      <c r="L39" s="21" t="n"/>
      <c r="M39" s="21" t="n"/>
      <c r="N39" s="21" t="n"/>
      <c r="O39" s="21" t="n"/>
      <c r="P39" s="22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</row>
    <row r="40">
      <c r="A40" s="21" t="n"/>
      <c r="B40" s="21" t="n"/>
      <c r="C40" s="21" t="n"/>
      <c r="D40" s="21" t="n"/>
      <c r="E40" s="21" t="inlineStr">
        <is>
          <t>WATER SPORTS</t>
        </is>
      </c>
      <c r="F40" s="21" t="inlineStr">
        <is>
          <t>95062900</t>
        </is>
      </c>
      <c r="G40" s="21" t="n"/>
      <c r="H40" s="21" t="n"/>
      <c r="I40" s="21" t="n"/>
      <c r="J40" s="21" t="inlineStr">
        <is>
          <t>EZIGO Baby Pool Float with Canopy UPF50+ Sun Protection, Inflatable Kids Pool... (1 items)</t>
        </is>
      </c>
      <c r="K40" s="21" t="n">
        <v>1</v>
      </c>
      <c r="L40" s="21" t="n"/>
      <c r="M40" s="21" t="n"/>
      <c r="N40" s="21" t="inlineStr">
        <is>
          <t>USD</t>
        </is>
      </c>
      <c r="O40" s="22" t="n">
        <v>26.99</v>
      </c>
      <c r="P40" s="22" t="n">
        <v>26.99</v>
      </c>
      <c r="Q40" s="22" t="n"/>
      <c r="R40" s="22" t="n"/>
      <c r="S40" s="22" t="n"/>
      <c r="T40" s="22" t="n"/>
      <c r="U40" s="22" t="n"/>
      <c r="V40" s="22" t="n"/>
      <c r="W40" s="22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inlineStr">
        <is>
          <t>AMZ-1</t>
        </is>
      </c>
      <c r="J41" s="23" t="inlineStr">
        <is>
          <t>EZIGO Baby Pool Float with Canopy UPF50+ Sun Protection, Inflatable Kids Pool...</t>
        </is>
      </c>
      <c r="K41" s="23" t="n">
        <v>1</v>
      </c>
      <c r="L41" s="23" t="n"/>
      <c r="M41" s="23" t="n"/>
      <c r="N41" s="23" t="inlineStr">
        <is>
          <t>USD</t>
        </is>
      </c>
      <c r="O41" s="24" t="n">
        <v>26.99</v>
      </c>
      <c r="P41" s="24" t="n">
        <v>26.99</v>
      </c>
      <c r="Q41" s="24" t="n"/>
      <c r="R41" s="24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>
      <c r="A42" s="21" t="n"/>
      <c r="B42" s="21" t="n"/>
      <c r="C42" s="21" t="n"/>
      <c r="D42" s="21" t="n"/>
      <c r="E42" s="21" t="inlineStr">
        <is>
          <t>Of cotton</t>
        </is>
      </c>
      <c r="F42" s="21" t="inlineStr">
        <is>
          <t>61071100</t>
        </is>
      </c>
      <c r="G42" s="21" t="n"/>
      <c r="H42" s="21" t="n"/>
      <c r="I42" s="21" t="n"/>
      <c r="J42" s="21" t="inlineStr">
        <is>
          <t>Fruit of the Loom Men's Coolzone Boxer Briefs, Moisture Wicking &amp; Breathable,... (1 items)</t>
        </is>
      </c>
      <c r="K42" s="21" t="n">
        <v>1</v>
      </c>
      <c r="L42" s="21" t="n"/>
      <c r="M42" s="21" t="n"/>
      <c r="N42" s="21" t="inlineStr">
        <is>
          <t>USD</t>
        </is>
      </c>
      <c r="O42" s="22" t="n">
        <v>17.48</v>
      </c>
      <c r="P42" s="22" t="n">
        <v>17.48</v>
      </c>
      <c r="Q42" s="22" t="n"/>
      <c r="R42" s="22" t="n"/>
      <c r="S42" s="22" t="n"/>
      <c r="T42" s="22" t="n"/>
      <c r="U42" s="22" t="n"/>
      <c r="V42" s="22" t="n"/>
      <c r="W42" s="22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inlineStr">
        <is>
          <t>AMZ-2</t>
        </is>
      </c>
      <c r="J43" s="23" t="inlineStr">
        <is>
          <t>Fruit of the Loom Men's Coolzone Boxer Briefs, Moisture Wicking &amp; Breathable,...</t>
        </is>
      </c>
      <c r="K43" s="23" t="n">
        <v>1</v>
      </c>
      <c r="L43" s="23" t="n"/>
      <c r="M43" s="23" t="n"/>
      <c r="N43" s="23" t="inlineStr">
        <is>
          <t>USD</t>
        </is>
      </c>
      <c r="O43" s="24" t="n">
        <v>17.48</v>
      </c>
      <c r="P43" s="24" t="n">
        <v>17.48</v>
      </c>
      <c r="Q43" s="24" t="n"/>
      <c r="R43" s="24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1" t="n"/>
      <c r="B44" s="21" t="n"/>
      <c r="C44" s="21" t="n"/>
      <c r="D44" s="21" t="n"/>
      <c r="E44" s="21" t="inlineStr">
        <is>
          <t>Plastics and articles thereof</t>
        </is>
      </c>
      <c r="F44" s="21" t="inlineStr">
        <is>
          <t>39241090</t>
        </is>
      </c>
      <c r="G44" s="21" t="n"/>
      <c r="H44" s="21" t="n"/>
      <c r="I44" s="21" t="n"/>
      <c r="J44" s="21" t="inlineStr">
        <is>
          <t>4Pack Drip-Free Silicone Popsicle Holders, AODISTUCE Popsicle Holder with Str... (1 items)</t>
        </is>
      </c>
      <c r="K44" s="21" t="n">
        <v>1</v>
      </c>
      <c r="L44" s="21" t="n"/>
      <c r="M44" s="21" t="n"/>
      <c r="N44" s="21" t="inlineStr">
        <is>
          <t>USD</t>
        </is>
      </c>
      <c r="O44" s="22" t="n">
        <v>11.99</v>
      </c>
      <c r="P44" s="22" t="n">
        <v>11.99</v>
      </c>
      <c r="Q44" s="22" t="n"/>
      <c r="R44" s="22" t="n"/>
      <c r="S44" s="22" t="n"/>
      <c r="T44" s="22" t="n"/>
      <c r="U44" s="22" t="n"/>
      <c r="V44" s="22" t="n"/>
      <c r="W44" s="22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inlineStr">
        <is>
          <t>AMZ-5</t>
        </is>
      </c>
      <c r="J45" s="23" t="inlineStr">
        <is>
          <t>4Pack Drip-Free Silicone Popsicle Holders, AODISTUCE Popsicle Holder with Str...</t>
        </is>
      </c>
      <c r="K45" s="23" t="n">
        <v>1</v>
      </c>
      <c r="L45" s="23" t="n"/>
      <c r="M45" s="23" t="n"/>
      <c r="N45" s="23" t="inlineStr">
        <is>
          <t>USD</t>
        </is>
      </c>
      <c r="O45" s="24" t="n">
        <v>11.99</v>
      </c>
      <c r="P45" s="24" t="n">
        <v>11.99</v>
      </c>
      <c r="Q45" s="24" t="n"/>
      <c r="R45" s="24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SUBTOTAL</t>
        </is>
      </c>
      <c r="K46" s="25" t="n"/>
      <c r="L46" s="25" t="n"/>
      <c r="M46" s="25" t="n"/>
      <c r="N46" s="25" t="n"/>
      <c r="O46" s="25" t="n"/>
      <c r="P46" s="26" t="n">
        <v>56.46</v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FREIGHT</t>
        </is>
      </c>
      <c r="K47" s="25" t="n"/>
      <c r="L47" s="25" t="n"/>
      <c r="M47" s="25" t="n"/>
      <c r="N47" s="25" t="n"/>
      <c r="O47" s="25" t="n"/>
      <c r="P47" s="26" t="n">
        <v>15</v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REFERENCE INSURANCE</t>
        </is>
      </c>
      <c r="K48" s="25" t="n"/>
      <c r="L48" s="25" t="n"/>
      <c r="M48" s="25" t="n"/>
      <c r="N48" s="25" t="n"/>
      <c r="O48" s="25" t="n"/>
      <c r="P48" s="26" t="n">
        <v>-2.88</v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REFERENCE OTHER COST</t>
        </is>
      </c>
      <c r="K49" s="25" t="n"/>
      <c r="L49" s="25" t="n"/>
      <c r="M49" s="25" t="n"/>
      <c r="N49" s="25" t="n"/>
      <c r="O49" s="25" t="n"/>
      <c r="P49" s="26" t="n">
        <v>1.11</v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REFERENCE DEDUCTION</t>
        </is>
      </c>
      <c r="K50" s="25" t="n"/>
      <c r="L50" s="25" t="n"/>
      <c r="M50" s="25" t="n"/>
      <c r="N50" s="25" t="n"/>
      <c r="O50" s="25" t="n"/>
      <c r="P50" s="26" t="n">
        <v>0</v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REFERENCE ADJUSTMENTS</t>
        </is>
      </c>
      <c r="K51" s="25" t="n"/>
      <c r="L51" s="25" t="n"/>
      <c r="M51" s="25" t="n"/>
      <c r="N51" s="25" t="n"/>
      <c r="O51" s="25" t="n"/>
      <c r="P51" s="26">
        <f>P47+P48+P49-P50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REFERENCE NET TOTAL</t>
        </is>
      </c>
      <c r="K52" s="25" t="n"/>
      <c r="L52" s="25" t="n"/>
      <c r="M52" s="25" t="n"/>
      <c r="N52" s="25" t="n"/>
      <c r="O52" s="25" t="n"/>
      <c r="P52" s="26">
        <f>P46+P51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ITEMS TOTAL</t>
        </is>
      </c>
      <c r="K54" s="25" t="n"/>
      <c r="L54" s="25" t="n"/>
      <c r="M54" s="25" t="n"/>
      <c r="N54" s="25" t="n"/>
      <c r="O54" s="25" t="n"/>
      <c r="P54" s="26">
        <f>P10+P46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FREIGHT</t>
        </is>
      </c>
      <c r="K55" s="25" t="n"/>
      <c r="L55" s="25" t="n"/>
      <c r="M55" s="25" t="n"/>
      <c r="N55" s="25" t="n"/>
      <c r="O55" s="25" t="n"/>
      <c r="P55" s="26">
        <f>P14+P47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INVOICE INSURANCE</t>
        </is>
      </c>
      <c r="K56" s="25" t="n"/>
      <c r="L56" s="25" t="n"/>
      <c r="M56" s="25" t="n"/>
      <c r="N56" s="25" t="n"/>
      <c r="O56" s="25" t="n"/>
      <c r="P56" s="26">
        <f>P15+P48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FULL INVOICE OTHER COST</t>
        </is>
      </c>
      <c r="K57" s="25" t="n"/>
      <c r="L57" s="25" t="n"/>
      <c r="M57" s="25" t="n"/>
      <c r="N57" s="25" t="n"/>
      <c r="O57" s="25" t="n"/>
      <c r="P57" s="26">
        <f>P16+P49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inlineStr">
        <is>
          <t>FULL INVOICE DEDUCTION</t>
        </is>
      </c>
      <c r="K58" s="25" t="n"/>
      <c r="L58" s="25" t="n"/>
      <c r="M58" s="25" t="n"/>
      <c r="N58" s="25" t="n"/>
      <c r="O58" s="25" t="n"/>
      <c r="P58" s="26">
        <f>P17+P50</f>
        <v/>
      </c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inlineStr">
        <is>
          <t>FULL ADJUSTMENTS</t>
        </is>
      </c>
      <c r="K59" s="25" t="n"/>
      <c r="L59" s="25" t="n"/>
      <c r="M59" s="25" t="n"/>
      <c r="N59" s="25" t="n"/>
      <c r="O59" s="25" t="n"/>
      <c r="P59" s="26">
        <f>P55+P56+P57-P58</f>
        <v/>
      </c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inlineStr">
        <is>
          <t>COMBINED NET TOTAL</t>
        </is>
      </c>
      <c r="K60" s="25" t="n"/>
      <c r="L60" s="25" t="n"/>
      <c r="M60" s="25" t="n"/>
      <c r="N60" s="25" t="n"/>
      <c r="O60" s="25" t="n"/>
      <c r="P60" s="26">
        <f>P54+P59</f>
        <v/>
      </c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inlineStr">
        <is>
          <t>FULL INVOICE TOTAL</t>
        </is>
      </c>
      <c r="K61" s="25" t="n"/>
      <c r="L61" s="25" t="n"/>
      <c r="M61" s="25" t="n"/>
      <c r="N61" s="25" t="n"/>
      <c r="O61" s="25" t="n"/>
      <c r="P61" s="26" t="n">
        <v>181.37</v>
      </c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inlineStr">
        <is>
          <t>COMBINED VARIANCE CHECK</t>
        </is>
      </c>
      <c r="K62" s="25" t="n"/>
      <c r="L62" s="25" t="n"/>
      <c r="M62" s="25" t="n"/>
      <c r="N62" s="25" t="n"/>
      <c r="O62" s="25" t="n"/>
      <c r="P62" s="26">
        <f>P61-P60</f>
        <v/>
      </c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2026-04-26T18:06:42Z</dcterms:created>
  <dcterms:modified xmlns:dcterms="http://purl.org/dc/terms/" xmlns:xsi="http://www.w3.org/2001/XMLSchema-instance" xsi:type="dcterms:W3CDTF">2026-04-26T18:06:42Z</dcterms:modified>
</cp:coreProperties>
</file>