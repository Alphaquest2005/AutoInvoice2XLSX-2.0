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INVUS20240714003386883</t>
        </is>
      </c>
      <c r="D2" s="2" t="inlineStr"/>
      <c r="E2" s="2" t="inlineStr">
        <is>
          <t>Socks and ankle-socks</t>
        </is>
      </c>
      <c r="F2" s="2" t="inlineStr">
        <is>
          <t>61159510</t>
        </is>
      </c>
      <c r="G2" s="2" t="inlineStr"/>
      <c r="H2" s="2" t="inlineStr"/>
      <c r="I2" s="2" t="inlineStr">
        <is>
          <t>61159510</t>
        </is>
      </c>
      <c r="J2" s="2" t="inlineStr">
        <is>
          <t>5 Pairs Kids Solid Color Sports Socks Sweat Absorbing Soccer High Socks For Schoo Competition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2.745</v>
      </c>
      <c r="P2" s="3" t="n">
        <v>5.49</v>
      </c>
      <c r="Q2" s="3">
        <f>O2*K2</f>
        <v/>
      </c>
      <c r="R2" s="3">
        <f>P2-Q2</f>
        <v/>
      </c>
      <c r="S2" s="3" t="n">
        <v>5.49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HAWB9580498_combined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61159510</t>
        </is>
      </c>
    </row>
    <row r="3">
      <c r="A3" s="4" t="n"/>
      <c r="B3" s="4" t="n"/>
      <c r="C3" s="4" t="n"/>
      <c r="D3" s="4" t="n"/>
      <c r="E3" s="4" t="n"/>
      <c r="F3" s="4" t="inlineStr">
        <is>
          <t>61159510</t>
        </is>
      </c>
      <c r="G3" s="4" t="n"/>
      <c r="H3" s="4" t="n"/>
      <c r="I3" s="4" t="inlineStr">
        <is>
          <t>SHEIN-1</t>
        </is>
      </c>
      <c r="J3" s="4" t="inlineStr">
        <is>
          <t>5 Pairs Kids Solid Color Sports Socks Sweat Absorbing Soccer High Socks For Schoo Competition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2.74</v>
      </c>
      <c r="P3" s="5" t="n">
        <v>2.74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61159510</t>
        </is>
      </c>
      <c r="G4" s="4" t="n"/>
      <c r="H4" s="4" t="n"/>
      <c r="I4" s="4" t="inlineStr">
        <is>
          <t>SHEIN-2</t>
        </is>
      </c>
      <c r="J4" s="4" t="inlineStr">
        <is>
          <t>5 Pairs Kids Solid Color Sports Socks Sweat Absorbing Soccer High Socks For School Competition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2.75</v>
      </c>
      <c r="P4" s="5" t="n">
        <v>2.75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3" t="inlineStr">
        <is>
          <t>INVOICE NOTES: Invoice total uncertain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/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inlineStr">
        <is>
          <t>DUTY ESTIMATION (Classification Cross-Check)</t>
        </is>
      </c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(USD) = InvTotal + Freight + Insurance</t>
        </is>
      </c>
      <c r="K23" s="15" t="n"/>
      <c r="L23" s="15" t="n"/>
      <c r="M23" s="15" t="n"/>
      <c r="N23" s="15" t="n"/>
      <c r="O23" s="15" t="n"/>
      <c r="P23" s="17" t="n">
        <v>36.49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CIF (XCD) = CIF × 2.7169</t>
        </is>
      </c>
      <c r="K24" s="15" t="n"/>
      <c r="L24" s="15" t="n"/>
      <c r="M24" s="15" t="n"/>
      <c r="N24" s="15" t="n"/>
      <c r="O24" s="15" t="n"/>
      <c r="P24" s="17" t="n">
        <v>99.14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CET (20%) — Tariff 61159510</t>
        </is>
      </c>
      <c r="K25" s="15" t="n"/>
      <c r="L25" s="15" t="n"/>
      <c r="M25" s="15" t="n"/>
      <c r="N25" s="15" t="n"/>
      <c r="O25" s="15" t="n"/>
      <c r="P25" s="17" t="n">
        <v>19.83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CSC (6%)</t>
        </is>
      </c>
      <c r="K26" s="15" t="n"/>
      <c r="L26" s="15" t="n"/>
      <c r="M26" s="15" t="n"/>
      <c r="N26" s="15" t="n"/>
      <c r="O26" s="15" t="n"/>
      <c r="P26" s="17" t="n">
        <v>5.95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VAT (15%) on CIF+CET+CSC</t>
        </is>
      </c>
      <c r="K27" s="15" t="n"/>
      <c r="L27" s="15" t="n"/>
      <c r="M27" s="15" t="n"/>
      <c r="N27" s="15" t="n"/>
      <c r="O27" s="15" t="n"/>
      <c r="P27" s="17" t="n">
        <v>18.74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4" t="inlineStr">
        <is>
          <t>ESTIMATED TOTAL DUTIES</t>
        </is>
      </c>
      <c r="K28" s="18" t="n"/>
      <c r="L28" s="18" t="n"/>
      <c r="M28" s="18" t="n"/>
      <c r="N28" s="18" t="n"/>
      <c r="O28" s="18" t="n"/>
      <c r="P28" s="19" t="n">
        <v>44.52</v>
      </c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Effective Duty Rate</t>
        </is>
      </c>
      <c r="K29" s="15" t="n"/>
      <c r="L29" s="15" t="n"/>
      <c r="M29" s="15" t="n"/>
      <c r="N29" s="15" t="n"/>
      <c r="O29" s="15" t="n"/>
      <c r="P29" s="20" t="n">
        <v>0.4490619326205366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CLIENT DECLARED DUTIES</t>
        </is>
      </c>
      <c r="K30" s="15" t="n"/>
      <c r="L30" s="15" t="n"/>
      <c r="M30" s="15" t="n"/>
      <c r="N30" s="15" t="n"/>
      <c r="O30" s="15" t="n"/>
      <c r="P30" s="17" t="n">
        <v>203.77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21" t="inlineStr">
        <is>
          <t>DUTY VARIANCE (Client − Estimated)</t>
        </is>
      </c>
      <c r="K31" s="15" t="n"/>
      <c r="L31" s="15" t="n"/>
      <c r="M31" s="15" t="n"/>
      <c r="N31" s="15" t="n"/>
      <c r="O31" s="15" t="n"/>
      <c r="P31" s="22" t="n">
        <v>159.25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inlineStr">
        <is>
          <t>IMPLIED CIF (from declared duty @ 20% CET, XCD)</t>
        </is>
      </c>
      <c r="K32" s="15" t="n"/>
      <c r="L32" s="15" t="n"/>
      <c r="M32" s="15" t="n"/>
      <c r="N32" s="15" t="n"/>
      <c r="O32" s="15" t="n"/>
      <c r="P32" s="17" t="n">
        <v>453.83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>IMPLIED ITEMS VALUE (USD, net of freight/insurance)</t>
        </is>
      </c>
      <c r="K33" s="15" t="n"/>
      <c r="L33" s="15" t="n"/>
      <c r="M33" s="15" t="n"/>
      <c r="N33" s="15" t="n"/>
      <c r="O33" s="15" t="n"/>
      <c r="P33" s="17" t="n">
        <v>136.04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21" t="inlineStr">
        <is>
          <t>⚠ ITEM ALLOCATION CHECK: actual $5.49 USD vs implied $136.04 USD — UNDER-ALLOCATED (items from another waybill may belong here)</t>
        </is>
      </c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2026-04-26T18:08:48Z</dcterms:created>
  <dcterms:modified xmlns:dcterms="http://purl.org/dc/terms/" xmlns:xsi="http://www.w3.org/2001/XMLSchema-instance" xsi:type="dcterms:W3CDTF">2026-04-26T18:08:48Z</dcterms:modified>
</cp:coreProperties>
</file>