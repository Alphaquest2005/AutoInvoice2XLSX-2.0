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Invoices" sheetId="1" state="visible" r:id="rId1"/>
    <sheet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4">
    <font>
      <name val="Calibri"/>
      <family val="2"/>
      <color theme="1"/>
      <sz val="11"/>
      <scheme val="minor"/>
    </font>
    <font>
      <b val="1"/>
      <color rgb="00FFFFFF"/>
      <sz val="10"/>
    </font>
    <font>
      <b val="1"/>
      <sz val="11"/>
    </font>
    <font>
      <sz val="10"/>
    </font>
    <font>
      <b val="1"/>
      <color rgb="000000FF"/>
      <sz val="11"/>
    </font>
    <font>
      <b val="1"/>
      <color rgb="00FF0000"/>
      <sz val="11"/>
    </font>
    <font>
      <b val="1"/>
      <color rgb="009C5700"/>
      <sz val="11"/>
    </font>
    <font>
      <b val="1"/>
      <color rgb="001F4E79"/>
      <sz val="10"/>
    </font>
    <font>
      <color rgb="001F4E79"/>
      <sz val="10"/>
    </font>
    <font>
      <b val="1"/>
      <color rgb="00FFFFFF"/>
      <sz val="12"/>
    </font>
    <font>
      <b val="1"/>
    </font>
    <font>
      <b val="1"/>
      <color rgb="00FF0000"/>
    </font>
    <font>
      <i val="1"/>
      <color rgb="00666666"/>
    </font>
    <font>
      <b val="1"/>
      <color rgb="00FFFFFF"/>
      <sz val="11"/>
    </font>
  </fonts>
  <fills count="9">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F2CC"/>
        <bgColor rgb="00FFF2CC"/>
      </patternFill>
    </fill>
    <fill>
      <patternFill patternType="solid">
        <fgColor rgb="00FFEBCC"/>
        <bgColor rgb="00FFEBCC"/>
      </patternFill>
    </fill>
    <fill>
      <patternFill patternType="solid">
        <fgColor rgb="00D6E4F0"/>
        <bgColor rgb="00D6E4F0"/>
      </patternFill>
    </fill>
    <fill>
      <patternFill patternType="solid">
        <fgColor rgb="00E0E0E0"/>
        <bgColor rgb="00E0E0E0"/>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wrapText="1"/>
    </xf>
    <xf numFmtId="0" fontId="2" fillId="3" borderId="1" pivotButton="0" quotePrefix="0" xfId="0"/>
    <xf numFmtId="4" fontId="2" fillId="3" borderId="1" pivotButton="0" quotePrefix="0" xfId="0"/>
    <xf numFmtId="0" fontId="3" fillId="0" borderId="1" pivotButton="0" quotePrefix="0" xfId="0"/>
    <xf numFmtId="4" fontId="3" fillId="4" borderId="1" pivotButton="0" quotePrefix="0" xfId="0"/>
    <xf numFmtId="4" fontId="3" fillId="0" borderId="1" pivotButton="0" quotePrefix="0" xfId="0"/>
    <xf numFmtId="0" fontId="2" fillId="0" borderId="1" pivotButton="0" quotePrefix="0" xfId="0"/>
    <xf numFmtId="4" fontId="2" fillId="0" borderId="1" pivotButton="0" quotePrefix="0" xfId="0"/>
    <xf numFmtId="0" fontId="4" fillId="0" borderId="1" pivotButton="0" quotePrefix="0" xfId="0"/>
    <xf numFmtId="4" fontId="4" fillId="0" borderId="1" pivotButton="0" quotePrefix="0" xfId="0"/>
    <xf numFmtId="0" fontId="5" fillId="0" borderId="1" pivotButton="0" quotePrefix="0" xfId="0"/>
    <xf numFmtId="4" fontId="5" fillId="0" borderId="1" pivotButton="0" quotePrefix="0" xfId="0"/>
    <xf numFmtId="0" fontId="0" fillId="5" borderId="1" pivotButton="0" quotePrefix="0" xfId="0"/>
    <xf numFmtId="0" fontId="6" fillId="5" borderId="1" pivotButton="0" quotePrefix="0" xfId="0"/>
    <xf numFmtId="0" fontId="7" fillId="6" borderId="1" pivotButton="0" quotePrefix="0" xfId="0"/>
    <xf numFmtId="0" fontId="0" fillId="0" borderId="1" pivotButton="0" quotePrefix="0" xfId="0"/>
    <xf numFmtId="0" fontId="8" fillId="0" borderId="1" pivotButton="0" quotePrefix="0" xfId="0"/>
    <xf numFmtId="164" fontId="7" fillId="0" borderId="1" pivotButton="0" quotePrefix="0" xfId="0"/>
    <xf numFmtId="0" fontId="0" fillId="6" borderId="1" pivotButton="0" quotePrefix="0" xfId="0"/>
    <xf numFmtId="164" fontId="7" fillId="6" borderId="1" pivotButton="0" quotePrefix="0" xfId="0"/>
    <xf numFmtId="165" fontId="7" fillId="0" borderId="1" pivotButton="0" quotePrefix="0" xfId="0"/>
    <xf numFmtId="0" fontId="0" fillId="7" borderId="0" pivotButton="0" quotePrefix="0" xfId="0"/>
    <xf numFmtId="0" fontId="0" fillId="2" borderId="0" pivotButton="0" quotePrefix="0" xfId="0"/>
    <xf numFmtId="0" fontId="9" fillId="2" borderId="0" pivotButton="0" quotePrefix="0" xfId="0"/>
    <xf numFmtId="0" fontId="10" fillId="0" borderId="0" pivotButton="0" quotePrefix="0" xfId="0"/>
    <xf numFmtId="166" fontId="0" fillId="0" borderId="0" pivotButton="0" quotePrefix="0" xfId="0"/>
    <xf numFmtId="166" fontId="11" fillId="0" borderId="0" pivotButton="0" quotePrefix="0" xfId="0"/>
    <xf numFmtId="0" fontId="2" fillId="0" borderId="0" pivotButton="0" quotePrefix="0" xfId="0"/>
    <xf numFmtId="166" fontId="2" fillId="0" borderId="0" pivotButton="0" quotePrefix="0" xfId="0"/>
    <xf numFmtId="0" fontId="11" fillId="0" borderId="0" pivotButton="0" quotePrefix="0" xfId="0"/>
    <xf numFmtId="0" fontId="12" fillId="0" borderId="0" pivotButton="0" quotePrefix="0" xfId="0"/>
    <xf numFmtId="0" fontId="13" fillId="2" borderId="0" pivotButton="0" quotePrefix="0" xfId="0"/>
    <xf numFmtId="0" fontId="0" fillId="8" borderId="0" pivotButton="0" quotePrefix="0" xfId="0"/>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5"/>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PO-211-06504032894070385</t>
        </is>
      </c>
      <c r="D2" s="2" t="inlineStr">
        <is>
          <t>2024-07-22</t>
        </is>
      </c>
      <c r="E2" s="2" t="inlineStr">
        <is>
          <t>Other Not knitted or crocheted, of cotton</t>
        </is>
      </c>
      <c r="F2" s="2" t="inlineStr">
        <is>
          <t>63049290</t>
        </is>
      </c>
      <c r="G2" s="2" t="n"/>
      <c r="H2" s="2" t="n"/>
      <c r="I2" s="2" t="inlineStr">
        <is>
          <t>63049290</t>
        </is>
      </c>
      <c r="J2" s="2" t="inlineStr">
        <is>
          <t>Sunflower Throw Pillow Covers Set of 4, Summer Outdoor Yellow Sunflowers Flor... (1 items)</t>
        </is>
      </c>
      <c r="K2" s="2" t="n">
        <v>1</v>
      </c>
      <c r="L2" s="2" t="n"/>
      <c r="M2" s="2" t="n"/>
      <c r="N2" s="2" t="inlineStr">
        <is>
          <t>USD</t>
        </is>
      </c>
      <c r="O2" s="3" t="n">
        <v>14.98</v>
      </c>
      <c r="P2" s="3" t="n">
        <v>14.98</v>
      </c>
      <c r="Q2" s="3">
        <f>O2*K2</f>
        <v/>
      </c>
      <c r="R2" s="3">
        <f>P2-Q2</f>
        <v/>
      </c>
      <c r="S2" s="3" t="n">
        <v>19.02</v>
      </c>
      <c r="T2" s="3" t="n">
        <v>2.99</v>
      </c>
      <c r="U2" s="3" t="n">
        <v>0</v>
      </c>
      <c r="V2" s="3" t="n">
        <v>1.05</v>
      </c>
      <c r="W2" s="3" t="n">
        <v>0</v>
      </c>
      <c r="X2" s="2" t="n">
        <v>1</v>
      </c>
      <c r="Y2" s="2" t="n"/>
      <c r="Z2" s="2" t="inlineStr">
        <is>
          <t>TEMU</t>
        </is>
      </c>
      <c r="AA2" s="2" t="inlineStr">
        <is>
          <t>TEMU</t>
        </is>
      </c>
      <c r="AB2" s="2" t="inlineStr">
        <is>
          <t>31 St. James Avenue, Suite 355, Boston, MA 02116</t>
        </is>
      </c>
      <c r="AC2" s="2" t="inlineStr">
        <is>
          <t>CN</t>
        </is>
      </c>
      <c r="AD2" s="2" t="n"/>
      <c r="AE2" s="2" t="n"/>
      <c r="AF2" s="2" t="n"/>
      <c r="AG2" s="2" t="n"/>
      <c r="AH2" s="2" t="n"/>
      <c r="AI2" s="2" t="n"/>
      <c r="AJ2" s="2" t="n"/>
      <c r="AK2" s="2" t="inlineStr">
        <is>
          <t>63049290</t>
        </is>
      </c>
    </row>
    <row r="3">
      <c r="A3" s="4" t="n"/>
      <c r="B3" s="4" t="n"/>
      <c r="C3" s="4" t="n"/>
      <c r="D3" s="4" t="n"/>
      <c r="E3" s="4" t="n"/>
      <c r="F3" s="4" t="inlineStr">
        <is>
          <t>63049290</t>
        </is>
      </c>
      <c r="G3" s="4" t="n"/>
      <c r="H3" s="4" t="n"/>
      <c r="I3" s="4" t="inlineStr">
        <is>
          <t>TEMU-1</t>
        </is>
      </c>
      <c r="J3" s="4" t="inlineStr">
        <is>
          <t>Sunflower Throw Pillow Covers Set of 4, Summer Outdoor Yellow Sunflowers Flor...</t>
        </is>
      </c>
      <c r="K3" s="4" t="n">
        <v>1</v>
      </c>
      <c r="L3" s="4" t="n"/>
      <c r="M3" s="4" t="n"/>
      <c r="N3" s="4" t="inlineStr">
        <is>
          <t>USD</t>
        </is>
      </c>
      <c r="O3" s="5" t="n">
        <v>14.98</v>
      </c>
      <c r="P3" s="5" t="n">
        <v>14.98</v>
      </c>
      <c r="Q3" s="6">
        <f>O3*K3</f>
        <v/>
      </c>
      <c r="R3" s="6">
        <f>P3-Q3</f>
        <v/>
      </c>
      <c r="S3" s="4" t="n"/>
      <c r="T3" s="4" t="n"/>
      <c r="U3" s="4" t="n"/>
      <c r="V3" s="4" t="n"/>
      <c r="W3" s="4" t="n"/>
      <c r="X3" s="4" t="n"/>
      <c r="Y3" s="4" t="n"/>
      <c r="Z3" s="4" t="n"/>
      <c r="AA3" s="4" t="n"/>
      <c r="AB3" s="4" t="n"/>
      <c r="AC3" s="4" t="n"/>
      <c r="AD3" s="4" t="n"/>
      <c r="AE3" s="4" t="n"/>
      <c r="AF3" s="4" t="n"/>
      <c r="AG3" s="4" t="n"/>
      <c r="AH3" s="4" t="n"/>
      <c r="AI3" s="4" t="n"/>
      <c r="AJ3" s="4" t="n"/>
      <c r="AK3" s="4" t="n"/>
    </row>
    <row r="4">
      <c r="A4" s="7" t="n"/>
      <c r="B4" s="7" t="n"/>
      <c r="C4" s="7" t="n"/>
      <c r="D4" s="7" t="n"/>
      <c r="E4" s="7" t="n"/>
      <c r="F4" s="7" t="n"/>
      <c r="G4" s="7" t="n"/>
      <c r="H4" s="7" t="n"/>
      <c r="I4" s="7" t="n"/>
      <c r="J4" s="7" t="inlineStr">
        <is>
          <t>SUBTOTAL (GROUPED)</t>
        </is>
      </c>
      <c r="K4" s="7" t="n"/>
      <c r="L4" s="7" t="n"/>
      <c r="M4" s="7" t="n"/>
      <c r="N4" s="7" t="n"/>
      <c r="O4" s="7" t="n"/>
      <c r="P4" s="8">
        <f>P2</f>
        <v/>
      </c>
      <c r="Q4" s="8">
        <f>Q2</f>
        <v/>
      </c>
      <c r="R4" s="7" t="n"/>
      <c r="S4" s="7" t="n"/>
      <c r="T4" s="7" t="n"/>
      <c r="U4" s="7" t="n"/>
      <c r="V4" s="7" t="n"/>
      <c r="W4" s="7" t="n"/>
      <c r="X4" s="7" t="n"/>
      <c r="Y4" s="7" t="n"/>
      <c r="Z4" s="7" t="n"/>
      <c r="AA4" s="7" t="n"/>
      <c r="AB4" s="7" t="n"/>
      <c r="AC4" s="7" t="n"/>
      <c r="AD4" s="7" t="n"/>
      <c r="AE4" s="7" t="n"/>
      <c r="AF4" s="7" t="n"/>
      <c r="AG4" s="7" t="n"/>
      <c r="AH4" s="7" t="n"/>
      <c r="AI4" s="7" t="n"/>
      <c r="AJ4" s="7" t="n"/>
      <c r="AK4" s="7" t="n"/>
    </row>
    <row r="5">
      <c r="A5" s="7" t="n"/>
      <c r="B5" s="7" t="n"/>
      <c r="C5" s="7" t="n"/>
      <c r="D5" s="7" t="n"/>
      <c r="E5" s="7" t="n"/>
      <c r="F5" s="7" t="n"/>
      <c r="G5" s="7" t="n"/>
      <c r="H5" s="7" t="n"/>
      <c r="I5" s="7" t="n"/>
      <c r="J5" s="7" t="inlineStr">
        <is>
          <t>SUBTOTAL (DETAILS)</t>
        </is>
      </c>
      <c r="K5" s="7" t="n"/>
      <c r="L5" s="7" t="n"/>
      <c r="M5" s="7" t="n"/>
      <c r="N5" s="7" t="n"/>
      <c r="O5" s="7" t="n"/>
      <c r="P5" s="8">
        <f>SUM(P2:P3)-P4</f>
        <v/>
      </c>
      <c r="Q5" s="8">
        <f>SUM(Q2:Q3)-Q4</f>
        <v/>
      </c>
      <c r="R5" s="7" t="n"/>
      <c r="S5" s="7" t="n"/>
      <c r="T5" s="7" t="n"/>
      <c r="U5" s="7" t="n"/>
      <c r="V5" s="7" t="n"/>
      <c r="W5" s="7" t="n"/>
      <c r="X5" s="7" t="n"/>
      <c r="Y5" s="7" t="n"/>
      <c r="Z5" s="7" t="n"/>
      <c r="AA5" s="7" t="n"/>
      <c r="AB5" s="7" t="n"/>
      <c r="AC5" s="7" t="n"/>
      <c r="AD5" s="7" t="n"/>
      <c r="AE5" s="7" t="n"/>
      <c r="AF5" s="7" t="n"/>
      <c r="AG5" s="7" t="n"/>
      <c r="AH5" s="7" t="n"/>
      <c r="AI5" s="7" t="n"/>
      <c r="AJ5" s="7" t="n"/>
      <c r="AK5" s="7" t="n"/>
    </row>
    <row r="6">
      <c r="A6" s="9" t="n"/>
      <c r="B6" s="9" t="n"/>
      <c r="C6" s="9" t="n"/>
      <c r="D6" s="9" t="n"/>
      <c r="E6" s="9" t="n"/>
      <c r="F6" s="9" t="n"/>
      <c r="G6" s="9" t="n"/>
      <c r="H6" s="9" t="n"/>
      <c r="I6" s="9" t="n"/>
      <c r="J6" s="9" t="inlineStr">
        <is>
          <t>GROUP VERIFICATION</t>
        </is>
      </c>
      <c r="K6" s="9" t="n"/>
      <c r="L6" s="9" t="n"/>
      <c r="M6" s="9" t="n"/>
      <c r="N6" s="9" t="n"/>
      <c r="O6" s="9" t="n"/>
      <c r="P6" s="10">
        <f>P4-P5</f>
        <v/>
      </c>
      <c r="Q6" s="10">
        <f>Q4-Q5</f>
        <v/>
      </c>
      <c r="R6" s="9" t="n"/>
      <c r="S6" s="9" t="n"/>
      <c r="T6" s="9" t="n"/>
      <c r="U6" s="9" t="n"/>
      <c r="V6" s="9" t="n"/>
      <c r="W6" s="9" t="n"/>
      <c r="X6" s="9" t="n"/>
      <c r="Y6" s="9" t="n"/>
      <c r="Z6" s="9" t="n"/>
      <c r="AA6" s="9" t="n"/>
      <c r="AB6" s="9" t="n"/>
      <c r="AC6" s="9" t="n"/>
      <c r="AD6" s="9" t="n"/>
      <c r="AE6" s="9" t="n"/>
      <c r="AF6" s="9" t="n"/>
      <c r="AG6" s="9" t="n"/>
      <c r="AH6" s="9" t="n"/>
      <c r="AI6" s="9" t="n"/>
      <c r="AJ6" s="9" t="n"/>
      <c r="AK6" s="9" t="n"/>
    </row>
    <row r="7"/>
    <row r="8">
      <c r="A8" s="7" t="n"/>
      <c r="B8" s="7" t="n"/>
      <c r="C8" s="7" t="n"/>
      <c r="D8" s="7" t="n"/>
      <c r="E8" s="7" t="n"/>
      <c r="F8" s="7" t="n"/>
      <c r="G8" s="7" t="n"/>
      <c r="H8" s="7" t="n"/>
      <c r="I8" s="7" t="n"/>
      <c r="J8" s="7" t="inlineStr">
        <is>
          <t>TOTAL INTERNAL FREIGHT</t>
        </is>
      </c>
      <c r="K8" s="7" t="n"/>
      <c r="L8" s="7" t="n"/>
      <c r="M8" s="7" t="n"/>
      <c r="N8" s="7" t="n"/>
      <c r="O8" s="7" t="n"/>
      <c r="P8" s="8" t="n">
        <v>2.99</v>
      </c>
      <c r="Q8" s="8" t="n"/>
      <c r="R8" s="7" t="n"/>
      <c r="S8" s="7" t="n"/>
      <c r="T8" s="7" t="n"/>
      <c r="U8" s="7" t="n"/>
      <c r="V8" s="7" t="n"/>
      <c r="W8" s="7" t="n"/>
      <c r="X8" s="7" t="n"/>
      <c r="Y8" s="7" t="n"/>
      <c r="Z8" s="7" t="n"/>
      <c r="AA8" s="7" t="n"/>
      <c r="AB8" s="7" t="n"/>
      <c r="AC8" s="7" t="n"/>
      <c r="AD8" s="7" t="n"/>
      <c r="AE8" s="7" t="n"/>
      <c r="AF8" s="7" t="n"/>
      <c r="AG8" s="7" t="n"/>
      <c r="AH8" s="7" t="n"/>
      <c r="AI8" s="7" t="n"/>
      <c r="AJ8" s="7" t="n"/>
      <c r="AK8" s="7" t="n"/>
    </row>
    <row r="9">
      <c r="A9" s="7" t="n"/>
      <c r="B9" s="7" t="n"/>
      <c r="C9" s="7" t="n"/>
      <c r="D9" s="7" t="n"/>
      <c r="E9" s="7" t="n"/>
      <c r="F9" s="7" t="n"/>
      <c r="G9" s="7" t="n"/>
      <c r="H9" s="7" t="n"/>
      <c r="I9" s="7" t="n"/>
      <c r="J9" s="7" t="inlineStr">
        <is>
          <t>TOTAL INSURANCE</t>
        </is>
      </c>
      <c r="K9" s="7" t="n"/>
      <c r="L9" s="7" t="n"/>
      <c r="M9" s="7" t="n"/>
      <c r="N9" s="7" t="n"/>
      <c r="O9" s="7" t="n"/>
      <c r="P9" s="8" t="n">
        <v>0</v>
      </c>
      <c r="Q9" s="8" t="n"/>
      <c r="R9" s="7" t="n"/>
      <c r="S9" s="7" t="n"/>
      <c r="T9" s="7" t="n"/>
      <c r="U9" s="7" t="n"/>
      <c r="V9" s="7" t="n"/>
      <c r="W9" s="7" t="n"/>
      <c r="X9" s="7" t="n"/>
      <c r="Y9" s="7" t="n"/>
      <c r="Z9" s="7" t="n"/>
      <c r="AA9" s="7" t="n"/>
      <c r="AB9" s="7" t="n"/>
      <c r="AC9" s="7" t="n"/>
      <c r="AD9" s="7" t="n"/>
      <c r="AE9" s="7" t="n"/>
      <c r="AF9" s="7" t="n"/>
      <c r="AG9" s="7" t="n"/>
      <c r="AH9" s="7" t="n"/>
      <c r="AI9" s="7" t="n"/>
      <c r="AJ9" s="7" t="n"/>
      <c r="AK9" s="7" t="n"/>
    </row>
    <row r="10">
      <c r="A10" s="7" t="n"/>
      <c r="B10" s="7" t="n"/>
      <c r="C10" s="7" t="n"/>
      <c r="D10" s="7" t="n"/>
      <c r="E10" s="7" t="n"/>
      <c r="F10" s="7" t="n"/>
      <c r="G10" s="7" t="n"/>
      <c r="H10" s="7" t="n"/>
      <c r="I10" s="7" t="n"/>
      <c r="J10" s="7" t="inlineStr">
        <is>
          <t>TOTAL OTHER COST</t>
        </is>
      </c>
      <c r="K10" s="7" t="n"/>
      <c r="L10" s="7" t="n"/>
      <c r="M10" s="7" t="n"/>
      <c r="N10" s="7" t="n"/>
      <c r="O10" s="7" t="n"/>
      <c r="P10" s="8" t="n">
        <v>1.05</v>
      </c>
      <c r="Q10" s="8" t="n"/>
      <c r="R10" s="7" t="n"/>
      <c r="S10" s="7" t="n"/>
      <c r="T10" s="7" t="n"/>
      <c r="U10" s="7" t="n"/>
      <c r="V10" s="7" t="n"/>
      <c r="W10" s="7" t="n"/>
      <c r="X10" s="7" t="n"/>
      <c r="Y10" s="7" t="n"/>
      <c r="Z10" s="7" t="n"/>
      <c r="AA10" s="7" t="n"/>
      <c r="AB10" s="7" t="n"/>
      <c r="AC10" s="7" t="n"/>
      <c r="AD10" s="7" t="n"/>
      <c r="AE10" s="7" t="n"/>
      <c r="AF10" s="7" t="n"/>
      <c r="AG10" s="7" t="n"/>
      <c r="AH10" s="7" t="n"/>
      <c r="AI10" s="7" t="n"/>
      <c r="AJ10" s="7" t="n"/>
      <c r="AK10" s="7" t="n"/>
    </row>
    <row r="11">
      <c r="A11" s="7" t="n"/>
      <c r="B11" s="7" t="n"/>
      <c r="C11" s="7" t="n"/>
      <c r="D11" s="7" t="n"/>
      <c r="E11" s="7" t="n"/>
      <c r="F11" s="7" t="n"/>
      <c r="G11" s="7" t="n"/>
      <c r="H11" s="7" t="n"/>
      <c r="I11" s="7" t="n"/>
      <c r="J11" s="7" t="inlineStr">
        <is>
          <t>TOTAL DEDUCTION</t>
        </is>
      </c>
      <c r="K11" s="7" t="n"/>
      <c r="L11" s="7" t="n"/>
      <c r="M11" s="7" t="n"/>
      <c r="N11" s="7" t="n"/>
      <c r="O11" s="7" t="n"/>
      <c r="P11" s="8" t="n">
        <v>0</v>
      </c>
      <c r="Q11" s="8" t="n"/>
      <c r="R11" s="7" t="n"/>
      <c r="S11" s="7" t="n"/>
      <c r="T11" s="7" t="n"/>
      <c r="U11" s="7" t="n"/>
      <c r="V11" s="7" t="n"/>
      <c r="W11" s="7" t="n"/>
      <c r="X11" s="7" t="n"/>
      <c r="Y11" s="7" t="n"/>
      <c r="Z11" s="7" t="n"/>
      <c r="AA11" s="7" t="n"/>
      <c r="AB11" s="7" t="n"/>
      <c r="AC11" s="7" t="n"/>
      <c r="AD11" s="7" t="n"/>
      <c r="AE11" s="7" t="n"/>
      <c r="AF11" s="7" t="n"/>
      <c r="AG11" s="7" t="n"/>
      <c r="AH11" s="7" t="n"/>
      <c r="AI11" s="7" t="n"/>
      <c r="AJ11" s="7" t="n"/>
      <c r="AK11" s="7" t="n"/>
    </row>
    <row r="12">
      <c r="A12" s="7" t="n"/>
      <c r="B12" s="7" t="n"/>
      <c r="C12" s="7" t="n"/>
      <c r="D12" s="7" t="n"/>
      <c r="E12" s="7" t="n"/>
      <c r="F12" s="7" t="n"/>
      <c r="G12" s="7" t="n"/>
      <c r="H12" s="7" t="n"/>
      <c r="I12" s="7" t="n"/>
      <c r="J12" s="7" t="inlineStr">
        <is>
          <t>ADJUSTMENTS</t>
        </is>
      </c>
      <c r="K12" s="7" t="n"/>
      <c r="L12" s="7" t="n"/>
      <c r="M12" s="7" t="n"/>
      <c r="N12" s="7" t="n"/>
      <c r="O12" s="7" t="n"/>
      <c r="P12" s="8">
        <f>(T2+U2+V2-W2)</f>
        <v/>
      </c>
      <c r="Q12" s="8">
        <f>(T2+U2+V2-W2)</f>
        <v/>
      </c>
      <c r="R12" s="7" t="n"/>
      <c r="S12" s="7" t="n"/>
      <c r="T12" s="7" t="n"/>
      <c r="U12" s="7" t="n"/>
      <c r="V12" s="7" t="n"/>
      <c r="W12" s="7" t="n"/>
      <c r="X12" s="7" t="n"/>
      <c r="Y12" s="7" t="n"/>
      <c r="Z12" s="7" t="n"/>
      <c r="AA12" s="7" t="n"/>
      <c r="AB12" s="7" t="n"/>
      <c r="AC12" s="7" t="n"/>
      <c r="AD12" s="7" t="n"/>
      <c r="AE12" s="7" t="n"/>
      <c r="AF12" s="7" t="n"/>
      <c r="AG12" s="7" t="n"/>
      <c r="AH12" s="7" t="n"/>
      <c r="AI12" s="7" t="n"/>
      <c r="AJ12" s="7" t="n"/>
      <c r="AK12" s="7" t="n"/>
    </row>
    <row r="13"/>
    <row r="14">
      <c r="A14" s="7" t="n"/>
      <c r="B14" s="7" t="n"/>
      <c r="C14" s="7" t="n"/>
      <c r="D14" s="7" t="n"/>
      <c r="E14" s="7" t="n"/>
      <c r="F14" s="7" t="n"/>
      <c r="G14" s="7" t="n"/>
      <c r="H14" s="7" t="n"/>
      <c r="I14" s="7" t="n"/>
      <c r="J14" s="7" t="inlineStr">
        <is>
          <t>NET TOTAL</t>
        </is>
      </c>
      <c r="K14" s="7" t="n"/>
      <c r="L14" s="7" t="n"/>
      <c r="M14" s="7" t="n"/>
      <c r="N14" s="7" t="n"/>
      <c r="O14" s="7" t="n"/>
      <c r="P14" s="8">
        <f>P4+P12</f>
        <v/>
      </c>
      <c r="Q14" s="8">
        <f>Q4+Q12</f>
        <v/>
      </c>
      <c r="R14" s="7" t="n"/>
      <c r="S14" s="7" t="n"/>
      <c r="T14" s="7" t="n"/>
      <c r="U14" s="7" t="n"/>
      <c r="V14" s="7" t="n"/>
      <c r="W14" s="7" t="n"/>
      <c r="X14" s="7" t="n"/>
      <c r="Y14" s="7" t="n"/>
      <c r="Z14" s="7" t="n"/>
      <c r="AA14" s="7" t="n"/>
      <c r="AB14" s="7" t="n"/>
      <c r="AC14" s="7" t="n"/>
      <c r="AD14" s="7" t="n"/>
      <c r="AE14" s="7" t="n"/>
      <c r="AF14" s="7" t="n"/>
      <c r="AG14" s="7" t="n"/>
      <c r="AH14" s="7" t="n"/>
      <c r="AI14" s="7" t="n"/>
      <c r="AJ14" s="7" t="n"/>
      <c r="AK14" s="7" t="n"/>
    </row>
    <row r="15">
      <c r="A15" s="7" t="n"/>
      <c r="B15" s="7" t="n"/>
      <c r="C15" s="7" t="n"/>
      <c r="D15" s="7" t="n"/>
      <c r="E15" s="7" t="n"/>
      <c r="F15" s="7" t="n"/>
      <c r="G15" s="7" t="n"/>
      <c r="H15" s="7" t="n"/>
      <c r="I15" s="7" t="n"/>
      <c r="J15" s="7" t="inlineStr">
        <is>
          <t>INVOICE TOTAL</t>
        </is>
      </c>
      <c r="K15" s="7" t="n"/>
      <c r="L15" s="7" t="n"/>
      <c r="M15" s="7" t="n"/>
      <c r="N15" s="7" t="n"/>
      <c r="O15" s="7" t="n"/>
      <c r="P15" s="8">
        <f>S2</f>
        <v/>
      </c>
      <c r="Q15" s="8" t="n"/>
      <c r="R15" s="7" t="n"/>
      <c r="S15" s="7" t="n"/>
      <c r="T15" s="7" t="n"/>
      <c r="U15" s="7" t="n"/>
      <c r="V15" s="7" t="n"/>
      <c r="W15" s="7" t="n"/>
      <c r="X15" s="7" t="n"/>
      <c r="Y15" s="7" t="n"/>
      <c r="Z15" s="7" t="n"/>
      <c r="AA15" s="7" t="n"/>
      <c r="AB15" s="7" t="n"/>
      <c r="AC15" s="7" t="n"/>
      <c r="AD15" s="7" t="n"/>
      <c r="AE15" s="7" t="n"/>
      <c r="AF15" s="7" t="n"/>
      <c r="AG15" s="7" t="n"/>
      <c r="AH15" s="7" t="n"/>
      <c r="AI15" s="7" t="n"/>
      <c r="AJ15" s="7" t="n"/>
      <c r="AK15" s="7" t="n"/>
    </row>
    <row r="16"/>
    <row r="17">
      <c r="A17" s="11" t="n"/>
      <c r="B17" s="11" t="n"/>
      <c r="C17" s="11" t="n"/>
      <c r="D17" s="11" t="n"/>
      <c r="E17" s="11" t="n"/>
      <c r="F17" s="11" t="n"/>
      <c r="G17" s="11" t="n"/>
      <c r="H17" s="11" t="n"/>
      <c r="I17" s="11" t="n"/>
      <c r="J17" s="11" t="inlineStr">
        <is>
          <t>VARIANCE CHECK</t>
        </is>
      </c>
      <c r="K17" s="11" t="n"/>
      <c r="L17" s="11" t="n"/>
      <c r="M17" s="11" t="n"/>
      <c r="N17" s="11" t="n"/>
      <c r="O17" s="11" t="n"/>
      <c r="P17" s="12">
        <f>S2-P14</f>
        <v/>
      </c>
      <c r="Q17" s="12">
        <f>S2-Q14</f>
        <v/>
      </c>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row>
    <row r="18"/>
    <row r="19">
      <c r="A19" s="13" t="n"/>
      <c r="B19" s="13" t="n"/>
      <c r="C19" s="13" t="n"/>
      <c r="D19" s="13" t="n"/>
      <c r="E19" s="13" t="n"/>
      <c r="F19" s="13" t="n"/>
      <c r="G19" s="13" t="n"/>
      <c r="H19" s="13" t="n"/>
      <c r="I19" s="13" t="n"/>
      <c r="J19" s="14" t="inlineStr">
        <is>
          <t>INVOICE NOTES: Orphan price $14.98 recovered from OCR text (description: Sunflower Throw Pillow Covers Set of 4, Summer Outdoor Yello...)</t>
        </is>
      </c>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row>
    <row r="20"/>
    <row r="21">
      <c r="A21" s="15" t="n"/>
      <c r="B21" s="15" t="n"/>
      <c r="C21" s="15" t="n"/>
      <c r="D21" s="15" t="n"/>
      <c r="E21" s="15" t="n"/>
      <c r="F21" s="15" t="n"/>
      <c r="G21" s="15" t="n"/>
      <c r="H21" s="15" t="n"/>
      <c r="I21" s="15" t="n"/>
      <c r="J21" s="15" t="inlineStr">
        <is>
          <t>DUTY ESTIMATION (Classification Cross-Check)</t>
        </is>
      </c>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row>
    <row r="22">
      <c r="A22" s="16" t="n"/>
      <c r="B22" s="16" t="n"/>
      <c r="C22" s="16" t="n"/>
      <c r="D22" s="16" t="n"/>
      <c r="E22" s="16" t="n"/>
      <c r="F22" s="16" t="n"/>
      <c r="G22" s="16" t="n"/>
      <c r="H22" s="16" t="n"/>
      <c r="I22" s="16" t="n"/>
      <c r="J22" s="17" t="inlineStr">
        <is>
          <t>CIF (USD) = InvTotal + Freight + Insurance</t>
        </is>
      </c>
      <c r="K22" s="16" t="n"/>
      <c r="L22" s="16" t="n"/>
      <c r="M22" s="16" t="n"/>
      <c r="N22" s="16" t="n"/>
      <c r="O22" s="16" t="n"/>
      <c r="P22" s="18" t="n">
        <v>19.02</v>
      </c>
      <c r="Q22" s="16" t="n"/>
      <c r="R22" s="16" t="n"/>
      <c r="S22" s="16" t="n"/>
      <c r="T22" s="16" t="n"/>
      <c r="U22" s="16" t="n"/>
      <c r="V22" s="16" t="n"/>
      <c r="W22" s="16" t="n"/>
      <c r="X22" s="16" t="n"/>
      <c r="Y22" s="16" t="n"/>
      <c r="Z22" s="16" t="n"/>
      <c r="AA22" s="16" t="n"/>
      <c r="AB22" s="16" t="n"/>
      <c r="AC22" s="16" t="n"/>
      <c r="AD22" s="16" t="n"/>
      <c r="AE22" s="16" t="n"/>
      <c r="AF22" s="16" t="n"/>
      <c r="AG22" s="16" t="n"/>
      <c r="AH22" s="16" t="n"/>
      <c r="AI22" s="16" t="n"/>
      <c r="AJ22" s="16" t="n"/>
      <c r="AK22" s="16" t="n"/>
    </row>
    <row r="23">
      <c r="A23" s="16" t="n"/>
      <c r="B23" s="16" t="n"/>
      <c r="C23" s="16" t="n"/>
      <c r="D23" s="16" t="n"/>
      <c r="E23" s="16" t="n"/>
      <c r="F23" s="16" t="n"/>
      <c r="G23" s="16" t="n"/>
      <c r="H23" s="16" t="n"/>
      <c r="I23" s="16" t="n"/>
      <c r="J23" s="17" t="inlineStr">
        <is>
          <t>CIF (XCD) = CIF × 2.7169</t>
        </is>
      </c>
      <c r="K23" s="16" t="n"/>
      <c r="L23" s="16" t="n"/>
      <c r="M23" s="16" t="n"/>
      <c r="N23" s="16" t="n"/>
      <c r="O23" s="16" t="n"/>
      <c r="P23" s="18" t="n">
        <v>51.68</v>
      </c>
      <c r="Q23" s="16" t="n"/>
      <c r="R23" s="16" t="n"/>
      <c r="S23" s="16" t="n"/>
      <c r="T23" s="16" t="n"/>
      <c r="U23" s="16" t="n"/>
      <c r="V23" s="16" t="n"/>
      <c r="W23" s="16" t="n"/>
      <c r="X23" s="16" t="n"/>
      <c r="Y23" s="16" t="n"/>
      <c r="Z23" s="16" t="n"/>
      <c r="AA23" s="16" t="n"/>
      <c r="AB23" s="16" t="n"/>
      <c r="AC23" s="16" t="n"/>
      <c r="AD23" s="16" t="n"/>
      <c r="AE23" s="16" t="n"/>
      <c r="AF23" s="16" t="n"/>
      <c r="AG23" s="16" t="n"/>
      <c r="AH23" s="16" t="n"/>
      <c r="AI23" s="16" t="n"/>
      <c r="AJ23" s="16" t="n"/>
      <c r="AK23" s="16" t="n"/>
    </row>
    <row r="24">
      <c r="A24" s="16" t="n"/>
      <c r="B24" s="16" t="n"/>
      <c r="C24" s="16" t="n"/>
      <c r="D24" s="16" t="n"/>
      <c r="E24" s="16" t="n"/>
      <c r="F24" s="16" t="n"/>
      <c r="G24" s="16" t="n"/>
      <c r="H24" s="16" t="n"/>
      <c r="I24" s="16" t="n"/>
      <c r="J24" s="17" t="inlineStr">
        <is>
          <t>CET (20%) — Tariff 63049290</t>
        </is>
      </c>
      <c r="K24" s="16" t="n"/>
      <c r="L24" s="16" t="n"/>
      <c r="M24" s="16" t="n"/>
      <c r="N24" s="16" t="n"/>
      <c r="O24" s="16" t="n"/>
      <c r="P24" s="18" t="n">
        <v>10.34</v>
      </c>
      <c r="Q24" s="16" t="n"/>
      <c r="R24" s="16" t="n"/>
      <c r="S24" s="16" t="n"/>
      <c r="T24" s="16" t="n"/>
      <c r="U24" s="16" t="n"/>
      <c r="V24" s="16" t="n"/>
      <c r="W24" s="16" t="n"/>
      <c r="X24" s="16" t="n"/>
      <c r="Y24" s="16" t="n"/>
      <c r="Z24" s="16" t="n"/>
      <c r="AA24" s="16" t="n"/>
      <c r="AB24" s="16" t="n"/>
      <c r="AC24" s="16" t="n"/>
      <c r="AD24" s="16" t="n"/>
      <c r="AE24" s="16" t="n"/>
      <c r="AF24" s="16" t="n"/>
      <c r="AG24" s="16" t="n"/>
      <c r="AH24" s="16" t="n"/>
      <c r="AI24" s="16" t="n"/>
      <c r="AJ24" s="16" t="n"/>
      <c r="AK24" s="16" t="n"/>
    </row>
    <row r="25">
      <c r="A25" s="16" t="n"/>
      <c r="B25" s="16" t="n"/>
      <c r="C25" s="16" t="n"/>
      <c r="D25" s="16" t="n"/>
      <c r="E25" s="16" t="n"/>
      <c r="F25" s="16" t="n"/>
      <c r="G25" s="16" t="n"/>
      <c r="H25" s="16" t="n"/>
      <c r="I25" s="16" t="n"/>
      <c r="J25" s="17" t="inlineStr">
        <is>
          <t>CSC (6%)</t>
        </is>
      </c>
      <c r="K25" s="16" t="n"/>
      <c r="L25" s="16" t="n"/>
      <c r="M25" s="16" t="n"/>
      <c r="N25" s="16" t="n"/>
      <c r="O25" s="16" t="n"/>
      <c r="P25" s="18" t="n">
        <v>3.1</v>
      </c>
      <c r="Q25" s="16" t="n"/>
      <c r="R25" s="16" t="n"/>
      <c r="S25" s="16" t="n"/>
      <c r="T25" s="16" t="n"/>
      <c r="U25" s="16" t="n"/>
      <c r="V25" s="16" t="n"/>
      <c r="W25" s="16" t="n"/>
      <c r="X25" s="16" t="n"/>
      <c r="Y25" s="16" t="n"/>
      <c r="Z25" s="16" t="n"/>
      <c r="AA25" s="16" t="n"/>
      <c r="AB25" s="16" t="n"/>
      <c r="AC25" s="16" t="n"/>
      <c r="AD25" s="16" t="n"/>
      <c r="AE25" s="16" t="n"/>
      <c r="AF25" s="16" t="n"/>
      <c r="AG25" s="16" t="n"/>
      <c r="AH25" s="16" t="n"/>
      <c r="AI25" s="16" t="n"/>
      <c r="AJ25" s="16" t="n"/>
      <c r="AK25" s="16" t="n"/>
    </row>
    <row r="26">
      <c r="A26" s="16" t="n"/>
      <c r="B26" s="16" t="n"/>
      <c r="C26" s="16" t="n"/>
      <c r="D26" s="16" t="n"/>
      <c r="E26" s="16" t="n"/>
      <c r="F26" s="16" t="n"/>
      <c r="G26" s="16" t="n"/>
      <c r="H26" s="16" t="n"/>
      <c r="I26" s="16" t="n"/>
      <c r="J26" s="17" t="inlineStr">
        <is>
          <t>VAT (15%) on CIF+CET+CSC</t>
        </is>
      </c>
      <c r="K26" s="16" t="n"/>
      <c r="L26" s="16" t="n"/>
      <c r="M26" s="16" t="n"/>
      <c r="N26" s="16" t="n"/>
      <c r="O26" s="16" t="n"/>
      <c r="P26" s="18" t="n">
        <v>9.77</v>
      </c>
      <c r="Q26" s="16" t="n"/>
      <c r="R26" s="16" t="n"/>
      <c r="S26" s="16" t="n"/>
      <c r="T26" s="16" t="n"/>
      <c r="U26" s="16" t="n"/>
      <c r="V26" s="16" t="n"/>
      <c r="W26" s="16" t="n"/>
      <c r="X26" s="16" t="n"/>
      <c r="Y26" s="16" t="n"/>
      <c r="Z26" s="16" t="n"/>
      <c r="AA26" s="16" t="n"/>
      <c r="AB26" s="16" t="n"/>
      <c r="AC26" s="16" t="n"/>
      <c r="AD26" s="16" t="n"/>
      <c r="AE26" s="16" t="n"/>
      <c r="AF26" s="16" t="n"/>
      <c r="AG26" s="16" t="n"/>
      <c r="AH26" s="16" t="n"/>
      <c r="AI26" s="16" t="n"/>
      <c r="AJ26" s="16" t="n"/>
      <c r="AK26" s="16" t="n"/>
    </row>
    <row r="27">
      <c r="A27" s="19" t="n"/>
      <c r="B27" s="19" t="n"/>
      <c r="C27" s="19" t="n"/>
      <c r="D27" s="19" t="n"/>
      <c r="E27" s="19" t="n"/>
      <c r="F27" s="19" t="n"/>
      <c r="G27" s="19" t="n"/>
      <c r="H27" s="19" t="n"/>
      <c r="I27" s="19" t="n"/>
      <c r="J27" s="15" t="inlineStr">
        <is>
          <t>ESTIMATED TOTAL DUTIES</t>
        </is>
      </c>
      <c r="K27" s="19" t="n"/>
      <c r="L27" s="19" t="n"/>
      <c r="M27" s="19" t="n"/>
      <c r="N27" s="19" t="n"/>
      <c r="O27" s="19" t="n"/>
      <c r="P27" s="20" t="n">
        <v>23.21</v>
      </c>
      <c r="Q27" s="19" t="n"/>
      <c r="R27" s="19" t="n"/>
      <c r="S27" s="19" t="n"/>
      <c r="T27" s="19" t="n"/>
      <c r="U27" s="19" t="n"/>
      <c r="V27" s="19" t="n"/>
      <c r="W27" s="19" t="n"/>
      <c r="X27" s="19" t="n"/>
      <c r="Y27" s="19" t="n"/>
      <c r="Z27" s="19" t="n"/>
      <c r="AA27" s="19" t="n"/>
      <c r="AB27" s="19" t="n"/>
      <c r="AC27" s="19" t="n"/>
      <c r="AD27" s="19" t="n"/>
      <c r="AE27" s="19" t="n"/>
      <c r="AF27" s="19" t="n"/>
      <c r="AG27" s="19" t="n"/>
      <c r="AH27" s="19" t="n"/>
      <c r="AI27" s="19" t="n"/>
      <c r="AJ27" s="19" t="n"/>
      <c r="AK27" s="19" t="n"/>
    </row>
    <row r="28">
      <c r="A28" s="16" t="n"/>
      <c r="B28" s="16" t="n"/>
      <c r="C28" s="16" t="n"/>
      <c r="D28" s="16" t="n"/>
      <c r="E28" s="16" t="n"/>
      <c r="F28" s="16" t="n"/>
      <c r="G28" s="16" t="n"/>
      <c r="H28" s="16" t="n"/>
      <c r="I28" s="16" t="n"/>
      <c r="J28" s="17" t="inlineStr">
        <is>
          <t>Effective Duty Rate</t>
        </is>
      </c>
      <c r="K28" s="16" t="n"/>
      <c r="L28" s="16" t="n"/>
      <c r="M28" s="16" t="n"/>
      <c r="N28" s="16" t="n"/>
      <c r="O28" s="16" t="n"/>
      <c r="P28" s="21" t="n">
        <v>0.4491099071207431</v>
      </c>
      <c r="Q28" s="16" t="n"/>
      <c r="R28" s="16" t="n"/>
      <c r="S28" s="16" t="n"/>
      <c r="T28" s="16" t="n"/>
      <c r="U28" s="16" t="n"/>
      <c r="V28" s="16" t="n"/>
      <c r="W28" s="16" t="n"/>
      <c r="X28" s="16" t="n"/>
      <c r="Y28" s="16" t="n"/>
      <c r="Z28" s="16" t="n"/>
      <c r="AA28" s="16" t="n"/>
      <c r="AB28" s="16" t="n"/>
      <c r="AC28" s="16" t="n"/>
      <c r="AD28" s="16" t="n"/>
      <c r="AE28" s="16" t="n"/>
      <c r="AF28" s="16" t="n"/>
      <c r="AG28" s="16" t="n"/>
      <c r="AH28" s="16" t="n"/>
      <c r="AI28" s="16" t="n"/>
      <c r="AJ28" s="16" t="n"/>
      <c r="AK28" s="16" t="n"/>
    </row>
    <row r="29">
      <c r="A29" s="22" t="n"/>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c r="AA29" s="22" t="n"/>
      <c r="AB29" s="22" t="n"/>
      <c r="AC29" s="22" t="n"/>
      <c r="AD29" s="22" t="n"/>
      <c r="AE29" s="22" t="n"/>
      <c r="AF29" s="22" t="n"/>
      <c r="AG29" s="22" t="n"/>
      <c r="AH29" s="22" t="n"/>
      <c r="AI29" s="22" t="n"/>
      <c r="AJ29" s="22" t="n"/>
      <c r="AK29" s="22" t="n"/>
    </row>
    <row r="30">
      <c r="A30" s="2" t="inlineStr">
        <is>
          <t>4000-000</t>
        </is>
      </c>
      <c r="B30" s="2" t="n"/>
      <c r="C30" s="2" t="inlineStr">
        <is>
          <t>PO-211-06504032894070385</t>
        </is>
      </c>
      <c r="D30" s="2" t="inlineStr">
        <is>
          <t>2024-07-22</t>
        </is>
      </c>
      <c r="E30" s="2" t="inlineStr">
        <is>
          <t>Other Not knitted or crocheted, of synthetic fibres</t>
        </is>
      </c>
      <c r="F30" s="2" t="inlineStr">
        <is>
          <t>63049390</t>
        </is>
      </c>
      <c r="G30" s="2" t="n"/>
      <c r="H30" s="2" t="n"/>
      <c r="I30" s="2" t="inlineStr">
        <is>
          <t>63049390</t>
        </is>
      </c>
      <c r="J30" s="2" t="inlineStr">
        <is>
          <t>Sunflower Throw Pillow Covers Set of 4, Summer Outdoor Yellow Sunflowers Flor... (1 items)</t>
        </is>
      </c>
      <c r="K30" s="2" t="n">
        <v>1</v>
      </c>
      <c r="L30" s="2" t="n"/>
      <c r="M30" s="2" t="n"/>
      <c r="N30" s="2" t="inlineStr">
        <is>
          <t>USD</t>
        </is>
      </c>
      <c r="O30" s="3" t="n">
        <v>14.98</v>
      </c>
      <c r="P30" s="3" t="n">
        <v>14.98</v>
      </c>
      <c r="Q30" s="3">
        <f>O30*K30</f>
        <v/>
      </c>
      <c r="R30" s="3">
        <f>P30-Q30</f>
        <v/>
      </c>
      <c r="S30" s="3" t="n">
        <v>19.02</v>
      </c>
      <c r="T30" s="3" t="n">
        <v>2.99</v>
      </c>
      <c r="U30" s="3" t="n">
        <v>0</v>
      </c>
      <c r="V30" s="3" t="n">
        <v>1.05</v>
      </c>
      <c r="W30" s="3" t="n">
        <v>0</v>
      </c>
      <c r="X30" s="2" t="n"/>
      <c r="Y30" s="2" t="n"/>
      <c r="Z30" s="2" t="inlineStr">
        <is>
          <t>TEMU</t>
        </is>
      </c>
      <c r="AA30" s="2" t="inlineStr">
        <is>
          <t>TEMU</t>
        </is>
      </c>
      <c r="AB30" s="2" t="inlineStr">
        <is>
          <t>31 St. James Avenue, Suite 355, Boston, MA 02116</t>
        </is>
      </c>
      <c r="AC30" s="2" t="inlineStr">
        <is>
          <t>CN</t>
        </is>
      </c>
      <c r="AD30" s="2" t="n"/>
      <c r="AE30" s="2" t="n"/>
      <c r="AF30" s="2" t="n"/>
      <c r="AG30" s="2" t="n"/>
      <c r="AH30" s="2" t="n"/>
      <c r="AI30" s="2" t="n"/>
      <c r="AJ30" s="2" t="n"/>
      <c r="AK30" s="2" t="inlineStr">
        <is>
          <t>63049390</t>
        </is>
      </c>
    </row>
    <row r="31">
      <c r="A31" s="4" t="n"/>
      <c r="B31" s="4" t="n"/>
      <c r="C31" s="4" t="n"/>
      <c r="D31" s="4" t="n"/>
      <c r="E31" s="4" t="n"/>
      <c r="F31" s="4" t="inlineStr">
        <is>
          <t>63049390</t>
        </is>
      </c>
      <c r="G31" s="4" t="n"/>
      <c r="H31" s="4" t="n"/>
      <c r="I31" s="4" t="inlineStr">
        <is>
          <t>TEMU-1</t>
        </is>
      </c>
      <c r="J31" s="4" t="inlineStr">
        <is>
          <t>Sunflower Throw Pillow Covers Set of 4, Summer Outdoor Yellow Sunflowers Flor...</t>
        </is>
      </c>
      <c r="K31" s="4" t="n">
        <v>1</v>
      </c>
      <c r="L31" s="4" t="n"/>
      <c r="M31" s="4" t="n"/>
      <c r="N31" s="4" t="inlineStr">
        <is>
          <t>USD</t>
        </is>
      </c>
      <c r="O31" s="5" t="n">
        <v>14.98</v>
      </c>
      <c r="P31" s="5" t="n">
        <v>14.98</v>
      </c>
      <c r="Q31" s="6">
        <f>O31*K31</f>
        <v/>
      </c>
      <c r="R31" s="6">
        <f>P31-Q31</f>
        <v/>
      </c>
      <c r="S31" s="4" t="n"/>
      <c r="T31" s="4" t="n"/>
      <c r="U31" s="4" t="n"/>
      <c r="V31" s="4" t="n"/>
      <c r="W31" s="4" t="n"/>
      <c r="X31" s="4" t="n"/>
      <c r="Y31" s="4" t="n"/>
      <c r="Z31" s="4" t="n"/>
      <c r="AA31" s="4" t="n"/>
      <c r="AB31" s="4" t="n"/>
      <c r="AC31" s="4" t="n"/>
      <c r="AD31" s="4" t="n"/>
      <c r="AE31" s="4" t="n"/>
      <c r="AF31" s="4" t="n"/>
      <c r="AG31" s="4" t="n"/>
      <c r="AH31" s="4" t="n"/>
      <c r="AI31" s="4" t="n"/>
      <c r="AJ31" s="4" t="n"/>
      <c r="AK31" s="4" t="n"/>
    </row>
    <row r="32">
      <c r="A32" s="7" t="n"/>
      <c r="B32" s="7" t="n"/>
      <c r="C32" s="7" t="n"/>
      <c r="D32" s="7" t="n"/>
      <c r="E32" s="7" t="n"/>
      <c r="F32" s="7" t="n"/>
      <c r="G32" s="7" t="n"/>
      <c r="H32" s="7" t="n"/>
      <c r="I32" s="7" t="n"/>
      <c r="J32" s="7" t="inlineStr">
        <is>
          <t>SUBTOTAL (GROUPED)</t>
        </is>
      </c>
      <c r="K32" s="7" t="n"/>
      <c r="L32" s="7" t="n"/>
      <c r="M32" s="7" t="n"/>
      <c r="N32" s="7" t="n"/>
      <c r="O32" s="7" t="n"/>
      <c r="P32" s="8">
        <f>P30</f>
        <v/>
      </c>
      <c r="Q32" s="8">
        <f>Q30</f>
        <v/>
      </c>
      <c r="R32" s="7" t="n"/>
      <c r="S32" s="7" t="n"/>
      <c r="T32" s="7" t="n"/>
      <c r="U32" s="7" t="n"/>
      <c r="V32" s="7" t="n"/>
      <c r="W32" s="7" t="n"/>
      <c r="X32" s="7" t="n"/>
      <c r="Y32" s="7" t="n"/>
      <c r="Z32" s="7" t="n"/>
      <c r="AA32" s="7" t="n"/>
      <c r="AB32" s="7" t="n"/>
      <c r="AC32" s="7" t="n"/>
      <c r="AD32" s="7" t="n"/>
      <c r="AE32" s="7" t="n"/>
      <c r="AF32" s="7" t="n"/>
      <c r="AG32" s="7" t="n"/>
      <c r="AH32" s="7" t="n"/>
      <c r="AI32" s="7" t="n"/>
      <c r="AJ32" s="7" t="n"/>
      <c r="AK32" s="7" t="n"/>
    </row>
    <row r="33">
      <c r="A33" s="7" t="n"/>
      <c r="B33" s="7" t="n"/>
      <c r="C33" s="7" t="n"/>
      <c r="D33" s="7" t="n"/>
      <c r="E33" s="7" t="n"/>
      <c r="F33" s="7" t="n"/>
      <c r="G33" s="7" t="n"/>
      <c r="H33" s="7" t="n"/>
      <c r="I33" s="7" t="n"/>
      <c r="J33" s="7" t="inlineStr">
        <is>
          <t>SUBTOTAL (DETAILS)</t>
        </is>
      </c>
      <c r="K33" s="7" t="n"/>
      <c r="L33" s="7" t="n"/>
      <c r="M33" s="7" t="n"/>
      <c r="N33" s="7" t="n"/>
      <c r="O33" s="7" t="n"/>
      <c r="P33" s="8">
        <f>SUM(P30:P31)-P32</f>
        <v/>
      </c>
      <c r="Q33" s="8">
        <f>SUM(Q30:Q31)-Q32</f>
        <v/>
      </c>
      <c r="R33" s="7" t="n"/>
      <c r="S33" s="7" t="n"/>
      <c r="T33" s="7" t="n"/>
      <c r="U33" s="7" t="n"/>
      <c r="V33" s="7" t="n"/>
      <c r="W33" s="7" t="n"/>
      <c r="X33" s="7" t="n"/>
      <c r="Y33" s="7" t="n"/>
      <c r="Z33" s="7" t="n"/>
      <c r="AA33" s="7" t="n"/>
      <c r="AB33" s="7" t="n"/>
      <c r="AC33" s="7" t="n"/>
      <c r="AD33" s="7" t="n"/>
      <c r="AE33" s="7" t="n"/>
      <c r="AF33" s="7" t="n"/>
      <c r="AG33" s="7" t="n"/>
      <c r="AH33" s="7" t="n"/>
      <c r="AI33" s="7" t="n"/>
      <c r="AJ33" s="7" t="n"/>
      <c r="AK33" s="7" t="n"/>
    </row>
    <row r="34">
      <c r="A34" s="9" t="n"/>
      <c r="B34" s="9" t="n"/>
      <c r="C34" s="9" t="n"/>
      <c r="D34" s="9" t="n"/>
      <c r="E34" s="9" t="n"/>
      <c r="F34" s="9" t="n"/>
      <c r="G34" s="9" t="n"/>
      <c r="H34" s="9" t="n"/>
      <c r="I34" s="9" t="n"/>
      <c r="J34" s="9" t="inlineStr">
        <is>
          <t>GROUP VERIFICATION</t>
        </is>
      </c>
      <c r="K34" s="9" t="n"/>
      <c r="L34" s="9" t="n"/>
      <c r="M34" s="9" t="n"/>
      <c r="N34" s="9" t="n"/>
      <c r="O34" s="9" t="n"/>
      <c r="P34" s="10">
        <f>P32-P33</f>
        <v/>
      </c>
      <c r="Q34" s="10">
        <f>Q32-Q33</f>
        <v/>
      </c>
      <c r="R34" s="9" t="n"/>
      <c r="S34" s="9" t="n"/>
      <c r="T34" s="9" t="n"/>
      <c r="U34" s="9" t="n"/>
      <c r="V34" s="9" t="n"/>
      <c r="W34" s="9" t="n"/>
      <c r="X34" s="9" t="n"/>
      <c r="Y34" s="9" t="n"/>
      <c r="Z34" s="9" t="n"/>
      <c r="AA34" s="9" t="n"/>
      <c r="AB34" s="9" t="n"/>
      <c r="AC34" s="9" t="n"/>
      <c r="AD34" s="9" t="n"/>
      <c r="AE34" s="9" t="n"/>
      <c r="AF34" s="9" t="n"/>
      <c r="AG34" s="9" t="n"/>
      <c r="AH34" s="9" t="n"/>
      <c r="AI34" s="9" t="n"/>
      <c r="AJ34" s="9" t="n"/>
      <c r="AK34" s="9" t="n"/>
    </row>
    <row r="35"/>
    <row r="36">
      <c r="A36" s="7" t="n"/>
      <c r="B36" s="7" t="n"/>
      <c r="C36" s="7" t="n"/>
      <c r="D36" s="7" t="n"/>
      <c r="E36" s="7" t="n"/>
      <c r="F36" s="7" t="n"/>
      <c r="G36" s="7" t="n"/>
      <c r="H36" s="7" t="n"/>
      <c r="I36" s="7" t="n"/>
      <c r="J36" s="7" t="inlineStr">
        <is>
          <t>TOTAL INTERNAL FREIGHT</t>
        </is>
      </c>
      <c r="K36" s="7" t="n"/>
      <c r="L36" s="7" t="n"/>
      <c r="M36" s="7" t="n"/>
      <c r="N36" s="7" t="n"/>
      <c r="O36" s="7" t="n"/>
      <c r="P36" s="8" t="n">
        <v>2.99</v>
      </c>
      <c r="Q36" s="8" t="n"/>
      <c r="R36" s="7" t="n"/>
      <c r="S36" s="7" t="n"/>
      <c r="T36" s="7" t="n"/>
      <c r="U36" s="7" t="n"/>
      <c r="V36" s="7" t="n"/>
      <c r="W36" s="7" t="n"/>
      <c r="X36" s="7" t="n"/>
      <c r="Y36" s="7" t="n"/>
      <c r="Z36" s="7" t="n"/>
      <c r="AA36" s="7" t="n"/>
      <c r="AB36" s="7" t="n"/>
      <c r="AC36" s="7" t="n"/>
      <c r="AD36" s="7" t="n"/>
      <c r="AE36" s="7" t="n"/>
      <c r="AF36" s="7" t="n"/>
      <c r="AG36" s="7" t="n"/>
      <c r="AH36" s="7" t="n"/>
      <c r="AI36" s="7" t="n"/>
      <c r="AJ36" s="7" t="n"/>
      <c r="AK36" s="7" t="n"/>
    </row>
    <row r="37">
      <c r="A37" s="7" t="n"/>
      <c r="B37" s="7" t="n"/>
      <c r="C37" s="7" t="n"/>
      <c r="D37" s="7" t="n"/>
      <c r="E37" s="7" t="n"/>
      <c r="F37" s="7" t="n"/>
      <c r="G37" s="7" t="n"/>
      <c r="H37" s="7" t="n"/>
      <c r="I37" s="7" t="n"/>
      <c r="J37" s="7" t="inlineStr">
        <is>
          <t>TOTAL INSURANCE</t>
        </is>
      </c>
      <c r="K37" s="7" t="n"/>
      <c r="L37" s="7" t="n"/>
      <c r="M37" s="7" t="n"/>
      <c r="N37" s="7" t="n"/>
      <c r="O37" s="7" t="n"/>
      <c r="P37" s="8" t="n">
        <v>0</v>
      </c>
      <c r="Q37" s="8" t="n"/>
      <c r="R37" s="7" t="n"/>
      <c r="S37" s="7" t="n"/>
      <c r="T37" s="7" t="n"/>
      <c r="U37" s="7" t="n"/>
      <c r="V37" s="7" t="n"/>
      <c r="W37" s="7" t="n"/>
      <c r="X37" s="7" t="n"/>
      <c r="Y37" s="7" t="n"/>
      <c r="Z37" s="7" t="n"/>
      <c r="AA37" s="7" t="n"/>
      <c r="AB37" s="7" t="n"/>
      <c r="AC37" s="7" t="n"/>
      <c r="AD37" s="7" t="n"/>
      <c r="AE37" s="7" t="n"/>
      <c r="AF37" s="7" t="n"/>
      <c r="AG37" s="7" t="n"/>
      <c r="AH37" s="7" t="n"/>
      <c r="AI37" s="7" t="n"/>
      <c r="AJ37" s="7" t="n"/>
      <c r="AK37" s="7" t="n"/>
    </row>
    <row r="38">
      <c r="A38" s="7" t="n"/>
      <c r="B38" s="7" t="n"/>
      <c r="C38" s="7" t="n"/>
      <c r="D38" s="7" t="n"/>
      <c r="E38" s="7" t="n"/>
      <c r="F38" s="7" t="n"/>
      <c r="G38" s="7" t="n"/>
      <c r="H38" s="7" t="n"/>
      <c r="I38" s="7" t="n"/>
      <c r="J38" s="7" t="inlineStr">
        <is>
          <t>TOTAL OTHER COST</t>
        </is>
      </c>
      <c r="K38" s="7" t="n"/>
      <c r="L38" s="7" t="n"/>
      <c r="M38" s="7" t="n"/>
      <c r="N38" s="7" t="n"/>
      <c r="O38" s="7" t="n"/>
      <c r="P38" s="8" t="n">
        <v>1.05</v>
      </c>
      <c r="Q38" s="8" t="n"/>
      <c r="R38" s="7" t="n"/>
      <c r="S38" s="7" t="n"/>
      <c r="T38" s="7" t="n"/>
      <c r="U38" s="7" t="n"/>
      <c r="V38" s="7" t="n"/>
      <c r="W38" s="7" t="n"/>
      <c r="X38" s="7" t="n"/>
      <c r="Y38" s="7" t="n"/>
      <c r="Z38" s="7" t="n"/>
      <c r="AA38" s="7" t="n"/>
      <c r="AB38" s="7" t="n"/>
      <c r="AC38" s="7" t="n"/>
      <c r="AD38" s="7" t="n"/>
      <c r="AE38" s="7" t="n"/>
      <c r="AF38" s="7" t="n"/>
      <c r="AG38" s="7" t="n"/>
      <c r="AH38" s="7" t="n"/>
      <c r="AI38" s="7" t="n"/>
      <c r="AJ38" s="7" t="n"/>
      <c r="AK38" s="7" t="n"/>
    </row>
    <row r="39">
      <c r="A39" s="7" t="n"/>
      <c r="B39" s="7" t="n"/>
      <c r="C39" s="7" t="n"/>
      <c r="D39" s="7" t="n"/>
      <c r="E39" s="7" t="n"/>
      <c r="F39" s="7" t="n"/>
      <c r="G39" s="7" t="n"/>
      <c r="H39" s="7" t="n"/>
      <c r="I39" s="7" t="n"/>
      <c r="J39" s="7" t="inlineStr">
        <is>
          <t>TOTAL DEDUCTION</t>
        </is>
      </c>
      <c r="K39" s="7" t="n"/>
      <c r="L39" s="7" t="n"/>
      <c r="M39" s="7" t="n"/>
      <c r="N39" s="7" t="n"/>
      <c r="O39" s="7" t="n"/>
      <c r="P39" s="8" t="n">
        <v>0</v>
      </c>
      <c r="Q39" s="8" t="n"/>
      <c r="R39" s="7" t="n"/>
      <c r="S39" s="7" t="n"/>
      <c r="T39" s="7" t="n"/>
      <c r="U39" s="7" t="n"/>
      <c r="V39" s="7" t="n"/>
      <c r="W39" s="7" t="n"/>
      <c r="X39" s="7" t="n"/>
      <c r="Y39" s="7" t="n"/>
      <c r="Z39" s="7" t="n"/>
      <c r="AA39" s="7" t="n"/>
      <c r="AB39" s="7" t="n"/>
      <c r="AC39" s="7" t="n"/>
      <c r="AD39" s="7" t="n"/>
      <c r="AE39" s="7" t="n"/>
      <c r="AF39" s="7" t="n"/>
      <c r="AG39" s="7" t="n"/>
      <c r="AH39" s="7" t="n"/>
      <c r="AI39" s="7" t="n"/>
      <c r="AJ39" s="7" t="n"/>
      <c r="AK39" s="7" t="n"/>
    </row>
    <row r="40">
      <c r="A40" s="7" t="n"/>
      <c r="B40" s="7" t="n"/>
      <c r="C40" s="7" t="n"/>
      <c r="D40" s="7" t="n"/>
      <c r="E40" s="7" t="n"/>
      <c r="F40" s="7" t="n"/>
      <c r="G40" s="7" t="n"/>
      <c r="H40" s="7" t="n"/>
      <c r="I40" s="7" t="n"/>
      <c r="J40" s="7" t="inlineStr">
        <is>
          <t>ADJUSTMENTS</t>
        </is>
      </c>
      <c r="K40" s="7" t="n"/>
      <c r="L40" s="7" t="n"/>
      <c r="M40" s="7" t="n"/>
      <c r="N40" s="7" t="n"/>
      <c r="O40" s="7" t="n"/>
      <c r="P40" s="8">
        <f>(T30+U30+V30-W30)</f>
        <v/>
      </c>
      <c r="Q40" s="8">
        <f>(T30+U30+V30-W30)</f>
        <v/>
      </c>
      <c r="R40" s="7" t="n"/>
      <c r="S40" s="7" t="n"/>
      <c r="T40" s="7" t="n"/>
      <c r="U40" s="7" t="n"/>
      <c r="V40" s="7" t="n"/>
      <c r="W40" s="7" t="n"/>
      <c r="X40" s="7" t="n"/>
      <c r="Y40" s="7" t="n"/>
      <c r="Z40" s="7" t="n"/>
      <c r="AA40" s="7" t="n"/>
      <c r="AB40" s="7" t="n"/>
      <c r="AC40" s="7" t="n"/>
      <c r="AD40" s="7" t="n"/>
      <c r="AE40" s="7" t="n"/>
      <c r="AF40" s="7" t="n"/>
      <c r="AG40" s="7" t="n"/>
      <c r="AH40" s="7" t="n"/>
      <c r="AI40" s="7" t="n"/>
      <c r="AJ40" s="7" t="n"/>
      <c r="AK40" s="7" t="n"/>
    </row>
    <row r="41"/>
    <row r="42">
      <c r="A42" s="7" t="n"/>
      <c r="B42" s="7" t="n"/>
      <c r="C42" s="7" t="n"/>
      <c r="D42" s="7" t="n"/>
      <c r="E42" s="7" t="n"/>
      <c r="F42" s="7" t="n"/>
      <c r="G42" s="7" t="n"/>
      <c r="H42" s="7" t="n"/>
      <c r="I42" s="7" t="n"/>
      <c r="J42" s="7" t="inlineStr">
        <is>
          <t>NET TOTAL</t>
        </is>
      </c>
      <c r="K42" s="7" t="n"/>
      <c r="L42" s="7" t="n"/>
      <c r="M42" s="7" t="n"/>
      <c r="N42" s="7" t="n"/>
      <c r="O42" s="7" t="n"/>
      <c r="P42" s="8">
        <f>P32+P40</f>
        <v/>
      </c>
      <c r="Q42" s="8">
        <f>Q32+Q40</f>
        <v/>
      </c>
      <c r="R42" s="7" t="n"/>
      <c r="S42" s="7" t="n"/>
      <c r="T42" s="7" t="n"/>
      <c r="U42" s="7" t="n"/>
      <c r="V42" s="7" t="n"/>
      <c r="W42" s="7" t="n"/>
      <c r="X42" s="7" t="n"/>
      <c r="Y42" s="7" t="n"/>
      <c r="Z42" s="7" t="n"/>
      <c r="AA42" s="7" t="n"/>
      <c r="AB42" s="7" t="n"/>
      <c r="AC42" s="7" t="n"/>
      <c r="AD42" s="7" t="n"/>
      <c r="AE42" s="7" t="n"/>
      <c r="AF42" s="7" t="n"/>
      <c r="AG42" s="7" t="n"/>
      <c r="AH42" s="7" t="n"/>
      <c r="AI42" s="7" t="n"/>
      <c r="AJ42" s="7" t="n"/>
      <c r="AK42" s="7" t="n"/>
    </row>
    <row r="43">
      <c r="A43" s="7" t="n"/>
      <c r="B43" s="7" t="n"/>
      <c r="C43" s="7" t="n"/>
      <c r="D43" s="7" t="n"/>
      <c r="E43" s="7" t="n"/>
      <c r="F43" s="7" t="n"/>
      <c r="G43" s="7" t="n"/>
      <c r="H43" s="7" t="n"/>
      <c r="I43" s="7" t="n"/>
      <c r="J43" s="7" t="inlineStr">
        <is>
          <t>INVOICE TOTAL</t>
        </is>
      </c>
      <c r="K43" s="7" t="n"/>
      <c r="L43" s="7" t="n"/>
      <c r="M43" s="7" t="n"/>
      <c r="N43" s="7" t="n"/>
      <c r="O43" s="7" t="n"/>
      <c r="P43" s="8">
        <f>S30</f>
        <v/>
      </c>
      <c r="Q43" s="8" t="n"/>
      <c r="R43" s="7" t="n"/>
      <c r="S43" s="7" t="n"/>
      <c r="T43" s="7" t="n"/>
      <c r="U43" s="7" t="n"/>
      <c r="V43" s="7" t="n"/>
      <c r="W43" s="7" t="n"/>
      <c r="X43" s="7" t="n"/>
      <c r="Y43" s="7" t="n"/>
      <c r="Z43" s="7" t="n"/>
      <c r="AA43" s="7" t="n"/>
      <c r="AB43" s="7" t="n"/>
      <c r="AC43" s="7" t="n"/>
      <c r="AD43" s="7" t="n"/>
      <c r="AE43" s="7" t="n"/>
      <c r="AF43" s="7" t="n"/>
      <c r="AG43" s="7" t="n"/>
      <c r="AH43" s="7" t="n"/>
      <c r="AI43" s="7" t="n"/>
      <c r="AJ43" s="7" t="n"/>
      <c r="AK43" s="7" t="n"/>
    </row>
    <row r="44"/>
    <row r="45">
      <c r="A45" s="11" t="n"/>
      <c r="B45" s="11" t="n"/>
      <c r="C45" s="11" t="n"/>
      <c r="D45" s="11" t="n"/>
      <c r="E45" s="11" t="n"/>
      <c r="F45" s="11" t="n"/>
      <c r="G45" s="11" t="n"/>
      <c r="H45" s="11" t="n"/>
      <c r="I45" s="11" t="n"/>
      <c r="J45" s="11" t="inlineStr">
        <is>
          <t>VARIANCE CHECK</t>
        </is>
      </c>
      <c r="K45" s="11" t="n"/>
      <c r="L45" s="11" t="n"/>
      <c r="M45" s="11" t="n"/>
      <c r="N45" s="11" t="n"/>
      <c r="O45" s="11" t="n"/>
      <c r="P45" s="12">
        <f>S30-P42</f>
        <v/>
      </c>
      <c r="Q45" s="12">
        <f>S30-Q42</f>
        <v/>
      </c>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row>
    <row r="46"/>
    <row r="47">
      <c r="A47" s="13" t="n"/>
      <c r="B47" s="13" t="n"/>
      <c r="C47" s="13" t="n"/>
      <c r="D47" s="13" t="n"/>
      <c r="E47" s="13" t="n"/>
      <c r="F47" s="13" t="n"/>
      <c r="G47" s="13" t="n"/>
      <c r="H47" s="13" t="n"/>
      <c r="I47" s="13" t="n"/>
      <c r="J47" s="14" t="inlineStr">
        <is>
          <t>INVOICE NOTES: Orphan price $14.98 recovered from OCR text (description: Sunflower Throw Pillow Covers Set of 4, Summer Outdoor Yello...)</t>
        </is>
      </c>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row>
    <row r="48"/>
    <row r="49">
      <c r="A49" s="15" t="n"/>
      <c r="B49" s="15" t="n"/>
      <c r="C49" s="15" t="n"/>
      <c r="D49" s="15" t="n"/>
      <c r="E49" s="15" t="n"/>
      <c r="F49" s="15" t="n"/>
      <c r="G49" s="15" t="n"/>
      <c r="H49" s="15" t="n"/>
      <c r="I49" s="15" t="n"/>
      <c r="J49" s="15" t="inlineStr">
        <is>
          <t>DUTY ESTIMATION (Classification Cross-Check)</t>
        </is>
      </c>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row>
    <row r="50">
      <c r="A50" s="16" t="n"/>
      <c r="B50" s="16" t="n"/>
      <c r="C50" s="16" t="n"/>
      <c r="D50" s="16" t="n"/>
      <c r="E50" s="16" t="n"/>
      <c r="F50" s="16" t="n"/>
      <c r="G50" s="16" t="n"/>
      <c r="H50" s="16" t="n"/>
      <c r="I50" s="16" t="n"/>
      <c r="J50" s="17" t="inlineStr">
        <is>
          <t>CIF (USD) = InvTotal + Freight + Insurance</t>
        </is>
      </c>
      <c r="K50" s="16" t="n"/>
      <c r="L50" s="16" t="n"/>
      <c r="M50" s="16" t="n"/>
      <c r="N50" s="16" t="n"/>
      <c r="O50" s="16" t="n"/>
      <c r="P50" s="18" t="n">
        <v>19.02</v>
      </c>
      <c r="Q50" s="16" t="n"/>
      <c r="R50" s="16" t="n"/>
      <c r="S50" s="16" t="n"/>
      <c r="T50" s="16" t="n"/>
      <c r="U50" s="16" t="n"/>
      <c r="V50" s="16" t="n"/>
      <c r="W50" s="16" t="n"/>
      <c r="X50" s="16" t="n"/>
      <c r="Y50" s="16" t="n"/>
      <c r="Z50" s="16" t="n"/>
      <c r="AA50" s="16" t="n"/>
      <c r="AB50" s="16" t="n"/>
      <c r="AC50" s="16" t="n"/>
      <c r="AD50" s="16" t="n"/>
      <c r="AE50" s="16" t="n"/>
      <c r="AF50" s="16" t="n"/>
      <c r="AG50" s="16" t="n"/>
      <c r="AH50" s="16" t="n"/>
      <c r="AI50" s="16" t="n"/>
      <c r="AJ50" s="16" t="n"/>
      <c r="AK50" s="16" t="n"/>
    </row>
    <row r="51">
      <c r="A51" s="16" t="n"/>
      <c r="B51" s="16" t="n"/>
      <c r="C51" s="16" t="n"/>
      <c r="D51" s="16" t="n"/>
      <c r="E51" s="16" t="n"/>
      <c r="F51" s="16" t="n"/>
      <c r="G51" s="16" t="n"/>
      <c r="H51" s="16" t="n"/>
      <c r="I51" s="16" t="n"/>
      <c r="J51" s="17" t="inlineStr">
        <is>
          <t>CIF (XCD) = CIF × 2.7169</t>
        </is>
      </c>
      <c r="K51" s="16" t="n"/>
      <c r="L51" s="16" t="n"/>
      <c r="M51" s="16" t="n"/>
      <c r="N51" s="16" t="n"/>
      <c r="O51" s="16" t="n"/>
      <c r="P51" s="18" t="n">
        <v>51.68</v>
      </c>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row>
    <row r="52">
      <c r="A52" s="16" t="n"/>
      <c r="B52" s="16" t="n"/>
      <c r="C52" s="16" t="n"/>
      <c r="D52" s="16" t="n"/>
      <c r="E52" s="16" t="n"/>
      <c r="F52" s="16" t="n"/>
      <c r="G52" s="16" t="n"/>
      <c r="H52" s="16" t="n"/>
      <c r="I52" s="16" t="n"/>
      <c r="J52" s="17" t="inlineStr">
        <is>
          <t>CET (20%) — Tariff 63049390</t>
        </is>
      </c>
      <c r="K52" s="16" t="n"/>
      <c r="L52" s="16" t="n"/>
      <c r="M52" s="16" t="n"/>
      <c r="N52" s="16" t="n"/>
      <c r="O52" s="16" t="n"/>
      <c r="P52" s="18" t="n">
        <v>10.34</v>
      </c>
      <c r="Q52" s="16" t="n"/>
      <c r="R52" s="16" t="n"/>
      <c r="S52" s="16" t="n"/>
      <c r="T52" s="16" t="n"/>
      <c r="U52" s="16" t="n"/>
      <c r="V52" s="16" t="n"/>
      <c r="W52" s="16" t="n"/>
      <c r="X52" s="16" t="n"/>
      <c r="Y52" s="16" t="n"/>
      <c r="Z52" s="16" t="n"/>
      <c r="AA52" s="16" t="n"/>
      <c r="AB52" s="16" t="n"/>
      <c r="AC52" s="16" t="n"/>
      <c r="AD52" s="16" t="n"/>
      <c r="AE52" s="16" t="n"/>
      <c r="AF52" s="16" t="n"/>
      <c r="AG52" s="16" t="n"/>
      <c r="AH52" s="16" t="n"/>
      <c r="AI52" s="16" t="n"/>
      <c r="AJ52" s="16" t="n"/>
      <c r="AK52" s="16" t="n"/>
    </row>
    <row r="53">
      <c r="A53" s="16" t="n"/>
      <c r="B53" s="16" t="n"/>
      <c r="C53" s="16" t="n"/>
      <c r="D53" s="16" t="n"/>
      <c r="E53" s="16" t="n"/>
      <c r="F53" s="16" t="n"/>
      <c r="G53" s="16" t="n"/>
      <c r="H53" s="16" t="n"/>
      <c r="I53" s="16" t="n"/>
      <c r="J53" s="17" t="inlineStr">
        <is>
          <t>CSC (6%)</t>
        </is>
      </c>
      <c r="K53" s="16" t="n"/>
      <c r="L53" s="16" t="n"/>
      <c r="M53" s="16" t="n"/>
      <c r="N53" s="16" t="n"/>
      <c r="O53" s="16" t="n"/>
      <c r="P53" s="18" t="n">
        <v>3.1</v>
      </c>
      <c r="Q53" s="16" t="n"/>
      <c r="R53" s="16" t="n"/>
      <c r="S53" s="16" t="n"/>
      <c r="T53" s="16" t="n"/>
      <c r="U53" s="16" t="n"/>
      <c r="V53" s="16" t="n"/>
      <c r="W53" s="16" t="n"/>
      <c r="X53" s="16" t="n"/>
      <c r="Y53" s="16" t="n"/>
      <c r="Z53" s="16" t="n"/>
      <c r="AA53" s="16" t="n"/>
      <c r="AB53" s="16" t="n"/>
      <c r="AC53" s="16" t="n"/>
      <c r="AD53" s="16" t="n"/>
      <c r="AE53" s="16" t="n"/>
      <c r="AF53" s="16" t="n"/>
      <c r="AG53" s="16" t="n"/>
      <c r="AH53" s="16" t="n"/>
      <c r="AI53" s="16" t="n"/>
      <c r="AJ53" s="16" t="n"/>
      <c r="AK53" s="16" t="n"/>
    </row>
    <row r="54">
      <c r="A54" s="16" t="n"/>
      <c r="B54" s="16" t="n"/>
      <c r="C54" s="16" t="n"/>
      <c r="D54" s="16" t="n"/>
      <c r="E54" s="16" t="n"/>
      <c r="F54" s="16" t="n"/>
      <c r="G54" s="16" t="n"/>
      <c r="H54" s="16" t="n"/>
      <c r="I54" s="16" t="n"/>
      <c r="J54" s="17" t="inlineStr">
        <is>
          <t>VAT (15%) on CIF+CET+CSC</t>
        </is>
      </c>
      <c r="K54" s="16" t="n"/>
      <c r="L54" s="16" t="n"/>
      <c r="M54" s="16" t="n"/>
      <c r="N54" s="16" t="n"/>
      <c r="O54" s="16" t="n"/>
      <c r="P54" s="18" t="n">
        <v>9.77</v>
      </c>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row>
    <row r="55">
      <c r="A55" s="19" t="n"/>
      <c r="B55" s="19" t="n"/>
      <c r="C55" s="19" t="n"/>
      <c r="D55" s="19" t="n"/>
      <c r="E55" s="19" t="n"/>
      <c r="F55" s="19" t="n"/>
      <c r="G55" s="19" t="n"/>
      <c r="H55" s="19" t="n"/>
      <c r="I55" s="19" t="n"/>
      <c r="J55" s="15" t="inlineStr">
        <is>
          <t>ESTIMATED TOTAL DUTIES</t>
        </is>
      </c>
      <c r="K55" s="19" t="n"/>
      <c r="L55" s="19" t="n"/>
      <c r="M55" s="19" t="n"/>
      <c r="N55" s="19" t="n"/>
      <c r="O55" s="19" t="n"/>
      <c r="P55" s="20" t="n">
        <v>23.21</v>
      </c>
      <c r="Q55" s="19" t="n"/>
      <c r="R55" s="19" t="n"/>
      <c r="S55" s="19" t="n"/>
      <c r="T55" s="19" t="n"/>
      <c r="U55" s="19" t="n"/>
      <c r="V55" s="19" t="n"/>
      <c r="W55" s="19" t="n"/>
      <c r="X55" s="19" t="n"/>
      <c r="Y55" s="19" t="n"/>
      <c r="Z55" s="19" t="n"/>
      <c r="AA55" s="19" t="n"/>
      <c r="AB55" s="19" t="n"/>
      <c r="AC55" s="19" t="n"/>
      <c r="AD55" s="19" t="n"/>
      <c r="AE55" s="19" t="n"/>
      <c r="AF55" s="19" t="n"/>
      <c r="AG55" s="19" t="n"/>
      <c r="AH55" s="19" t="n"/>
      <c r="AI55" s="19" t="n"/>
      <c r="AJ55" s="19" t="n"/>
      <c r="AK55" s="19" t="n"/>
    </row>
    <row r="56">
      <c r="A56" s="16" t="n"/>
      <c r="B56" s="16" t="n"/>
      <c r="C56" s="16" t="n"/>
      <c r="D56" s="16" t="n"/>
      <c r="E56" s="16" t="n"/>
      <c r="F56" s="16" t="n"/>
      <c r="G56" s="16" t="n"/>
      <c r="H56" s="16" t="n"/>
      <c r="I56" s="16" t="n"/>
      <c r="J56" s="17" t="inlineStr">
        <is>
          <t>Effective Duty Rate</t>
        </is>
      </c>
      <c r="K56" s="16" t="n"/>
      <c r="L56" s="16" t="n"/>
      <c r="M56" s="16" t="n"/>
      <c r="N56" s="16" t="n"/>
      <c r="O56" s="16" t="n"/>
      <c r="P56" s="21" t="n">
        <v>0.4491099071207431</v>
      </c>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row>
    <row r="57"/>
    <row r="58">
      <c r="A58" s="23" t="n"/>
      <c r="B58" s="23" t="n"/>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row>
    <row r="59">
      <c r="A59" s="23" t="n"/>
      <c r="B59" s="23" t="n"/>
      <c r="C59" s="23" t="n"/>
      <c r="D59" s="23" t="n"/>
      <c r="E59" s="23" t="n"/>
      <c r="F59" s="23" t="n"/>
      <c r="G59" s="23" t="n"/>
      <c r="H59" s="23" t="n"/>
      <c r="I59" s="23" t="n"/>
      <c r="J59" s="23" t="n"/>
      <c r="K59" s="23" t="n"/>
      <c r="L59" s="24" t="inlineStr">
        <is>
          <t>═══ COMBINED GRAND SUMMARY ═══</t>
        </is>
      </c>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row>
    <row r="60">
      <c r="L60" s="25" t="inlineStr">
        <is>
          <t>Invoice PO-211-06504032894070385</t>
        </is>
      </c>
      <c r="P60" s="26" t="n">
        <v>136.59</v>
      </c>
      <c r="Q60" s="27" t="n">
        <v>-117.57</v>
      </c>
    </row>
    <row r="61">
      <c r="L61" s="25" t="inlineStr">
        <is>
          <t>Invoice PO-211-06504032894070385</t>
        </is>
      </c>
      <c r="P61" s="26" t="n">
        <v>136.59</v>
      </c>
      <c r="Q61" s="27" t="n">
        <v>-117.57</v>
      </c>
    </row>
    <row r="62"/>
    <row r="63">
      <c r="L63" s="28" t="inlineStr">
        <is>
          <t>GRAND TOTAL</t>
        </is>
      </c>
      <c r="P63" s="29" t="n">
        <v>273.18</v>
      </c>
    </row>
    <row r="64">
      <c r="L64" s="30" t="inlineStr">
        <is>
          <t>GRAND VARIANCE CHECK</t>
        </is>
      </c>
      <c r="P64" s="27" t="n">
        <v>-235.14</v>
      </c>
    </row>
    <row r="65">
      <c r="L65" s="31" t="inlineStr">
        <is>
          <t>Combined 2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32" t="inlineStr">
        <is>
          <t>PDF File</t>
        </is>
      </c>
      <c r="B1" s="32" t="inlineStr">
        <is>
          <t>Quality Score</t>
        </is>
      </c>
      <c r="C1" s="32" t="inlineStr">
        <is>
          <t>Rating</t>
        </is>
      </c>
      <c r="D1" s="32" t="inlineStr">
        <is>
          <t>Details</t>
        </is>
      </c>
      <c r="E1" s="32" t="inlineStr">
        <is>
          <t>OCR Text (first 2000 chars)</t>
        </is>
      </c>
    </row>
    <row r="2">
      <c r="A2" s="33" t="inlineStr">
        <is>
          <t>PO-211-06504032894070385.pdf</t>
        </is>
      </c>
      <c r="B2" s="33" t="inlineStr">
        <is>
          <t>90/100</t>
        </is>
      </c>
      <c r="C2" s="33" t="inlineStr">
        <is>
          <t>GOOD</t>
        </is>
      </c>
      <c r="D2" s="33" t="inlineStr">
        <is>
          <t>Text: 1183 chars; Prices: 6 ($-sign), 4 (decimal); Total: $19.02; Invoice#: PO-211-06504032894070385; Real items: 1/1; Structure words: 5/12</t>
        </is>
      </c>
      <c r="E2" s="34" t="inlineStr">
        <is>
          <t>2024/07/24 10:13
TEMU
As we're committed to reducing our environmental impact, we have eliminated paper receipt.
Order Summary
Order ID:  PO-211-06504032894070385
Order time:  Jul 22, 2024
Item(s) total:  $14.98
Shipping:  $2.99
Sales tax:  $1.05
Order total:  $19.02
Shipping address
Samantha Mc Queen +1 (473)410-7654, 10813 NW 30TH ST, BLDG 115 GRE 9590, MIAMI, FL 33172, United States
Payment method
Your payment information is safe with us. Temu does not share your information with the sellers.
VISA  Visa ...5147  $19.02
Paid on Jul 22, 2024
Billing address: Samantha Mc Queen +1 (473)410-7654, 10813 NW 30TH ST, BLDG 115 GRE 9590, MIAMI, FL 33172, United States
Item details (1)
Sunflower Throw Pillow Covers Set of 4, Summer Outdoor Yellow Sunflowers Floral Throw Pillow Case For Sofa Bedroom Living Room Bed Couch Home Sweet Home Cushion Covers Decorative, 18 X 18 Inches
C:
By S East Home  $14.98
 1
Free returns within 90 days
Free returns are available for you.
1/2
1.You can return the item for any reason in new and unused condition; no shipping charges.
2.This item can be returned in its original condition for a full refund within 90 days of purchase.
2/2</t>
        </is>
      </c>
    </row>
    <row r="3">
      <c r="A3" s="33" t="inlineStr">
        <is>
          <t>PO-211-0650403289407038_Invoice.pdf</t>
        </is>
      </c>
      <c r="B3" s="33" t="inlineStr">
        <is>
          <t>90/100</t>
        </is>
      </c>
      <c r="C3" s="33" t="inlineStr">
        <is>
          <t>GOOD</t>
        </is>
      </c>
      <c r="D3" s="33" t="inlineStr">
        <is>
          <t>Text: 1181 chars; Prices: 6 ($-sign), 4 (decimal); Total: $19.02; Invoice#: PO-211-06504032894070385; Real items: 1/1; Structure words: 5/12</t>
        </is>
      </c>
      <c r="E3" s="34" t="inlineStr">
        <is>
          <t>2024/07/24 10:13
TEMU
As we're committed to reducing our environmental impact, we have eliminated paper receipt.
Order Summary
Order ID:  PO-211-06504032894070385
Order time:  Jul 22, 2024
Item(s) total:  $14.98
Shipping:  $2.99
Sales tax:  $1.05
Order total:  $19.02
Shipping address
Samantha Mc Queen +1 (473)410-7654, 10813 NW 30TH ST, BLDG 115 GRE 9590, MIAMI, FL 33172, United States
Payment method
Your payment information is safe with us. Temu does not share your information with the sellers.
VISA  Visa ...5147  $19.02
Paid on Jul 22, 2024
Billing address: Samantha Mc Queen +1 (473)410-7654, 10813 NW 30TH ST, BLDG 115 GRE 9590, MIAMI, FL 33172, United States
Item details (1)
Sunflower Throw Pillow Covers Set of 4, Summer Outdoor Yellow Sunflowers Floral Throw Pillow Case For Sofa Bedroom Living Room Bed Couch Home Sweet Home Cushion Covers Decorative, 18 X 18 Inches
By S East Home  $14.98  ×1
Free returns within 90 days
Free returns are available for you.
1/2
1.You can return the item for any reason in new and unused condition; no shipping charges.
2.This item can be returned in its original condition for a full refund within 90 days of purchase.
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2026-04-24T05:42:35Z</dcterms:created>
  <dcterms:modified xsi:type="dcterms:W3CDTF">2026-04-24T05:42:35Z</dcterms:modified>
</cp:coreProperties>
</file>