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2">
    <font>
      <name val="Calibri"/>
      <family val="2"/>
      <color theme="1"/>
      <sz val="11"/>
      <scheme val="minor"/>
    </font>
    <font>
      <b val="1"/>
      <color rgb="00FFFFFF"/>
      <sz val="10"/>
    </font>
    <font>
      <sz val="10"/>
    </font>
    <font>
      <b val="1"/>
      <sz val="11"/>
    </font>
    <font>
      <b val="1"/>
      <color rgb="009C57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8">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FFEBCC"/>
        <bgColor rgb="00FFEBCC"/>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4" fontId="2" fillId="3" borderId="1" pivotButton="0" quotePrefix="0" xfId="0"/>
    <xf numFmtId="4" fontId="2" fillId="0" borderId="1" pivotButton="0" quotePrefix="0" xfId="0"/>
    <xf numFmtId="0" fontId="3" fillId="0" borderId="1" pivotButton="0" quotePrefix="0" xfId="0"/>
    <xf numFmtId="4" fontId="3" fillId="0" borderId="1" pivotButton="0" quotePrefix="0" xfId="0"/>
    <xf numFmtId="0" fontId="0" fillId="4" borderId="1" pivotButton="0" quotePrefix="0" xfId="0"/>
    <xf numFmtId="0" fontId="4" fillId="4" borderId="1" pivotButton="0" quotePrefix="0" xfId="0"/>
    <xf numFmtId="0" fontId="5" fillId="5" borderId="1" pivotButton="0" quotePrefix="0" xfId="0"/>
    <xf numFmtId="0" fontId="0" fillId="0" borderId="1" pivotButton="0" quotePrefix="0" xfId="0"/>
    <xf numFmtId="0" fontId="6" fillId="0" borderId="1" pivotButton="0" quotePrefix="0" xfId="0"/>
    <xf numFmtId="164" fontId="5" fillId="0" borderId="1" pivotButton="0" quotePrefix="0" xfId="0"/>
    <xf numFmtId="0" fontId="0" fillId="5" borderId="1" pivotButton="0" quotePrefix="0" xfId="0"/>
    <xf numFmtId="164" fontId="5" fillId="5" borderId="1" pivotButton="0" quotePrefix="0" xfId="0"/>
    <xf numFmtId="165" fontId="5" fillId="0" borderId="1" pivotButton="0" quotePrefix="0" xfId="0"/>
    <xf numFmtId="0" fontId="0" fillId="6" borderId="0" pivotButton="0" quotePrefix="0" xfId="0"/>
    <xf numFmtId="0" fontId="0" fillId="2" borderId="0" pivotButton="0" quotePrefix="0" xfId="0"/>
    <xf numFmtId="0" fontId="7" fillId="2" borderId="0" pivotButton="0" quotePrefix="0" xfId="0"/>
    <xf numFmtId="0" fontId="8" fillId="0" borderId="0" pivotButton="0" quotePrefix="0" xfId="0"/>
    <xf numFmtId="166" fontId="0" fillId="0" borderId="0" pivotButton="0" quotePrefix="0" xfId="0"/>
    <xf numFmtId="166" fontId="9" fillId="0" borderId="0" pivotButton="0" quotePrefix="0" xfId="0"/>
    <xf numFmtId="0" fontId="3" fillId="0" borderId="0" pivotButton="0" quotePrefix="0" xfId="0"/>
    <xf numFmtId="166" fontId="3" fillId="0" borderId="0" pivotButton="0" quotePrefix="0" xfId="0"/>
    <xf numFmtId="0" fontId="9" fillId="0" borderId="0" pivotButton="0" quotePrefix="0" xfId="0"/>
    <xf numFmtId="0" fontId="10" fillId="0" borderId="0" pivotButton="0" quotePrefix="0" xfId="0"/>
    <xf numFmtId="0" fontId="11" fillId="2" borderId="0" pivotButton="0" quotePrefix="0" xfId="0"/>
    <xf numFmtId="0" fontId="0" fillId="7" borderId="0" pivotButton="0" quotePrefix="0" xfId="0"/>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3"/>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PO-211-06504032894070385</t>
        </is>
      </c>
      <c r="D2" s="2" t="inlineStr">
        <is>
          <t>2024-07-22</t>
        </is>
      </c>
      <c r="E2" s="2" t="inlineStr">
        <is>
          <t>Other Not knitted or crocheted, of cotton</t>
        </is>
      </c>
      <c r="F2" s="2" t="inlineStr">
        <is>
          <t>63049290</t>
        </is>
      </c>
      <c r="G2" s="2" t="n"/>
      <c r="H2" s="2" t="n"/>
      <c r="I2" s="2" t="inlineStr">
        <is>
          <t>TEMU-1</t>
        </is>
      </c>
      <c r="J2" s="2" t="inlineStr">
        <is>
          <t>Sunflower Throw Pillow Covers Set of 4, Summer Outdoor Yellow Sunflowers Flor...</t>
        </is>
      </c>
      <c r="K2" s="2" t="n">
        <v>1</v>
      </c>
      <c r="L2" s="2" t="n"/>
      <c r="M2" s="2" t="n"/>
      <c r="N2" s="2" t="inlineStr">
        <is>
          <t>USD</t>
        </is>
      </c>
      <c r="O2" s="3" t="n">
        <v>14.98</v>
      </c>
      <c r="P2" s="3" t="n">
        <v>14.98</v>
      </c>
      <c r="Q2" s="4">
        <f>O2*K2</f>
        <v/>
      </c>
      <c r="R2" s="4">
        <f>P2-Q2</f>
        <v/>
      </c>
      <c r="S2" s="4" t="n">
        <v>19.02</v>
      </c>
      <c r="T2" s="4" t="n">
        <v>2.99</v>
      </c>
      <c r="U2" s="4" t="n">
        <v>0</v>
      </c>
      <c r="V2" s="4" t="n">
        <v>1.05</v>
      </c>
      <c r="W2" s="4" t="n">
        <v>0</v>
      </c>
      <c r="X2" s="2" t="n">
        <v>1</v>
      </c>
      <c r="Y2" s="2" t="n"/>
      <c r="Z2" s="2" t="inlineStr">
        <is>
          <t>TEMU</t>
        </is>
      </c>
      <c r="AA2" s="2" t="inlineStr">
        <is>
          <t>TEMU</t>
        </is>
      </c>
      <c r="AB2" s="2" t="inlineStr">
        <is>
          <t>31 St. James Avenue, Suite 355, Boston, MA 02116</t>
        </is>
      </c>
      <c r="AC2" s="2" t="inlineStr">
        <is>
          <t>CN</t>
        </is>
      </c>
      <c r="AD2" s="2" t="n"/>
      <c r="AE2" s="2" t="n"/>
      <c r="AF2" s="2" t="n"/>
      <c r="AG2" s="2" t="n"/>
      <c r="AH2" s="2" t="n"/>
      <c r="AI2" s="2" t="n"/>
      <c r="AJ2" s="2" t="n"/>
      <c r="AK2" s="2" t="inlineStr">
        <is>
          <t>63049290</t>
        </is>
      </c>
    </row>
    <row r="3">
      <c r="A3" s="5" t="n"/>
      <c r="B3" s="5" t="n"/>
      <c r="C3" s="5" t="n"/>
      <c r="D3" s="5" t="n"/>
      <c r="E3" s="5" t="n"/>
      <c r="F3" s="5" t="n"/>
      <c r="G3" s="5" t="n"/>
      <c r="H3" s="5" t="n"/>
      <c r="I3" s="5" t="n"/>
      <c r="J3" s="5" t="inlineStr">
        <is>
          <t>SUBTOTAL</t>
        </is>
      </c>
      <c r="K3" s="5" t="n"/>
      <c r="L3" s="5" t="n"/>
      <c r="M3" s="5" t="n"/>
      <c r="N3" s="5" t="n"/>
      <c r="O3" s="5" t="n"/>
      <c r="P3" s="6">
        <f>P2</f>
        <v/>
      </c>
      <c r="Q3" s="5" t="n"/>
      <c r="R3" s="5" t="n"/>
      <c r="S3" s="5" t="n"/>
      <c r="T3" s="5" t="n"/>
      <c r="U3" s="5" t="n"/>
      <c r="V3" s="5" t="n"/>
      <c r="W3" s="5" t="n"/>
      <c r="X3" s="5" t="n"/>
      <c r="Y3" s="5" t="n"/>
      <c r="Z3" s="5" t="n"/>
      <c r="AA3" s="5" t="n"/>
      <c r="AB3" s="5" t="n"/>
      <c r="AC3" s="5" t="n"/>
      <c r="AD3" s="5" t="n"/>
      <c r="AE3" s="5" t="n"/>
      <c r="AF3" s="5" t="n"/>
      <c r="AG3" s="5" t="n"/>
      <c r="AH3" s="5" t="n"/>
      <c r="AI3" s="5" t="n"/>
      <c r="AJ3" s="5" t="n"/>
      <c r="AK3" s="5" t="n"/>
    </row>
    <row r="4">
      <c r="A4" s="5" t="n"/>
      <c r="B4" s="5" t="n"/>
      <c r="C4" s="5" t="n"/>
      <c r="D4" s="5" t="n"/>
      <c r="E4" s="5" t="n"/>
      <c r="F4" s="5" t="n"/>
      <c r="G4" s="5" t="n"/>
      <c r="H4" s="5" t="n"/>
      <c r="I4" s="5" t="n"/>
      <c r="J4" s="5" t="inlineStr">
        <is>
          <t>ADJUSTMENTS</t>
        </is>
      </c>
      <c r="K4" s="5" t="n"/>
      <c r="L4" s="5" t="n"/>
      <c r="M4" s="5" t="n"/>
      <c r="N4" s="5" t="n"/>
      <c r="O4" s="5" t="n"/>
      <c r="P4" s="6">
        <f>(T2+U2+V2-W2)</f>
        <v/>
      </c>
      <c r="Q4" s="5" t="n"/>
      <c r="R4" s="5" t="n"/>
      <c r="S4" s="5" t="n"/>
      <c r="T4" s="5" t="n"/>
      <c r="U4" s="5" t="n"/>
      <c r="V4" s="5" t="n"/>
      <c r="W4" s="5" t="n"/>
      <c r="X4" s="5" t="n"/>
      <c r="Y4" s="5" t="n"/>
      <c r="Z4" s="5" t="n"/>
      <c r="AA4" s="5" t="n"/>
      <c r="AB4" s="5" t="n"/>
      <c r="AC4" s="5" t="n"/>
      <c r="AD4" s="5" t="n"/>
      <c r="AE4" s="5" t="n"/>
      <c r="AF4" s="5" t="n"/>
      <c r="AG4" s="5" t="n"/>
      <c r="AH4" s="5" t="n"/>
      <c r="AI4" s="5" t="n"/>
      <c r="AJ4" s="5" t="n"/>
      <c r="AK4" s="5" t="n"/>
    </row>
    <row r="5">
      <c r="A5" s="5" t="n"/>
      <c r="B5" s="5" t="n"/>
      <c r="C5" s="5" t="n"/>
      <c r="D5" s="5" t="n"/>
      <c r="E5" s="5" t="n"/>
      <c r="F5" s="5" t="n"/>
      <c r="G5" s="5" t="n"/>
      <c r="H5" s="5" t="n"/>
      <c r="I5" s="5" t="n"/>
      <c r="J5" s="5" t="inlineStr">
        <is>
          <t>NET TOTAL</t>
        </is>
      </c>
      <c r="K5" s="5" t="n"/>
      <c r="L5" s="5" t="n"/>
      <c r="M5" s="5" t="n"/>
      <c r="N5" s="5" t="n"/>
      <c r="O5" s="5" t="n"/>
      <c r="P5" s="6">
        <f>(P3+P4)</f>
        <v/>
      </c>
      <c r="Q5" s="5" t="n"/>
      <c r="R5" s="5" t="n"/>
      <c r="S5" s="5" t="n"/>
      <c r="T5" s="5" t="n"/>
      <c r="U5" s="5" t="n"/>
      <c r="V5" s="5" t="n"/>
      <c r="W5" s="5" t="n"/>
      <c r="X5" s="5" t="n"/>
      <c r="Y5" s="5" t="n"/>
      <c r="Z5" s="5" t="n"/>
      <c r="AA5" s="5" t="n"/>
      <c r="AB5" s="5" t="n"/>
      <c r="AC5" s="5" t="n"/>
      <c r="AD5" s="5" t="n"/>
      <c r="AE5" s="5" t="n"/>
      <c r="AF5" s="5" t="n"/>
      <c r="AG5" s="5" t="n"/>
      <c r="AH5" s="5" t="n"/>
      <c r="AI5" s="5" t="n"/>
      <c r="AJ5" s="5" t="n"/>
      <c r="AK5" s="5" t="n"/>
    </row>
    <row r="6">
      <c r="A6" s="5" t="n"/>
      <c r="B6" s="5" t="n"/>
      <c r="C6" s="5" t="n"/>
      <c r="D6" s="5" t="n"/>
      <c r="E6" s="5" t="n"/>
      <c r="F6" s="5" t="n"/>
      <c r="G6" s="5" t="n"/>
      <c r="H6" s="5" t="n"/>
      <c r="I6" s="5" t="n"/>
      <c r="J6" s="5" t="inlineStr">
        <is>
          <t>VARIANCE CHECK</t>
        </is>
      </c>
      <c r="K6" s="5" t="n"/>
      <c r="L6" s="5" t="n"/>
      <c r="M6" s="5" t="n"/>
      <c r="N6" s="5" t="n"/>
      <c r="O6" s="5" t="n"/>
      <c r="P6" s="6">
        <f>(S2-P5)</f>
        <v/>
      </c>
      <c r="Q6" s="5" t="n"/>
      <c r="R6" s="5" t="n"/>
      <c r="S6" s="5" t="n"/>
      <c r="T6" s="5" t="n"/>
      <c r="U6" s="5" t="n"/>
      <c r="V6" s="5" t="n"/>
      <c r="W6" s="5" t="n"/>
      <c r="X6" s="5" t="n"/>
      <c r="Y6" s="5" t="n"/>
      <c r="Z6" s="5" t="n"/>
      <c r="AA6" s="5" t="n"/>
      <c r="AB6" s="5" t="n"/>
      <c r="AC6" s="5" t="n"/>
      <c r="AD6" s="5" t="n"/>
      <c r="AE6" s="5" t="n"/>
      <c r="AF6" s="5" t="n"/>
      <c r="AG6" s="5" t="n"/>
      <c r="AH6" s="5" t="n"/>
      <c r="AI6" s="5" t="n"/>
      <c r="AJ6" s="5" t="n"/>
      <c r="AK6" s="5" t="n"/>
    </row>
    <row r="7"/>
    <row r="8">
      <c r="A8" s="7" t="n"/>
      <c r="B8" s="7" t="n"/>
      <c r="C8" s="7" t="n"/>
      <c r="D8" s="7" t="n"/>
      <c r="E8" s="7" t="n"/>
      <c r="F8" s="7" t="n"/>
      <c r="G8" s="7" t="n"/>
      <c r="H8" s="7" t="n"/>
      <c r="I8" s="7" t="n"/>
      <c r="J8" s="8" t="inlineStr">
        <is>
          <t>INVOICE NOTES: Orphan price $14.98 recovered from OCR text (description: Sunflower Throw Pillow Covers Set of 4, Summer Outdoor Yello...)</t>
        </is>
      </c>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row>
    <row r="9"/>
    <row r="10">
      <c r="A10" s="9" t="n"/>
      <c r="B10" s="9" t="n"/>
      <c r="C10" s="9" t="n"/>
      <c r="D10" s="9" t="n"/>
      <c r="E10" s="9" t="n"/>
      <c r="F10" s="9" t="n"/>
      <c r="G10" s="9" t="n"/>
      <c r="H10" s="9" t="n"/>
      <c r="I10" s="9" t="n"/>
      <c r="J10" s="9" t="inlineStr">
        <is>
          <t>DUTY ESTIMATION (Classification Cross-Check)</t>
        </is>
      </c>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row>
    <row r="11">
      <c r="A11" s="10" t="n"/>
      <c r="B11" s="10" t="n"/>
      <c r="C11" s="10" t="n"/>
      <c r="D11" s="10" t="n"/>
      <c r="E11" s="10" t="n"/>
      <c r="F11" s="10" t="n"/>
      <c r="G11" s="10" t="n"/>
      <c r="H11" s="10" t="n"/>
      <c r="I11" s="10" t="n"/>
      <c r="J11" s="11" t="inlineStr">
        <is>
          <t>CIF (USD) = InvTotal + Freight + Insurance</t>
        </is>
      </c>
      <c r="K11" s="10" t="n"/>
      <c r="L11" s="10" t="n"/>
      <c r="M11" s="10" t="n"/>
      <c r="N11" s="10" t="n"/>
      <c r="O11" s="10" t="n"/>
      <c r="P11" s="12" t="n">
        <v>19.02</v>
      </c>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row>
    <row r="12">
      <c r="A12" s="10" t="n"/>
      <c r="B12" s="10" t="n"/>
      <c r="C12" s="10" t="n"/>
      <c r="D12" s="10" t="n"/>
      <c r="E12" s="10" t="n"/>
      <c r="F12" s="10" t="n"/>
      <c r="G12" s="10" t="n"/>
      <c r="H12" s="10" t="n"/>
      <c r="I12" s="10" t="n"/>
      <c r="J12" s="11" t="inlineStr">
        <is>
          <t>CIF (XCD) = CIF × 2.7169</t>
        </is>
      </c>
      <c r="K12" s="10" t="n"/>
      <c r="L12" s="10" t="n"/>
      <c r="M12" s="10" t="n"/>
      <c r="N12" s="10" t="n"/>
      <c r="O12" s="10" t="n"/>
      <c r="P12" s="12" t="n">
        <v>51.68</v>
      </c>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row>
    <row r="13">
      <c r="A13" s="10" t="n"/>
      <c r="B13" s="10" t="n"/>
      <c r="C13" s="10" t="n"/>
      <c r="D13" s="10" t="n"/>
      <c r="E13" s="10" t="n"/>
      <c r="F13" s="10" t="n"/>
      <c r="G13" s="10" t="n"/>
      <c r="H13" s="10" t="n"/>
      <c r="I13" s="10" t="n"/>
      <c r="J13" s="11" t="inlineStr">
        <is>
          <t>CET (20%) — Tariff 63049290</t>
        </is>
      </c>
      <c r="K13" s="10" t="n"/>
      <c r="L13" s="10" t="n"/>
      <c r="M13" s="10" t="n"/>
      <c r="N13" s="10" t="n"/>
      <c r="O13" s="10" t="n"/>
      <c r="P13" s="12" t="n">
        <v>10.34</v>
      </c>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row>
    <row r="14">
      <c r="A14" s="10" t="n"/>
      <c r="B14" s="10" t="n"/>
      <c r="C14" s="10" t="n"/>
      <c r="D14" s="10" t="n"/>
      <c r="E14" s="10" t="n"/>
      <c r="F14" s="10" t="n"/>
      <c r="G14" s="10" t="n"/>
      <c r="H14" s="10" t="n"/>
      <c r="I14" s="10" t="n"/>
      <c r="J14" s="11" t="inlineStr">
        <is>
          <t>CSC (6%)</t>
        </is>
      </c>
      <c r="K14" s="10" t="n"/>
      <c r="L14" s="10" t="n"/>
      <c r="M14" s="10" t="n"/>
      <c r="N14" s="10" t="n"/>
      <c r="O14" s="10" t="n"/>
      <c r="P14" s="12" t="n">
        <v>3.1</v>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row>
    <row r="15">
      <c r="A15" s="10" t="n"/>
      <c r="B15" s="10" t="n"/>
      <c r="C15" s="10" t="n"/>
      <c r="D15" s="10" t="n"/>
      <c r="E15" s="10" t="n"/>
      <c r="F15" s="10" t="n"/>
      <c r="G15" s="10" t="n"/>
      <c r="H15" s="10" t="n"/>
      <c r="I15" s="10" t="n"/>
      <c r="J15" s="11" t="inlineStr">
        <is>
          <t>VAT (15%) on CIF+CET+CSC</t>
        </is>
      </c>
      <c r="K15" s="10" t="n"/>
      <c r="L15" s="10" t="n"/>
      <c r="M15" s="10" t="n"/>
      <c r="N15" s="10" t="n"/>
      <c r="O15" s="10" t="n"/>
      <c r="P15" s="12" t="n">
        <v>9.77</v>
      </c>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row>
    <row r="16">
      <c r="A16" s="13" t="n"/>
      <c r="B16" s="13" t="n"/>
      <c r="C16" s="13" t="n"/>
      <c r="D16" s="13" t="n"/>
      <c r="E16" s="13" t="n"/>
      <c r="F16" s="13" t="n"/>
      <c r="G16" s="13" t="n"/>
      <c r="H16" s="13" t="n"/>
      <c r="I16" s="13" t="n"/>
      <c r="J16" s="9" t="inlineStr">
        <is>
          <t>ESTIMATED TOTAL DUTIES</t>
        </is>
      </c>
      <c r="K16" s="13" t="n"/>
      <c r="L16" s="13" t="n"/>
      <c r="M16" s="13" t="n"/>
      <c r="N16" s="13" t="n"/>
      <c r="O16" s="13" t="n"/>
      <c r="P16" s="14" t="n">
        <v>23.21</v>
      </c>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row>
    <row r="17">
      <c r="A17" s="10" t="n"/>
      <c r="B17" s="10" t="n"/>
      <c r="C17" s="10" t="n"/>
      <c r="D17" s="10" t="n"/>
      <c r="E17" s="10" t="n"/>
      <c r="F17" s="10" t="n"/>
      <c r="G17" s="10" t="n"/>
      <c r="H17" s="10" t="n"/>
      <c r="I17" s="10" t="n"/>
      <c r="J17" s="11" t="inlineStr">
        <is>
          <t>Effective Duty Rate</t>
        </is>
      </c>
      <c r="K17" s="10" t="n"/>
      <c r="L17" s="10" t="n"/>
      <c r="M17" s="10" t="n"/>
      <c r="N17" s="10" t="n"/>
      <c r="O17" s="10" t="n"/>
      <c r="P17" s="15" t="n">
        <v>0.4491099071207431</v>
      </c>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row>
    <row r="18">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c r="AI18" s="16" t="n"/>
      <c r="AJ18" s="16" t="n"/>
      <c r="AK18" s="16" t="n"/>
    </row>
    <row r="19">
      <c r="A19" s="2" t="inlineStr">
        <is>
          <t>4000-000</t>
        </is>
      </c>
      <c r="B19" s="2" t="n"/>
      <c r="C19" s="2" t="inlineStr">
        <is>
          <t>PO-211-06504032894070385</t>
        </is>
      </c>
      <c r="D19" s="2" t="inlineStr">
        <is>
          <t>2024-07-22</t>
        </is>
      </c>
      <c r="E19" s="2" t="inlineStr">
        <is>
          <t>Other Not knitted or crocheted, of cotton</t>
        </is>
      </c>
      <c r="F19" s="2" t="inlineStr">
        <is>
          <t>63049290</t>
        </is>
      </c>
      <c r="G19" s="2" t="n"/>
      <c r="H19" s="2" t="n"/>
      <c r="I19" s="2" t="inlineStr">
        <is>
          <t>TEMU-1</t>
        </is>
      </c>
      <c r="J19" s="2" t="inlineStr">
        <is>
          <t>Sunflower Throw Pillow Covers Set of 4, Summer Outdoor Yellow Sunflowers Flor...</t>
        </is>
      </c>
      <c r="K19" s="2" t="n">
        <v>1</v>
      </c>
      <c r="L19" s="2" t="n"/>
      <c r="M19" s="2" t="n"/>
      <c r="N19" s="2" t="inlineStr">
        <is>
          <t>USD</t>
        </is>
      </c>
      <c r="O19" s="3" t="n">
        <v>14.98</v>
      </c>
      <c r="P19" s="3" t="n">
        <v>14.98</v>
      </c>
      <c r="Q19" s="4">
        <f>O19*K19</f>
        <v/>
      </c>
      <c r="R19" s="4">
        <f>P19-Q19</f>
        <v/>
      </c>
      <c r="S19" s="4" t="n">
        <v>19.02</v>
      </c>
      <c r="T19" s="4" t="n">
        <v>2.99</v>
      </c>
      <c r="U19" s="4" t="n">
        <v>0</v>
      </c>
      <c r="V19" s="4" t="n">
        <v>1.05</v>
      </c>
      <c r="W19" s="4" t="n">
        <v>0</v>
      </c>
      <c r="X19" s="2" t="n"/>
      <c r="Y19" s="2" t="n"/>
      <c r="Z19" s="2" t="inlineStr">
        <is>
          <t>TEMU</t>
        </is>
      </c>
      <c r="AA19" s="2" t="inlineStr">
        <is>
          <t>TEMU</t>
        </is>
      </c>
      <c r="AB19" s="2" t="inlineStr">
        <is>
          <t>31 St. James Avenue, Suite 355, Boston, MA 02116</t>
        </is>
      </c>
      <c r="AC19" s="2" t="inlineStr">
        <is>
          <t>CN</t>
        </is>
      </c>
      <c r="AD19" s="2" t="n"/>
      <c r="AE19" s="2" t="n"/>
      <c r="AF19" s="2" t="n"/>
      <c r="AG19" s="2" t="n"/>
      <c r="AH19" s="2" t="n"/>
      <c r="AI19" s="2" t="n"/>
      <c r="AJ19" s="2" t="n"/>
      <c r="AK19" s="2" t="inlineStr">
        <is>
          <t>63049290</t>
        </is>
      </c>
    </row>
    <row r="20">
      <c r="A20" s="5" t="n"/>
      <c r="B20" s="5" t="n"/>
      <c r="C20" s="5" t="n"/>
      <c r="D20" s="5" t="n"/>
      <c r="E20" s="5" t="n"/>
      <c r="F20" s="5" t="n"/>
      <c r="G20" s="5" t="n"/>
      <c r="H20" s="5" t="n"/>
      <c r="I20" s="5" t="n"/>
      <c r="J20" s="5" t="inlineStr">
        <is>
          <t>SUBTOTAL</t>
        </is>
      </c>
      <c r="K20" s="5" t="n"/>
      <c r="L20" s="5" t="n"/>
      <c r="M20" s="5" t="n"/>
      <c r="N20" s="5" t="n"/>
      <c r="O20" s="5" t="n"/>
      <c r="P20" s="6">
        <f>P19</f>
        <v/>
      </c>
      <c r="Q20" s="5" t="n"/>
      <c r="R20" s="5" t="n"/>
      <c r="S20" s="5" t="n"/>
      <c r="T20" s="5" t="n"/>
      <c r="U20" s="5" t="n"/>
      <c r="V20" s="5" t="n"/>
      <c r="W20" s="5" t="n"/>
      <c r="X20" s="5" t="n"/>
      <c r="Y20" s="5" t="n"/>
      <c r="Z20" s="5" t="n"/>
      <c r="AA20" s="5" t="n"/>
      <c r="AB20" s="5" t="n"/>
      <c r="AC20" s="5" t="n"/>
      <c r="AD20" s="5" t="n"/>
      <c r="AE20" s="5" t="n"/>
      <c r="AF20" s="5" t="n"/>
      <c r="AG20" s="5" t="n"/>
      <c r="AH20" s="5" t="n"/>
      <c r="AI20" s="5" t="n"/>
      <c r="AJ20" s="5" t="n"/>
      <c r="AK20" s="5" t="n"/>
    </row>
    <row r="21">
      <c r="A21" s="5" t="n"/>
      <c r="B21" s="5" t="n"/>
      <c r="C21" s="5" t="n"/>
      <c r="D21" s="5" t="n"/>
      <c r="E21" s="5" t="n"/>
      <c r="F21" s="5" t="n"/>
      <c r="G21" s="5" t="n"/>
      <c r="H21" s="5" t="n"/>
      <c r="I21" s="5" t="n"/>
      <c r="J21" s="5" t="inlineStr">
        <is>
          <t>ADJUSTMENTS</t>
        </is>
      </c>
      <c r="K21" s="5" t="n"/>
      <c r="L21" s="5" t="n"/>
      <c r="M21" s="5" t="n"/>
      <c r="N21" s="5" t="n"/>
      <c r="O21" s="5" t="n"/>
      <c r="P21" s="6">
        <f>(T19+U19+V19-W19)</f>
        <v/>
      </c>
      <c r="Q21" s="5" t="n"/>
      <c r="R21" s="5" t="n"/>
      <c r="S21" s="5" t="n"/>
      <c r="T21" s="5" t="n"/>
      <c r="U21" s="5" t="n"/>
      <c r="V21" s="5" t="n"/>
      <c r="W21" s="5" t="n"/>
      <c r="X21" s="5" t="n"/>
      <c r="Y21" s="5" t="n"/>
      <c r="Z21" s="5" t="n"/>
      <c r="AA21" s="5" t="n"/>
      <c r="AB21" s="5" t="n"/>
      <c r="AC21" s="5" t="n"/>
      <c r="AD21" s="5" t="n"/>
      <c r="AE21" s="5" t="n"/>
      <c r="AF21" s="5" t="n"/>
      <c r="AG21" s="5" t="n"/>
      <c r="AH21" s="5" t="n"/>
      <c r="AI21" s="5" t="n"/>
      <c r="AJ21" s="5" t="n"/>
      <c r="AK21" s="5" t="n"/>
    </row>
    <row r="22">
      <c r="A22" s="5" t="n"/>
      <c r="B22" s="5" t="n"/>
      <c r="C22" s="5" t="n"/>
      <c r="D22" s="5" t="n"/>
      <c r="E22" s="5" t="n"/>
      <c r="F22" s="5" t="n"/>
      <c r="G22" s="5" t="n"/>
      <c r="H22" s="5" t="n"/>
      <c r="I22" s="5" t="n"/>
      <c r="J22" s="5" t="inlineStr">
        <is>
          <t>NET TOTAL</t>
        </is>
      </c>
      <c r="K22" s="5" t="n"/>
      <c r="L22" s="5" t="n"/>
      <c r="M22" s="5" t="n"/>
      <c r="N22" s="5" t="n"/>
      <c r="O22" s="5" t="n"/>
      <c r="P22" s="6">
        <f>(P20+P21)</f>
        <v/>
      </c>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row>
    <row r="23">
      <c r="A23" s="5" t="n"/>
      <c r="B23" s="5" t="n"/>
      <c r="C23" s="5" t="n"/>
      <c r="D23" s="5" t="n"/>
      <c r="E23" s="5" t="n"/>
      <c r="F23" s="5" t="n"/>
      <c r="G23" s="5" t="n"/>
      <c r="H23" s="5" t="n"/>
      <c r="I23" s="5" t="n"/>
      <c r="J23" s="5" t="inlineStr">
        <is>
          <t>VARIANCE CHECK</t>
        </is>
      </c>
      <c r="K23" s="5" t="n"/>
      <c r="L23" s="5" t="n"/>
      <c r="M23" s="5" t="n"/>
      <c r="N23" s="5" t="n"/>
      <c r="O23" s="5" t="n"/>
      <c r="P23" s="6">
        <f>(S19-P22)</f>
        <v/>
      </c>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row>
    <row r="24"/>
    <row r="25">
      <c r="A25" s="7" t="n"/>
      <c r="B25" s="7" t="n"/>
      <c r="C25" s="7" t="n"/>
      <c r="D25" s="7" t="n"/>
      <c r="E25" s="7" t="n"/>
      <c r="F25" s="7" t="n"/>
      <c r="G25" s="7" t="n"/>
      <c r="H25" s="7" t="n"/>
      <c r="I25" s="7" t="n"/>
      <c r="J25" s="8" t="inlineStr">
        <is>
          <t>INVOICE NOTES: Orphan price $14.98 recovered from OCR text (description: Sunflower Throw Pillow Covers Set of 4, Summer Outdoor Yello...)</t>
        </is>
      </c>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row>
    <row r="26"/>
    <row r="27">
      <c r="A27" s="9" t="n"/>
      <c r="B27" s="9" t="n"/>
      <c r="C27" s="9" t="n"/>
      <c r="D27" s="9" t="n"/>
      <c r="E27" s="9" t="n"/>
      <c r="F27" s="9" t="n"/>
      <c r="G27" s="9" t="n"/>
      <c r="H27" s="9" t="n"/>
      <c r="I27" s="9" t="n"/>
      <c r="J27" s="9" t="inlineStr">
        <is>
          <t>DUTY ESTIMATION (Classification Cross-Check)</t>
        </is>
      </c>
      <c r="K27" s="9" t="n"/>
      <c r="L27" s="9" t="n"/>
      <c r="M27" s="9" t="n"/>
      <c r="N27" s="9" t="n"/>
      <c r="O27" s="9" t="n"/>
      <c r="P27" s="9" t="n"/>
      <c r="Q27" s="9" t="n"/>
      <c r="R27" s="9" t="n"/>
      <c r="S27" s="9" t="n"/>
      <c r="T27" s="9" t="n"/>
      <c r="U27" s="9" t="n"/>
      <c r="V27" s="9" t="n"/>
      <c r="W27" s="9" t="n"/>
      <c r="X27" s="9" t="n"/>
      <c r="Y27" s="9" t="n"/>
      <c r="Z27" s="9" t="n"/>
      <c r="AA27" s="9" t="n"/>
      <c r="AB27" s="9" t="n"/>
      <c r="AC27" s="9" t="n"/>
      <c r="AD27" s="9" t="n"/>
      <c r="AE27" s="9" t="n"/>
      <c r="AF27" s="9" t="n"/>
      <c r="AG27" s="9" t="n"/>
      <c r="AH27" s="9" t="n"/>
      <c r="AI27" s="9" t="n"/>
      <c r="AJ27" s="9" t="n"/>
      <c r="AK27" s="9" t="n"/>
    </row>
    <row r="28">
      <c r="A28" s="10" t="n"/>
      <c r="B28" s="10" t="n"/>
      <c r="C28" s="10" t="n"/>
      <c r="D28" s="10" t="n"/>
      <c r="E28" s="10" t="n"/>
      <c r="F28" s="10" t="n"/>
      <c r="G28" s="10" t="n"/>
      <c r="H28" s="10" t="n"/>
      <c r="I28" s="10" t="n"/>
      <c r="J28" s="11" t="inlineStr">
        <is>
          <t>CIF (USD) = InvTotal + Freight + Insurance</t>
        </is>
      </c>
      <c r="K28" s="10" t="n"/>
      <c r="L28" s="10" t="n"/>
      <c r="M28" s="10" t="n"/>
      <c r="N28" s="10" t="n"/>
      <c r="O28" s="10" t="n"/>
      <c r="P28" s="12" t="n">
        <v>19.02</v>
      </c>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row>
    <row r="29">
      <c r="A29" s="10" t="n"/>
      <c r="B29" s="10" t="n"/>
      <c r="C29" s="10" t="n"/>
      <c r="D29" s="10" t="n"/>
      <c r="E29" s="10" t="n"/>
      <c r="F29" s="10" t="n"/>
      <c r="G29" s="10" t="n"/>
      <c r="H29" s="10" t="n"/>
      <c r="I29" s="10" t="n"/>
      <c r="J29" s="11" t="inlineStr">
        <is>
          <t>CIF (XCD) = CIF × 2.7169</t>
        </is>
      </c>
      <c r="K29" s="10" t="n"/>
      <c r="L29" s="10" t="n"/>
      <c r="M29" s="10" t="n"/>
      <c r="N29" s="10" t="n"/>
      <c r="O29" s="10" t="n"/>
      <c r="P29" s="12" t="n">
        <v>51.68</v>
      </c>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row>
    <row r="30">
      <c r="A30" s="10" t="n"/>
      <c r="B30" s="10" t="n"/>
      <c r="C30" s="10" t="n"/>
      <c r="D30" s="10" t="n"/>
      <c r="E30" s="10" t="n"/>
      <c r="F30" s="10" t="n"/>
      <c r="G30" s="10" t="n"/>
      <c r="H30" s="10" t="n"/>
      <c r="I30" s="10" t="n"/>
      <c r="J30" s="11" t="inlineStr">
        <is>
          <t>CET (20%) — Tariff 63049290</t>
        </is>
      </c>
      <c r="K30" s="10" t="n"/>
      <c r="L30" s="10" t="n"/>
      <c r="M30" s="10" t="n"/>
      <c r="N30" s="10" t="n"/>
      <c r="O30" s="10" t="n"/>
      <c r="P30" s="12" t="n">
        <v>10.34</v>
      </c>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row>
    <row r="31">
      <c r="A31" s="10" t="n"/>
      <c r="B31" s="10" t="n"/>
      <c r="C31" s="10" t="n"/>
      <c r="D31" s="10" t="n"/>
      <c r="E31" s="10" t="n"/>
      <c r="F31" s="10" t="n"/>
      <c r="G31" s="10" t="n"/>
      <c r="H31" s="10" t="n"/>
      <c r="I31" s="10" t="n"/>
      <c r="J31" s="11" t="inlineStr">
        <is>
          <t>CSC (6%)</t>
        </is>
      </c>
      <c r="K31" s="10" t="n"/>
      <c r="L31" s="10" t="n"/>
      <c r="M31" s="10" t="n"/>
      <c r="N31" s="10" t="n"/>
      <c r="O31" s="10" t="n"/>
      <c r="P31" s="12" t="n">
        <v>3.1</v>
      </c>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row>
    <row r="32">
      <c r="A32" s="10" t="n"/>
      <c r="B32" s="10" t="n"/>
      <c r="C32" s="10" t="n"/>
      <c r="D32" s="10" t="n"/>
      <c r="E32" s="10" t="n"/>
      <c r="F32" s="10" t="n"/>
      <c r="G32" s="10" t="n"/>
      <c r="H32" s="10" t="n"/>
      <c r="I32" s="10" t="n"/>
      <c r="J32" s="11" t="inlineStr">
        <is>
          <t>VAT (15%) on CIF+CET+CSC</t>
        </is>
      </c>
      <c r="K32" s="10" t="n"/>
      <c r="L32" s="10" t="n"/>
      <c r="M32" s="10" t="n"/>
      <c r="N32" s="10" t="n"/>
      <c r="O32" s="10" t="n"/>
      <c r="P32" s="12" t="n">
        <v>9.77</v>
      </c>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row>
    <row r="33">
      <c r="A33" s="13" t="n"/>
      <c r="B33" s="13" t="n"/>
      <c r="C33" s="13" t="n"/>
      <c r="D33" s="13" t="n"/>
      <c r="E33" s="13" t="n"/>
      <c r="F33" s="13" t="n"/>
      <c r="G33" s="13" t="n"/>
      <c r="H33" s="13" t="n"/>
      <c r="I33" s="13" t="n"/>
      <c r="J33" s="9" t="inlineStr">
        <is>
          <t>ESTIMATED TOTAL DUTIES</t>
        </is>
      </c>
      <c r="K33" s="13" t="n"/>
      <c r="L33" s="13" t="n"/>
      <c r="M33" s="13" t="n"/>
      <c r="N33" s="13" t="n"/>
      <c r="O33" s="13" t="n"/>
      <c r="P33" s="14" t="n">
        <v>23.21</v>
      </c>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row>
    <row r="34">
      <c r="A34" s="10" t="n"/>
      <c r="B34" s="10" t="n"/>
      <c r="C34" s="10" t="n"/>
      <c r="D34" s="10" t="n"/>
      <c r="E34" s="10" t="n"/>
      <c r="F34" s="10" t="n"/>
      <c r="G34" s="10" t="n"/>
      <c r="H34" s="10" t="n"/>
      <c r="I34" s="10" t="n"/>
      <c r="J34" s="11" t="inlineStr">
        <is>
          <t>Effective Duty Rate</t>
        </is>
      </c>
      <c r="K34" s="10" t="n"/>
      <c r="L34" s="10" t="n"/>
      <c r="M34" s="10" t="n"/>
      <c r="N34" s="10" t="n"/>
      <c r="O34" s="10" t="n"/>
      <c r="P34" s="15" t="n">
        <v>0.4491099071207431</v>
      </c>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row>
    <row r="35"/>
    <row r="36">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c r="Z36" s="17" t="n"/>
      <c r="AA36" s="17" t="n"/>
      <c r="AB36" s="17" t="n"/>
      <c r="AC36" s="17" t="n"/>
      <c r="AD36" s="17" t="n"/>
      <c r="AE36" s="17" t="n"/>
      <c r="AF36" s="17" t="n"/>
      <c r="AG36" s="17" t="n"/>
      <c r="AH36" s="17" t="n"/>
      <c r="AI36" s="17" t="n"/>
      <c r="AJ36" s="17" t="n"/>
      <c r="AK36" s="17" t="n"/>
    </row>
    <row r="37">
      <c r="A37" s="17" t="n"/>
      <c r="B37" s="17" t="n"/>
      <c r="C37" s="17" t="n"/>
      <c r="D37" s="17" t="n"/>
      <c r="E37" s="17" t="n"/>
      <c r="F37" s="17" t="n"/>
      <c r="G37" s="17" t="n"/>
      <c r="H37" s="17" t="n"/>
      <c r="I37" s="17" t="n"/>
      <c r="J37" s="17" t="n"/>
      <c r="K37" s="17" t="n"/>
      <c r="L37" s="18" t="inlineStr">
        <is>
          <t>═══ COMBINED GRAND SUMMARY ═══</t>
        </is>
      </c>
      <c r="M37" s="17" t="n"/>
      <c r="N37" s="17" t="n"/>
      <c r="O37" s="17" t="n"/>
      <c r="P37" s="17" t="n"/>
      <c r="Q37" s="17" t="n"/>
      <c r="R37" s="17" t="n"/>
      <c r="S37" s="17" t="n"/>
      <c r="T37" s="17" t="n"/>
      <c r="U37" s="17" t="n"/>
      <c r="V37" s="17" t="n"/>
      <c r="W37" s="17" t="n"/>
      <c r="X37" s="17" t="n"/>
      <c r="Y37" s="17" t="n"/>
      <c r="Z37" s="17" t="n"/>
      <c r="AA37" s="17" t="n"/>
      <c r="AB37" s="17" t="n"/>
      <c r="AC37" s="17" t="n"/>
      <c r="AD37" s="17" t="n"/>
      <c r="AE37" s="17" t="n"/>
      <c r="AF37" s="17" t="n"/>
      <c r="AG37" s="17" t="n"/>
      <c r="AH37" s="17" t="n"/>
      <c r="AI37" s="17" t="n"/>
      <c r="AJ37" s="17" t="n"/>
      <c r="AK37" s="17" t="n"/>
    </row>
    <row r="38">
      <c r="L38" s="19" t="inlineStr">
        <is>
          <t>Invoice PO-211-06504032894070385</t>
        </is>
      </c>
      <c r="P38" s="20" t="n">
        <v>136.59</v>
      </c>
      <c r="Q38" s="21" t="n">
        <v>-117.57</v>
      </c>
    </row>
    <row r="39">
      <c r="L39" s="19" t="inlineStr">
        <is>
          <t>Invoice PO-211-06504032894070385</t>
        </is>
      </c>
      <c r="P39" s="20" t="n">
        <v>136.59</v>
      </c>
      <c r="Q39" s="21" t="n">
        <v>-117.57</v>
      </c>
    </row>
    <row r="40"/>
    <row r="41">
      <c r="L41" s="22" t="inlineStr">
        <is>
          <t>GRAND TOTAL</t>
        </is>
      </c>
      <c r="P41" s="23" t="n">
        <v>273.18</v>
      </c>
    </row>
    <row r="42">
      <c r="L42" s="24" t="inlineStr">
        <is>
          <t>GRAND VARIANCE CHECK</t>
        </is>
      </c>
      <c r="P42" s="21" t="n">
        <v>-235.14</v>
      </c>
    </row>
    <row r="43">
      <c r="L43" s="25" t="inlineStr">
        <is>
          <t>Combined 2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6" t="inlineStr">
        <is>
          <t>PDF File</t>
        </is>
      </c>
      <c r="B1" s="26" t="inlineStr">
        <is>
          <t>Quality Score</t>
        </is>
      </c>
      <c r="C1" s="26" t="inlineStr">
        <is>
          <t>Rating</t>
        </is>
      </c>
      <c r="D1" s="26" t="inlineStr">
        <is>
          <t>Details</t>
        </is>
      </c>
      <c r="E1" s="26" t="inlineStr">
        <is>
          <t>OCR Text (first 2000 chars)</t>
        </is>
      </c>
    </row>
    <row r="2">
      <c r="A2" s="27" t="inlineStr">
        <is>
          <t>PO-211-06504032894070385.pdf</t>
        </is>
      </c>
      <c r="B2" s="27" t="inlineStr">
        <is>
          <t>90/100</t>
        </is>
      </c>
      <c r="C2" s="27" t="inlineStr">
        <is>
          <t>GOOD</t>
        </is>
      </c>
      <c r="D2" s="27" t="inlineStr">
        <is>
          <t>Text: 1183 chars; Prices: 6 ($-sign), 4 (decimal); Total: $19.02; Invoice#: PO-211-06504032894070385; Real items: 1/1; Structure words: 5/12</t>
        </is>
      </c>
      <c r="E2" s="28" t="inlineStr">
        <is>
          <t>2024/07/24 10:13
TEMU
As we're committed to reducing our environmental impact, we have eliminated paper receipt.
Order Summary
Order ID:  PO-211-06504032894070385
Order time:  Jul 22, 2024
Item(s) total:  $14.98
Shipping:  $2.99
Sales tax:  $1.05
Order total:  $19.02
Shipping address
Samantha Mc Queen +1 (473)410-7654, 10813 NW 30TH ST, BLDG 115 GRE 9590, MIAMI, FL 33172, United States
Payment method
Your payment information is safe with us. Temu does not share your information with the sellers.
VISA  Visa ...5147  $19.02
Paid on Jul 22, 2024
Billing address: Samantha Mc Queen +1 (473)410-7654, 10813 NW 30TH ST, BLDG 115 GRE 9590, MIAMI, FL 33172, United States
Item details (1)
Sunflower Throw Pillow Covers Set of 4, Summer Outdoor Yellow Sunflowers Floral Throw Pillow Case For Sofa Bedroom Living Room Bed Couch Home Sweet Home Cushion Covers Decorative, 18 X 18 Inches
C:
By S East Home  $14.98
 1
Free returns within 90 days
Free returns are available for you.
1/2
1.You can return the item for any reason in new and unused condition; no shipping charges.
2.This item can be returned in its original condition for a full refund within 90 days of purchase.
2/2</t>
        </is>
      </c>
    </row>
    <row r="3">
      <c r="A3" s="27" t="inlineStr">
        <is>
          <t>PO-211-0650403289407038_Invoice.pdf</t>
        </is>
      </c>
      <c r="B3" s="27" t="inlineStr">
        <is>
          <t>90/100</t>
        </is>
      </c>
      <c r="C3" s="27" t="inlineStr">
        <is>
          <t>GOOD</t>
        </is>
      </c>
      <c r="D3" s="27" t="inlineStr">
        <is>
          <t>Text: 1181 chars; Prices: 6 ($-sign), 4 (decimal); Total: $19.02; Invoice#: PO-211-06504032894070385; Real items: 1/1; Structure words: 5/12</t>
        </is>
      </c>
      <c r="E3" s="28" t="inlineStr">
        <is>
          <t>2024/07/24 10:13
TEMU
As we're committed to reducing our environmental impact, we have eliminated paper receipt.
Order Summary
Order ID:  PO-211-06504032894070385
Order time:  Jul 22, 2024
Item(s) total:  $14.98
Shipping:  $2.99
Sales tax:  $1.05
Order total:  $19.02
Shipping address
Samantha Mc Queen +1 (473)410-7654, 10813 NW 30TH ST, BLDG 115 GRE 9590, MIAMI, FL 33172, United States
Payment method
Your payment information is safe with us. Temu does not share your information with the sellers.
VISA  Visa ...5147  $19.02
Paid on Jul 22, 2024
Billing address: Samantha Mc Queen +1 (473)410-7654, 10813 NW 30TH ST, BLDG 115 GRE 9590, MIAMI, FL 33172, United States
Item details (1)
Sunflower Throw Pillow Covers Set of 4, Summer Outdoor Yellow Sunflowers Floral Throw Pillow Case For Sofa Bedroom Living Room Bed Couch Home Sweet Home Cushion Covers Decorative, 18 X 18 Inches
By S East Home  $14.98  ×1
Free returns within 90 days
Free returns are available for you.
1/2
1.You can return the item for any reason in new and unused condition; no shipping charges.
2.This item can be returned in its original condition for a full refund within 90 days of purchase.
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2026-04-26T18:09:10Z</dcterms:created>
  <dcterms:modified xmlns:dcterms="http://purl.org/dc/terms/" xmlns:xsi="http://www.w3.org/2001/XMLSchema-instance" xsi:type="dcterms:W3CDTF">2026-04-26T18:09:11Z</dcterms:modified>
</cp:coreProperties>
</file>