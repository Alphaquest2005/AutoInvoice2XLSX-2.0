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1"/>
    </font>
    <font>
      <sz val="10"/>
    </font>
    <font>
      <b val="1"/>
      <color rgb="000000FF"/>
      <sz val="11"/>
    </font>
    <font>
      <b val="1"/>
      <color rgb="00FF0000"/>
      <sz val="11"/>
    </font>
    <font>
      <b val="1"/>
      <color rgb="009C5700"/>
      <sz val="11"/>
    </font>
    <font>
      <b val="1"/>
      <color rgb="001F4E79"/>
      <sz val="10"/>
    </font>
    <font>
      <color rgb="001F4E79"/>
      <sz val="10"/>
    </font>
    <font>
      <b val="1"/>
      <color rgb="00375623"/>
      <sz val="10"/>
    </font>
    <font>
      <color rgb="00808080"/>
      <sz val="10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EBCC"/>
        <bgColor rgb="00FFEBCC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pivotButton="0" quotePrefix="0" xfId="0"/>
    <xf numFmtId="4" fontId="2" fillId="3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1" pivotButton="0" quotePrefix="0" xfId="0"/>
    <xf numFmtId="4" fontId="5" fillId="0" borderId="1" pivotButton="0" quotePrefix="0" xfId="0"/>
    <xf numFmtId="0" fontId="0" fillId="4" borderId="1" pivotButton="0" quotePrefix="0" xfId="0"/>
    <xf numFmtId="0" fontId="6" fillId="4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8" fillId="0" borderId="1" pivotButton="0" quotePrefix="0" xfId="0"/>
    <xf numFmtId="164" fontId="7" fillId="0" borderId="1" pivotButton="0" quotePrefix="0" xfId="0"/>
    <xf numFmtId="0" fontId="0" fillId="5" borderId="1" pivotButton="0" quotePrefix="0" xfId="0"/>
    <xf numFmtId="164" fontId="7" fillId="5" borderId="1" pivotButton="0" quotePrefix="0" xfId="0"/>
    <xf numFmtId="165" fontId="7" fillId="0" borderId="1" pivotButton="0" quotePrefix="0" xfId="0"/>
    <xf numFmtId="0" fontId="9" fillId="6" borderId="1" pivotButton="0" quotePrefix="0" xfId="0"/>
    <xf numFmtId="4" fontId="9" fillId="6" borderId="1" pivotButton="0" quotePrefix="0" xfId="0"/>
    <xf numFmtId="0" fontId="10" fillId="0" borderId="1" pivotButton="0" quotePrefix="0" xfId="0"/>
    <xf numFmtId="4" fontId="10" fillId="0" borderId="1" pivotButton="0" quotePrefix="0" xfId="0"/>
    <xf numFmtId="0" fontId="9" fillId="0" borderId="1" pivotButton="0" quotePrefix="0" xfId="0"/>
    <xf numFmtId="4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inlineStr"/>
      <c r="C2" s="2" t="inlineStr">
        <is>
          <t>113-0728579-9633009</t>
        </is>
      </c>
      <c r="D2" s="2" t="inlineStr"/>
      <c r="E2" s="2" t="inlineStr">
        <is>
          <t>WIGS</t>
        </is>
      </c>
      <c r="F2" s="2" t="inlineStr">
        <is>
          <t>67041100</t>
        </is>
      </c>
      <c r="G2" s="2" t="inlineStr"/>
      <c r="H2" s="2" t="inlineStr"/>
      <c r="I2" s="2" t="inlineStr">
        <is>
          <t>67041100</t>
        </is>
      </c>
      <c r="J2" s="2" t="inlineStr">
        <is>
          <t>BLOCKICE Highlight Ombre Lace Front Wig Human Hair Wigs for Black (1 items)</t>
        </is>
      </c>
      <c r="K2" s="2" t="n">
        <v>1</v>
      </c>
      <c r="L2" s="2" t="n"/>
      <c r="M2" s="2" t="inlineStr"/>
      <c r="N2" s="2" t="inlineStr">
        <is>
          <t>USD</t>
        </is>
      </c>
      <c r="O2" s="3" t="n">
        <v>41.99</v>
      </c>
      <c r="P2" s="3" t="n">
        <v>41.99</v>
      </c>
      <c r="Q2" s="3">
        <f>O2*K2</f>
        <v/>
      </c>
      <c r="R2" s="3">
        <f>P2-Q2</f>
        <v/>
      </c>
      <c r="S2" s="3" t="n">
        <v>81.15000000000001</v>
      </c>
      <c r="T2" s="3" t="n">
        <v>21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AMAZON</t>
        </is>
      </c>
      <c r="AA2" s="2" t="inlineStr">
        <is>
          <t>Amazon.com</t>
        </is>
      </c>
      <c r="AB2" s="2" t="inlineStr">
        <is>
          <t>410 Terry Avenue North, Seattle, WA 98109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67041100</t>
        </is>
      </c>
    </row>
    <row r="3">
      <c r="A3" s="4" t="n"/>
      <c r="B3" s="4" t="n"/>
      <c r="C3" s="4" t="n"/>
      <c r="D3" s="4" t="n"/>
      <c r="E3" s="4" t="n"/>
      <c r="F3" s="4" t="inlineStr">
        <is>
          <t>67041100</t>
        </is>
      </c>
      <c r="G3" s="4" t="n"/>
      <c r="H3" s="4" t="n"/>
      <c r="I3" s="4" t="inlineStr">
        <is>
          <t>AMZ-1</t>
        </is>
      </c>
      <c r="J3" s="4" t="inlineStr">
        <is>
          <t>BLOCKICE Highlight Ombre Lace Front Wig Human Hair Wigs for Black</t>
        </is>
      </c>
      <c r="K3" s="4" t="n">
        <v>1</v>
      </c>
      <c r="L3" s="4" t="n"/>
      <c r="M3" s="4" t="inlineStr"/>
      <c r="N3" s="4" t="inlineStr">
        <is>
          <t>USD</t>
        </is>
      </c>
      <c r="O3" s="5" t="n">
        <v>41.99</v>
      </c>
      <c r="P3" s="5" t="n">
        <v>41.99</v>
      </c>
      <c r="Q3" s="5">
        <f>O3*K3</f>
        <v/>
      </c>
      <c r="R3" s="5">
        <f>P3-Q3</f>
        <v/>
      </c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2" t="n"/>
      <c r="B4" s="2" t="inlineStr"/>
      <c r="C4" s="2" t="inlineStr">
        <is>
          <t>113-0728579-9633009</t>
        </is>
      </c>
      <c r="D4" s="2" t="inlineStr"/>
      <c r="E4" s="2" t="inlineStr">
        <is>
          <t>SYNTHETIC HAIR</t>
        </is>
      </c>
      <c r="F4" s="2" t="inlineStr">
        <is>
          <t>67041900</t>
        </is>
      </c>
      <c r="G4" s="2" t="inlineStr"/>
      <c r="H4" s="2" t="inlineStr"/>
      <c r="I4" s="2" t="inlineStr">
        <is>
          <t>67041900</t>
        </is>
      </c>
      <c r="J4" s="2" t="inlineStr">
        <is>
          <t>Faux Locs Crochet Hair Soft Locs 30 inch 6 Packs Long Pre Looped Crochet (1 items)</t>
        </is>
      </c>
      <c r="K4" s="2" t="n">
        <v>2</v>
      </c>
      <c r="L4" s="2" t="n"/>
      <c r="M4" s="2" t="inlineStr"/>
      <c r="N4" s="2" t="inlineStr">
        <is>
          <t>USD</t>
        </is>
      </c>
      <c r="O4" s="3" t="n">
        <v>9.08</v>
      </c>
      <c r="P4" s="3" t="n">
        <v>18.16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67041900</t>
        </is>
      </c>
    </row>
    <row r="5">
      <c r="A5" s="4" t="n"/>
      <c r="B5" s="4" t="n"/>
      <c r="C5" s="4" t="n"/>
      <c r="D5" s="4" t="n"/>
      <c r="E5" s="4" t="n"/>
      <c r="F5" s="4" t="inlineStr">
        <is>
          <t>67041900</t>
        </is>
      </c>
      <c r="G5" s="4" t="n"/>
      <c r="H5" s="4" t="n"/>
      <c r="I5" s="4" t="inlineStr">
        <is>
          <t>AMZ-3</t>
        </is>
      </c>
      <c r="J5" s="4" t="inlineStr">
        <is>
          <t>Faux Locs Crochet Hair Soft Locs 30 inch 6 Packs Long Pre Looped Crochet</t>
        </is>
      </c>
      <c r="K5" s="4" t="n">
        <v>2</v>
      </c>
      <c r="L5" s="4" t="n"/>
      <c r="M5" s="4" t="inlineStr"/>
      <c r="N5" s="4" t="inlineStr">
        <is>
          <t>USD</t>
        </is>
      </c>
      <c r="O5" s="5" t="n">
        <v>9.08</v>
      </c>
      <c r="P5" s="5" t="n">
        <v>18.16</v>
      </c>
      <c r="Q5" s="5">
        <f>O5*K5</f>
        <v/>
      </c>
      <c r="R5" s="5">
        <f>P5-Q5</f>
        <v/>
      </c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inlineStr">
        <is>
          <t>SUBTOTAL (GROUPED)</t>
        </is>
      </c>
      <c r="K6" s="6" t="n"/>
      <c r="L6" s="6" t="n"/>
      <c r="M6" s="6" t="n"/>
      <c r="N6" s="6" t="n"/>
      <c r="O6" s="6" t="n"/>
      <c r="P6" s="7">
        <f>P2+P4</f>
        <v/>
      </c>
      <c r="Q6" s="7">
        <f>Q2+Q4</f>
        <v/>
      </c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inlineStr">
        <is>
          <t>SUBTOTAL (DETAILS)</t>
        </is>
      </c>
      <c r="K7" s="6" t="n"/>
      <c r="L7" s="6" t="n"/>
      <c r="M7" s="6" t="n"/>
      <c r="N7" s="6" t="n"/>
      <c r="O7" s="6" t="n"/>
      <c r="P7" s="7">
        <f>SUM(P2:P5)-P6</f>
        <v/>
      </c>
      <c r="Q7" s="7">
        <f>SUM(Q2:Q5)-Q6</f>
        <v/>
      </c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inlineStr">
        <is>
          <t>GROUP VERIFICATION</t>
        </is>
      </c>
      <c r="K8" s="8" t="n"/>
      <c r="L8" s="8" t="n"/>
      <c r="M8" s="8" t="n"/>
      <c r="N8" s="8" t="n"/>
      <c r="O8" s="8" t="n"/>
      <c r="P8" s="9">
        <f>P6-P7</f>
        <v/>
      </c>
      <c r="Q8" s="9">
        <f>Q6-Q7</f>
        <v/>
      </c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</row>
    <row r="9"/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inlineStr">
        <is>
          <t>TOTAL INTERNAL FREIGHT</t>
        </is>
      </c>
      <c r="K10" s="6" t="n"/>
      <c r="L10" s="6" t="n"/>
      <c r="M10" s="6" t="n"/>
      <c r="N10" s="6" t="n"/>
      <c r="O10" s="6" t="n"/>
      <c r="P10" s="7" t="n">
        <v>21</v>
      </c>
      <c r="Q10" s="7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inlineStr">
        <is>
          <t>TOTAL INSURANCE</t>
        </is>
      </c>
      <c r="K11" s="6" t="n"/>
      <c r="L11" s="6" t="n"/>
      <c r="M11" s="6" t="n"/>
      <c r="N11" s="6" t="n"/>
      <c r="O11" s="6" t="n"/>
      <c r="P11" s="7" t="n">
        <v>0</v>
      </c>
      <c r="Q11" s="7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inlineStr">
        <is>
          <t>TOTAL OTHER COST</t>
        </is>
      </c>
      <c r="K12" s="6" t="n"/>
      <c r="L12" s="6" t="n"/>
      <c r="M12" s="6" t="n"/>
      <c r="N12" s="6" t="n"/>
      <c r="O12" s="6" t="n"/>
      <c r="P12" s="7" t="n">
        <v>0</v>
      </c>
      <c r="Q12" s="7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inlineStr">
        <is>
          <t>TOTAL DEDUCTION</t>
        </is>
      </c>
      <c r="K13" s="6" t="n"/>
      <c r="L13" s="6" t="n"/>
      <c r="M13" s="6" t="n"/>
      <c r="N13" s="6" t="n"/>
      <c r="O13" s="6" t="n"/>
      <c r="P13" s="7" t="n">
        <v>0</v>
      </c>
      <c r="Q13" s="7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inlineStr">
        <is>
          <t>ADJUSTMENTS</t>
        </is>
      </c>
      <c r="K14" s="6" t="n"/>
      <c r="L14" s="6" t="n"/>
      <c r="M14" s="6" t="n"/>
      <c r="N14" s="6" t="n"/>
      <c r="O14" s="6" t="n"/>
      <c r="P14" s="7">
        <f>(T2+U2+V2-W2)</f>
        <v/>
      </c>
      <c r="Q14" s="7">
        <f>(T2+U2+V2-W2)</f>
        <v/>
      </c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</row>
    <row r="15"/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inlineStr">
        <is>
          <t>NET TOTAL</t>
        </is>
      </c>
      <c r="K16" s="6" t="n"/>
      <c r="L16" s="6" t="n"/>
      <c r="M16" s="6" t="n"/>
      <c r="N16" s="6" t="n"/>
      <c r="O16" s="6" t="n"/>
      <c r="P16" s="7">
        <f>P6+P14</f>
        <v/>
      </c>
      <c r="Q16" s="7">
        <f>Q6+Q14</f>
        <v/>
      </c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inlineStr">
        <is>
          <t>INVOICE TOTAL</t>
        </is>
      </c>
      <c r="K17" s="6" t="n"/>
      <c r="L17" s="6" t="n"/>
      <c r="M17" s="6" t="n"/>
      <c r="N17" s="6" t="n"/>
      <c r="O17" s="6" t="n"/>
      <c r="P17" s="7">
        <f>S2</f>
        <v/>
      </c>
      <c r="Q17" s="7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</row>
    <row r="18"/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inlineStr">
        <is>
          <t>VARIANCE CHECK</t>
        </is>
      </c>
      <c r="K19" s="10" t="n"/>
      <c r="L19" s="10" t="n"/>
      <c r="M19" s="10" t="n"/>
      <c r="N19" s="10" t="n"/>
      <c r="O19" s="10" t="n"/>
      <c r="P19" s="11">
        <f>S2-P16</f>
        <v/>
      </c>
      <c r="Q19" s="11">
        <f>S2-Q16</f>
        <v/>
      </c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</row>
    <row r="20"/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3" t="inlineStr">
        <is>
          <t>INVOICE NOTES: Structural item count mismatch: 5 price lines found between section markers but 4 items extracted</t>
        </is>
      </c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</row>
    <row r="22"/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inlineStr">
        <is>
          <t>DUTY ESTIMATION (Classification Cross-Check)</t>
        </is>
      </c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6" t="inlineStr">
        <is>
          <t>CIF (USD) = InvTotal + Freight + Insurance</t>
        </is>
      </c>
      <c r="K24" s="15" t="n"/>
      <c r="L24" s="15" t="n"/>
      <c r="M24" s="15" t="n"/>
      <c r="N24" s="15" t="n"/>
      <c r="O24" s="15" t="n"/>
      <c r="P24" s="17" t="n">
        <v>102.15</v>
      </c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6" t="inlineStr">
        <is>
          <t>CIF (XCD) = CIF × 2.7169</t>
        </is>
      </c>
      <c r="K25" s="15" t="n"/>
      <c r="L25" s="15" t="n"/>
      <c r="M25" s="15" t="n"/>
      <c r="N25" s="15" t="n"/>
      <c r="O25" s="15" t="n"/>
      <c r="P25" s="17" t="n">
        <v>277.53</v>
      </c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inlineStr">
        <is>
          <t>CET (weighted avg 20.0%)</t>
        </is>
      </c>
      <c r="K26" s="15" t="n"/>
      <c r="L26" s="15" t="n"/>
      <c r="M26" s="15" t="n"/>
      <c r="N26" s="15" t="n"/>
      <c r="O26" s="15" t="n"/>
      <c r="P26" s="17" t="n">
        <v>55.51</v>
      </c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inlineStr">
        <is>
          <t xml:space="preserve">  └ 67041100: 20% CET (70% of value)</t>
        </is>
      </c>
      <c r="K27" s="15" t="n"/>
      <c r="L27" s="15" t="n"/>
      <c r="M27" s="15" t="n"/>
      <c r="N27" s="15" t="n"/>
      <c r="O27" s="15" t="n"/>
      <c r="P27" s="17" t="n">
        <v>38.75</v>
      </c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6" t="inlineStr">
        <is>
          <t xml:space="preserve">  └ 67041900: 20% CET (30% of value)</t>
        </is>
      </c>
      <c r="K28" s="15" t="n"/>
      <c r="L28" s="15" t="n"/>
      <c r="M28" s="15" t="n"/>
      <c r="N28" s="15" t="n"/>
      <c r="O28" s="15" t="n"/>
      <c r="P28" s="17" t="n">
        <v>16.76</v>
      </c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inlineStr">
        <is>
          <t>CSC (6%)</t>
        </is>
      </c>
      <c r="K29" s="15" t="n"/>
      <c r="L29" s="15" t="n"/>
      <c r="M29" s="15" t="n"/>
      <c r="N29" s="15" t="n"/>
      <c r="O29" s="15" t="n"/>
      <c r="P29" s="17" t="n">
        <v>16.65</v>
      </c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6" t="inlineStr">
        <is>
          <t>VAT (15%) on CIF+CET+CSC</t>
        </is>
      </c>
      <c r="K30" s="15" t="n"/>
      <c r="L30" s="15" t="n"/>
      <c r="M30" s="15" t="n"/>
      <c r="N30" s="15" t="n"/>
      <c r="O30" s="15" t="n"/>
      <c r="P30" s="17" t="n">
        <v>52.45</v>
      </c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4" t="inlineStr">
        <is>
          <t>ESTIMATED TOTAL DUTIES</t>
        </is>
      </c>
      <c r="K31" s="18" t="n"/>
      <c r="L31" s="18" t="n"/>
      <c r="M31" s="18" t="n"/>
      <c r="N31" s="18" t="n"/>
      <c r="O31" s="18" t="n"/>
      <c r="P31" s="19" t="n">
        <v>124.61</v>
      </c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6" t="inlineStr">
        <is>
          <t>Effective Duty Rate</t>
        </is>
      </c>
      <c r="K32" s="15" t="n"/>
      <c r="L32" s="15" t="n"/>
      <c r="M32" s="15" t="n"/>
      <c r="N32" s="15" t="n"/>
      <c r="O32" s="15" t="n"/>
      <c r="P32" s="20" t="n">
        <v>0.4489965048823551</v>
      </c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</row>
    <row r="33"/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inlineStr">
        <is>
          <t>Items on other declaration(s) (2 items)</t>
        </is>
      </c>
      <c r="K34" s="21" t="n"/>
      <c r="L34" s="21" t="n"/>
      <c r="M34" s="21" t="n"/>
      <c r="N34" s="21" t="n"/>
      <c r="O34" s="21" t="n"/>
      <c r="P34" s="22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</row>
    <row r="35">
      <c r="A35" s="21" t="n"/>
      <c r="B35" s="21" t="n"/>
      <c r="C35" s="21" t="n"/>
      <c r="D35" s="21" t="n"/>
      <c r="E35" s="21" t="inlineStr">
        <is>
          <t>WIGS</t>
        </is>
      </c>
      <c r="F35" s="21" t="inlineStr">
        <is>
          <t>67041100</t>
        </is>
      </c>
      <c r="G35" s="21" t="n"/>
      <c r="H35" s="21" t="n"/>
      <c r="I35" s="21" t="n"/>
      <c r="J35" s="21" t="inlineStr">
        <is>
          <t>Aauerep Deep Wave Lace Front Wigs Human Hair Wigs for Women (+1 more) (2 items)</t>
        </is>
      </c>
      <c r="K35" s="21" t="n">
        <v>4</v>
      </c>
      <c r="L35" s="21" t="n"/>
      <c r="M35" s="21" t="n"/>
      <c r="N35" s="21" t="inlineStr">
        <is>
          <t>USD</t>
        </is>
      </c>
      <c r="O35" s="22" t="n">
        <v>248.18</v>
      </c>
      <c r="P35" s="22" t="n">
        <v>496.36</v>
      </c>
      <c r="Q35" s="22" t="n"/>
      <c r="R35" s="22" t="n"/>
      <c r="S35" s="22" t="n"/>
      <c r="T35" s="22" t="n"/>
      <c r="U35" s="22" t="n"/>
      <c r="V35" s="22" t="n"/>
      <c r="W35" s="22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inlineStr">
        <is>
          <t>AMZ-2</t>
        </is>
      </c>
      <c r="J36" s="23" t="inlineStr">
        <is>
          <t>Aauerep Deep Wave Lace Front Wigs Human Hair Wigs for Women</t>
        </is>
      </c>
      <c r="K36" s="23" t="n">
        <v>3</v>
      </c>
      <c r="L36" s="23" t="n"/>
      <c r="M36" s="23" t="n"/>
      <c r="N36" s="23" t="inlineStr">
        <is>
          <t>USD</t>
        </is>
      </c>
      <c r="O36" s="24" t="n">
        <v>34.99</v>
      </c>
      <c r="P36" s="24" t="n">
        <v>104.97</v>
      </c>
      <c r="Q36" s="24" t="n"/>
      <c r="R36" s="24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  <c r="AJ36" s="23" t="n"/>
      <c r="AK36" s="23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inlineStr">
        <is>
          <t>AMZ-4</t>
        </is>
      </c>
      <c r="J37" s="23" t="inlineStr">
        <is>
          <t>Queen Story 26 Inch Lace Front Wigs Human Hair 13 x 4 Straight Human</t>
        </is>
      </c>
      <c r="K37" s="23" t="n">
        <v>1</v>
      </c>
      <c r="L37" s="23" t="n"/>
      <c r="M37" s="23" t="n"/>
      <c r="N37" s="23" t="inlineStr">
        <is>
          <t>USD</t>
        </is>
      </c>
      <c r="O37" s="24" t="n">
        <v>391.39</v>
      </c>
      <c r="P37" s="24" t="n">
        <v>391.39</v>
      </c>
      <c r="Q37" s="24" t="n"/>
      <c r="R37" s="24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  <c r="AJ37" s="23" t="n"/>
      <c r="AK37" s="23" t="n"/>
    </row>
    <row r="3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inlineStr">
        <is>
          <t>REFERENCE SUBTOTAL</t>
        </is>
      </c>
      <c r="K38" s="25" t="n"/>
      <c r="L38" s="25" t="n"/>
      <c r="M38" s="25" t="n"/>
      <c r="N38" s="25" t="n"/>
      <c r="O38" s="25" t="n"/>
      <c r="P38" s="26" t="n">
        <v>496.36</v>
      </c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  <c r="AC38" s="25" t="n"/>
      <c r="AD38" s="25" t="n"/>
      <c r="AE38" s="25" t="n"/>
      <c r="AF38" s="25" t="n"/>
      <c r="AG38" s="25" t="n"/>
      <c r="AH38" s="25" t="n"/>
      <c r="AI38" s="25" t="n"/>
      <c r="AJ38" s="25" t="n"/>
      <c r="AK38" s="25" t="n"/>
    </row>
    <row r="39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inlineStr">
        <is>
          <t>REFERENCE FREIGHT</t>
        </is>
      </c>
      <c r="K39" s="25" t="n"/>
      <c r="L39" s="25" t="n"/>
      <c r="M39" s="25" t="n"/>
      <c r="N39" s="25" t="n"/>
      <c r="O39" s="25" t="n"/>
      <c r="P39" s="26" t="n">
        <v>15</v>
      </c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  <c r="AD39" s="25" t="n"/>
      <c r="AE39" s="25" t="n"/>
      <c r="AF39" s="25" t="n"/>
      <c r="AG39" s="25" t="n"/>
      <c r="AH39" s="25" t="n"/>
      <c r="AI39" s="25" t="n"/>
      <c r="AJ39" s="25" t="n"/>
      <c r="AK39" s="25" t="n"/>
    </row>
    <row r="40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inlineStr">
        <is>
          <t>REFERENCE INSURANCE</t>
        </is>
      </c>
      <c r="K40" s="25" t="n"/>
      <c r="L40" s="25" t="n"/>
      <c r="M40" s="25" t="n"/>
      <c r="N40" s="25" t="n"/>
      <c r="O40" s="25" t="n"/>
      <c r="P40" s="26" t="n">
        <v>0</v>
      </c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  <c r="AB40" s="25" t="n"/>
      <c r="AC40" s="25" t="n"/>
      <c r="AD40" s="25" t="n"/>
      <c r="AE40" s="25" t="n"/>
      <c r="AF40" s="25" t="n"/>
      <c r="AG40" s="25" t="n"/>
      <c r="AH40" s="25" t="n"/>
      <c r="AI40" s="25" t="n"/>
      <c r="AJ40" s="25" t="n"/>
      <c r="AK40" s="25" t="n"/>
    </row>
    <row r="41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inlineStr">
        <is>
          <t>REFERENCE OTHER COST</t>
        </is>
      </c>
      <c r="K41" s="25" t="n"/>
      <c r="L41" s="25" t="n"/>
      <c r="M41" s="25" t="n"/>
      <c r="N41" s="25" t="n"/>
      <c r="O41" s="25" t="n"/>
      <c r="P41" s="26" t="n">
        <v>0</v>
      </c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</row>
    <row r="42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inlineStr">
        <is>
          <t>REFERENCE DEDUCTION</t>
        </is>
      </c>
      <c r="K42" s="25" t="n"/>
      <c r="L42" s="25" t="n"/>
      <c r="M42" s="25" t="n"/>
      <c r="N42" s="25" t="n"/>
      <c r="O42" s="25" t="n"/>
      <c r="P42" s="26" t="n">
        <v>0</v>
      </c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  <c r="AB42" s="25" t="n"/>
      <c r="AC42" s="25" t="n"/>
      <c r="AD42" s="25" t="n"/>
      <c r="AE42" s="25" t="n"/>
      <c r="AF42" s="25" t="n"/>
      <c r="AG42" s="25" t="n"/>
      <c r="AH42" s="25" t="n"/>
      <c r="AI42" s="25" t="n"/>
      <c r="AJ42" s="25" t="n"/>
      <c r="AK42" s="25" t="n"/>
    </row>
    <row r="43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inlineStr">
        <is>
          <t>REFERENCE ADJUSTMENTS</t>
        </is>
      </c>
      <c r="K43" s="25" t="n"/>
      <c r="L43" s="25" t="n"/>
      <c r="M43" s="25" t="n"/>
      <c r="N43" s="25" t="n"/>
      <c r="O43" s="25" t="n"/>
      <c r="P43" s="26">
        <f>P39+P40+P41-P42</f>
        <v/>
      </c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  <c r="AB43" s="25" t="n"/>
      <c r="AC43" s="25" t="n"/>
      <c r="AD43" s="25" t="n"/>
      <c r="AE43" s="25" t="n"/>
      <c r="AF43" s="25" t="n"/>
      <c r="AG43" s="25" t="n"/>
      <c r="AH43" s="25" t="n"/>
      <c r="AI43" s="25" t="n"/>
      <c r="AJ43" s="25" t="n"/>
      <c r="AK43" s="25" t="n"/>
    </row>
    <row r="44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inlineStr">
        <is>
          <t>REFERENCE NET TOTAL</t>
        </is>
      </c>
      <c r="K44" s="25" t="n"/>
      <c r="L44" s="25" t="n"/>
      <c r="M44" s="25" t="n"/>
      <c r="N44" s="25" t="n"/>
      <c r="O44" s="25" t="n"/>
      <c r="P44" s="26">
        <f>P38+P43</f>
        <v/>
      </c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  <c r="AD44" s="25" t="n"/>
      <c r="AE44" s="25" t="n"/>
      <c r="AF44" s="25" t="n"/>
      <c r="AG44" s="25" t="n"/>
      <c r="AH44" s="25" t="n"/>
      <c r="AI44" s="25" t="n"/>
      <c r="AJ44" s="25" t="n"/>
      <c r="AK44" s="25" t="n"/>
    </row>
    <row r="46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inlineStr">
        <is>
          <t>COMBINED ITEMS TOTAL</t>
        </is>
      </c>
      <c r="K46" s="25" t="n"/>
      <c r="L46" s="25" t="n"/>
      <c r="M46" s="25" t="n"/>
      <c r="N46" s="25" t="n"/>
      <c r="O46" s="25" t="n"/>
      <c r="P46" s="26">
        <f>P6+P38</f>
        <v/>
      </c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  <c r="AD46" s="25" t="n"/>
      <c r="AE46" s="25" t="n"/>
      <c r="AF46" s="25" t="n"/>
      <c r="AG46" s="25" t="n"/>
      <c r="AH46" s="25" t="n"/>
      <c r="AI46" s="25" t="n"/>
      <c r="AJ46" s="25" t="n"/>
      <c r="AK46" s="25" t="n"/>
    </row>
    <row r="4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inlineStr">
        <is>
          <t>FULL INVOICE FREIGHT</t>
        </is>
      </c>
      <c r="K47" s="25" t="n"/>
      <c r="L47" s="25" t="n"/>
      <c r="M47" s="25" t="n"/>
      <c r="N47" s="25" t="n"/>
      <c r="O47" s="25" t="n"/>
      <c r="P47" s="26">
        <f>P10+P39</f>
        <v/>
      </c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  <c r="AJ47" s="25" t="n"/>
      <c r="AK47" s="25" t="n"/>
    </row>
    <row r="48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inlineStr">
        <is>
          <t>FULL INVOICE INSURANCE</t>
        </is>
      </c>
      <c r="K48" s="25" t="n"/>
      <c r="L48" s="25" t="n"/>
      <c r="M48" s="25" t="n"/>
      <c r="N48" s="25" t="n"/>
      <c r="O48" s="25" t="n"/>
      <c r="P48" s="26">
        <f>P11+P40</f>
        <v/>
      </c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  <c r="AD48" s="25" t="n"/>
      <c r="AE48" s="25" t="n"/>
      <c r="AF48" s="25" t="n"/>
      <c r="AG48" s="25" t="n"/>
      <c r="AH48" s="25" t="n"/>
      <c r="AI48" s="25" t="n"/>
      <c r="AJ48" s="25" t="n"/>
      <c r="AK48" s="25" t="n"/>
    </row>
    <row r="49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inlineStr">
        <is>
          <t>FULL INVOICE OTHER COST</t>
        </is>
      </c>
      <c r="K49" s="25" t="n"/>
      <c r="L49" s="25" t="n"/>
      <c r="M49" s="25" t="n"/>
      <c r="N49" s="25" t="n"/>
      <c r="O49" s="25" t="n"/>
      <c r="P49" s="26">
        <f>P12+P41</f>
        <v/>
      </c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  <c r="AD49" s="25" t="n"/>
      <c r="AE49" s="25" t="n"/>
      <c r="AF49" s="25" t="n"/>
      <c r="AG49" s="25" t="n"/>
      <c r="AH49" s="25" t="n"/>
      <c r="AI49" s="25" t="n"/>
      <c r="AJ49" s="25" t="n"/>
      <c r="AK49" s="25" t="n"/>
    </row>
    <row r="50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inlineStr">
        <is>
          <t>FULL INVOICE DEDUCTION</t>
        </is>
      </c>
      <c r="K50" s="25" t="n"/>
      <c r="L50" s="25" t="n"/>
      <c r="M50" s="25" t="n"/>
      <c r="N50" s="25" t="n"/>
      <c r="O50" s="25" t="n"/>
      <c r="P50" s="26">
        <f>P13+P42</f>
        <v/>
      </c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  <c r="AB50" s="25" t="n"/>
      <c r="AC50" s="25" t="n"/>
      <c r="AD50" s="25" t="n"/>
      <c r="AE50" s="25" t="n"/>
      <c r="AF50" s="25" t="n"/>
      <c r="AG50" s="25" t="n"/>
      <c r="AH50" s="25" t="n"/>
      <c r="AI50" s="25" t="n"/>
      <c r="AJ50" s="25" t="n"/>
      <c r="AK50" s="25" t="n"/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inlineStr">
        <is>
          <t>FULL ADJUSTMENTS</t>
        </is>
      </c>
      <c r="K51" s="25" t="n"/>
      <c r="L51" s="25" t="n"/>
      <c r="M51" s="25" t="n"/>
      <c r="N51" s="25" t="n"/>
      <c r="O51" s="25" t="n"/>
      <c r="P51" s="26">
        <f>P47+P48+P49-P50</f>
        <v/>
      </c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  <c r="AD51" s="25" t="n"/>
      <c r="AE51" s="25" t="n"/>
      <c r="AF51" s="25" t="n"/>
      <c r="AG51" s="25" t="n"/>
      <c r="AH51" s="25" t="n"/>
      <c r="AI51" s="25" t="n"/>
      <c r="AJ51" s="25" t="n"/>
      <c r="AK51" s="25" t="n"/>
    </row>
    <row r="52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inlineStr">
        <is>
          <t>COMBINED NET TOTAL</t>
        </is>
      </c>
      <c r="K52" s="25" t="n"/>
      <c r="L52" s="25" t="n"/>
      <c r="M52" s="25" t="n"/>
      <c r="N52" s="25" t="n"/>
      <c r="O52" s="25" t="n"/>
      <c r="P52" s="26">
        <f>P46+P51</f>
        <v/>
      </c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  <c r="AD52" s="25" t="n"/>
      <c r="AE52" s="25" t="n"/>
      <c r="AF52" s="25" t="n"/>
      <c r="AG52" s="25" t="n"/>
      <c r="AH52" s="25" t="n"/>
      <c r="AI52" s="25" t="n"/>
      <c r="AJ52" s="25" t="n"/>
      <c r="AK52" s="25" t="n"/>
    </row>
    <row r="53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inlineStr">
        <is>
          <t>FULL INVOICE TOTAL</t>
        </is>
      </c>
      <c r="K53" s="25" t="n"/>
      <c r="L53" s="25" t="n"/>
      <c r="M53" s="25" t="n"/>
      <c r="N53" s="25" t="n"/>
      <c r="O53" s="25" t="n"/>
      <c r="P53" s="26" t="n">
        <v>592.51</v>
      </c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  <c r="AB53" s="25" t="n"/>
      <c r="AC53" s="25" t="n"/>
      <c r="AD53" s="25" t="n"/>
      <c r="AE53" s="25" t="n"/>
      <c r="AF53" s="25" t="n"/>
      <c r="AG53" s="25" t="n"/>
      <c r="AH53" s="25" t="n"/>
      <c r="AI53" s="25" t="n"/>
      <c r="AJ53" s="25" t="n"/>
      <c r="AK53" s="25" t="n"/>
    </row>
    <row r="54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inlineStr">
        <is>
          <t>COMBINED VARIANCE CHECK</t>
        </is>
      </c>
      <c r="K54" s="25" t="n"/>
      <c r="L54" s="25" t="n"/>
      <c r="M54" s="25" t="n"/>
      <c r="N54" s="25" t="n"/>
      <c r="O54" s="25" t="n"/>
      <c r="P54" s="26">
        <f>P53-P52</f>
        <v/>
      </c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2026-04-24T05:45:23Z</dcterms:created>
  <dcterms:modified xsi:type="dcterms:W3CDTF">2026-04-24T05:45:23Z</dcterms:modified>
</cp:coreProperties>
</file>