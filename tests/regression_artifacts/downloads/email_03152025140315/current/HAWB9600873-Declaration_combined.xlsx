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9"/>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113-0728579-9633009</t>
        </is>
      </c>
      <c r="D2" s="2" t="n"/>
      <c r="E2" s="2" t="inlineStr">
        <is>
          <t>WIGS</t>
        </is>
      </c>
      <c r="F2" s="2" t="inlineStr">
        <is>
          <t>67041100</t>
        </is>
      </c>
      <c r="G2" s="2" t="n"/>
      <c r="H2" s="2" t="n"/>
      <c r="I2" s="2" t="inlineStr">
        <is>
          <t>67041100</t>
        </is>
      </c>
      <c r="J2" s="2" t="inlineStr">
        <is>
          <t>BLOCKICE Highlight Ombre Lace Front Wig Human Hair Wigs for Black (+2 more) (3 items)</t>
        </is>
      </c>
      <c r="K2" s="2" t="n">
        <v>5</v>
      </c>
      <c r="L2" s="2" t="n"/>
      <c r="M2" s="2" t="n"/>
      <c r="N2" s="2" t="inlineStr">
        <is>
          <t>USD</t>
        </is>
      </c>
      <c r="O2" s="3" t="n">
        <v>107.67</v>
      </c>
      <c r="P2" s="3" t="n">
        <v>538.35</v>
      </c>
      <c r="Q2" s="3">
        <f>O2*K2</f>
        <v/>
      </c>
      <c r="R2" s="3">
        <f>P2-Q2</f>
        <v/>
      </c>
      <c r="S2" s="3" t="n">
        <v>556.51</v>
      </c>
      <c r="T2" s="3" t="n">
        <v>0</v>
      </c>
      <c r="U2" s="3" t="n">
        <v>0</v>
      </c>
      <c r="V2" s="3" t="n">
        <v>0</v>
      </c>
      <c r="W2" s="3" t="n">
        <v>0</v>
      </c>
      <c r="X2" s="2" t="n">
        <v>1</v>
      </c>
      <c r="Y2" s="2" t="n"/>
      <c r="Z2" s="2" t="inlineStr">
        <is>
          <t>AMAZON</t>
        </is>
      </c>
      <c r="AA2" s="2" t="inlineStr">
        <is>
          <t>Amazon.com</t>
        </is>
      </c>
      <c r="AB2" s="2" t="inlineStr">
        <is>
          <t>410 Terry Avenue North, Seattle, WA 98109</t>
        </is>
      </c>
      <c r="AC2" s="2" t="inlineStr">
        <is>
          <t>US</t>
        </is>
      </c>
      <c r="AD2" s="2" t="n"/>
      <c r="AE2" s="2" t="n"/>
      <c r="AF2" s="2" t="n"/>
      <c r="AG2" s="2" t="n"/>
      <c r="AH2" s="2" t="n"/>
      <c r="AI2" s="2" t="n"/>
      <c r="AJ2" s="2" t="n"/>
      <c r="AK2" s="2" t="inlineStr">
        <is>
          <t>67041100</t>
        </is>
      </c>
    </row>
    <row r="3">
      <c r="A3" s="4" t="n"/>
      <c r="B3" s="4" t="n"/>
      <c r="C3" s="4" t="n"/>
      <c r="D3" s="4" t="n"/>
      <c r="E3" s="4" t="n"/>
      <c r="F3" s="4" t="inlineStr">
        <is>
          <t>67041100</t>
        </is>
      </c>
      <c r="G3" s="4" t="n"/>
      <c r="H3" s="4" t="n"/>
      <c r="I3" s="4" t="inlineStr">
        <is>
          <t>AMZ-1</t>
        </is>
      </c>
      <c r="J3" s="4" t="inlineStr">
        <is>
          <t>BLOCKICE Highlight Ombre Lace Front Wig Human Hair Wigs for Black</t>
        </is>
      </c>
      <c r="K3" s="4" t="n">
        <v>1</v>
      </c>
      <c r="L3" s="4" t="n"/>
      <c r="M3" s="4" t="n"/>
      <c r="N3" s="4" t="inlineStr">
        <is>
          <t>USD</t>
        </is>
      </c>
      <c r="O3" s="5" t="n">
        <v>41.99</v>
      </c>
      <c r="P3" s="5" t="n">
        <v>41.99</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67041100</t>
        </is>
      </c>
      <c r="G4" s="4" t="n"/>
      <c r="H4" s="4" t="n"/>
      <c r="I4" s="4" t="inlineStr">
        <is>
          <t>AMZ-2</t>
        </is>
      </c>
      <c r="J4" s="4" t="inlineStr">
        <is>
          <t>Aauerep Deep Wave Lace Front Wigs Human Hair Wigs for Women</t>
        </is>
      </c>
      <c r="K4" s="4" t="n">
        <v>3</v>
      </c>
      <c r="L4" s="4" t="n"/>
      <c r="M4" s="4" t="n"/>
      <c r="N4" s="4" t="inlineStr">
        <is>
          <t>USD</t>
        </is>
      </c>
      <c r="O4" s="5" t="n">
        <v>34.99</v>
      </c>
      <c r="P4" s="5" t="n">
        <v>104.97</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inlineStr">
        <is>
          <t>67041100</t>
        </is>
      </c>
      <c r="G5" s="4" t="n"/>
      <c r="H5" s="4" t="n"/>
      <c r="I5" s="4" t="inlineStr">
        <is>
          <t>AMZ-4</t>
        </is>
      </c>
      <c r="J5" s="4" t="inlineStr">
        <is>
          <t>Queen Story 26 Inch Lace Front Wigs Human Hair 13 x 4 Straight Human</t>
        </is>
      </c>
      <c r="K5" s="4" t="n">
        <v>1</v>
      </c>
      <c r="L5" s="4" t="n"/>
      <c r="M5" s="4" t="n"/>
      <c r="N5" s="4" t="inlineStr">
        <is>
          <t>USD</t>
        </is>
      </c>
      <c r="O5" s="5" t="n">
        <v>391.39</v>
      </c>
      <c r="P5" s="5" t="n">
        <v>391.39</v>
      </c>
      <c r="Q5" s="5">
        <f>O5*K5</f>
        <v/>
      </c>
      <c r="R5" s="5">
        <f>P5-Q5</f>
        <v/>
      </c>
      <c r="S5" s="4" t="n"/>
      <c r="T5" s="4" t="n"/>
      <c r="U5" s="4" t="n"/>
      <c r="V5" s="4" t="n"/>
      <c r="W5" s="4" t="n"/>
      <c r="X5" s="4" t="n"/>
      <c r="Y5" s="4" t="n"/>
      <c r="Z5" s="4" t="n"/>
      <c r="AA5" s="4" t="n"/>
      <c r="AB5" s="4" t="n"/>
      <c r="AC5" s="4" t="n"/>
      <c r="AD5" s="4" t="n"/>
      <c r="AE5" s="4" t="n"/>
      <c r="AF5" s="4" t="n"/>
      <c r="AG5" s="4" t="n"/>
      <c r="AH5" s="4" t="n"/>
      <c r="AI5" s="4" t="n"/>
      <c r="AJ5" s="4" t="n"/>
      <c r="AK5" s="4" t="n"/>
    </row>
    <row r="6">
      <c r="A6" s="2" t="n"/>
      <c r="B6" s="2" t="n"/>
      <c r="C6" s="2" t="inlineStr">
        <is>
          <t>113-0728579-9633009</t>
        </is>
      </c>
      <c r="D6" s="2" t="n"/>
      <c r="E6" s="2" t="inlineStr">
        <is>
          <t>SYNTHETIC HAIR</t>
        </is>
      </c>
      <c r="F6" s="2" t="inlineStr">
        <is>
          <t>67041900</t>
        </is>
      </c>
      <c r="G6" s="2" t="n"/>
      <c r="H6" s="2" t="n"/>
      <c r="I6" s="2" t="inlineStr">
        <is>
          <t>67041900</t>
        </is>
      </c>
      <c r="J6" s="2" t="inlineStr">
        <is>
          <t>Faux Locs Crochet Hair Soft Locs 30 inch 6 Packs Long Pre Looped Crochet (1 items)</t>
        </is>
      </c>
      <c r="K6" s="2" t="n">
        <v>2</v>
      </c>
      <c r="L6" s="2" t="n"/>
      <c r="M6" s="2" t="n"/>
      <c r="N6" s="2" t="inlineStr">
        <is>
          <t>USD</t>
        </is>
      </c>
      <c r="O6" s="3" t="n">
        <v>9.08</v>
      </c>
      <c r="P6" s="3" t="n">
        <v>18.16</v>
      </c>
      <c r="Q6" s="3">
        <f>O6*K6</f>
        <v/>
      </c>
      <c r="R6" s="3">
        <f>P6-Q6</f>
        <v/>
      </c>
      <c r="S6" s="3" t="n"/>
      <c r="T6" s="3" t="n"/>
      <c r="U6" s="3" t="n"/>
      <c r="V6" s="3" t="n"/>
      <c r="W6" s="3" t="n"/>
      <c r="X6" s="2" t="n"/>
      <c r="Y6" s="2" t="n"/>
      <c r="Z6" s="2" t="n"/>
      <c r="AA6" s="2" t="n"/>
      <c r="AB6" s="2" t="n"/>
      <c r="AC6" s="2" t="n"/>
      <c r="AD6" s="2" t="n"/>
      <c r="AE6" s="2" t="n"/>
      <c r="AF6" s="2" t="n"/>
      <c r="AG6" s="2" t="n"/>
      <c r="AH6" s="2" t="n"/>
      <c r="AI6" s="2" t="n"/>
      <c r="AJ6" s="2" t="n"/>
      <c r="AK6" s="2" t="inlineStr">
        <is>
          <t>67041900</t>
        </is>
      </c>
    </row>
    <row r="7">
      <c r="A7" s="4" t="n"/>
      <c r="B7" s="4" t="n"/>
      <c r="C7" s="4" t="n"/>
      <c r="D7" s="4" t="n"/>
      <c r="E7" s="4" t="n"/>
      <c r="F7" s="4" t="inlineStr">
        <is>
          <t>67041900</t>
        </is>
      </c>
      <c r="G7" s="4" t="n"/>
      <c r="H7" s="4" t="n"/>
      <c r="I7" s="4" t="inlineStr">
        <is>
          <t>AMZ-3</t>
        </is>
      </c>
      <c r="J7" s="4" t="inlineStr">
        <is>
          <t>Faux Locs Crochet Hair Soft Locs 30 inch 6 Packs Long Pre Looped Crochet</t>
        </is>
      </c>
      <c r="K7" s="4" t="n">
        <v>2</v>
      </c>
      <c r="L7" s="4" t="n"/>
      <c r="M7" s="4" t="n"/>
      <c r="N7" s="4" t="inlineStr">
        <is>
          <t>USD</t>
        </is>
      </c>
      <c r="O7" s="5" t="n">
        <v>9.08</v>
      </c>
      <c r="P7" s="5" t="n">
        <v>18.16</v>
      </c>
      <c r="Q7" s="5">
        <f>O7*K7</f>
        <v/>
      </c>
      <c r="R7" s="5">
        <f>P7-Q7</f>
        <v/>
      </c>
      <c r="S7" s="4" t="n"/>
      <c r="T7" s="4" t="n"/>
      <c r="U7" s="4" t="n"/>
      <c r="V7" s="4" t="n"/>
      <c r="W7" s="4" t="n"/>
      <c r="X7" s="4" t="n"/>
      <c r="Y7" s="4" t="n"/>
      <c r="Z7" s="4" t="n"/>
      <c r="AA7" s="4" t="n"/>
      <c r="AB7" s="4" t="n"/>
      <c r="AC7" s="4" t="n"/>
      <c r="AD7" s="4" t="n"/>
      <c r="AE7" s="4" t="n"/>
      <c r="AF7" s="4" t="n"/>
      <c r="AG7" s="4" t="n"/>
      <c r="AH7" s="4" t="n"/>
      <c r="AI7" s="4" t="n"/>
      <c r="AJ7" s="4" t="n"/>
      <c r="AK7" s="4" t="n"/>
    </row>
    <row r="8">
      <c r="A8" s="6" t="n"/>
      <c r="B8" s="6" t="n"/>
      <c r="C8" s="6" t="n"/>
      <c r="D8" s="6" t="n"/>
      <c r="E8" s="6" t="n"/>
      <c r="F8" s="6" t="n"/>
      <c r="G8" s="6" t="n"/>
      <c r="H8" s="6" t="n"/>
      <c r="I8" s="6" t="n"/>
      <c r="J8" s="6" t="inlineStr">
        <is>
          <t>SUBTOTAL (GROUPED)</t>
        </is>
      </c>
      <c r="K8" s="6" t="n"/>
      <c r="L8" s="6" t="n"/>
      <c r="M8" s="6" t="n"/>
      <c r="N8" s="6" t="n"/>
      <c r="O8" s="6" t="n"/>
      <c r="P8" s="7">
        <f>P2+P6</f>
        <v/>
      </c>
      <c r="Q8" s="7">
        <f>Q2+Q6</f>
        <v/>
      </c>
      <c r="R8" s="6" t="n"/>
      <c r="S8" s="6" t="n"/>
      <c r="T8" s="6" t="n"/>
      <c r="U8" s="6" t="n"/>
      <c r="V8" s="6" t="n"/>
      <c r="W8" s="6" t="n"/>
      <c r="X8" s="6" t="n"/>
      <c r="Y8" s="6" t="n"/>
      <c r="Z8" s="6" t="n"/>
      <c r="AA8" s="6" t="n"/>
      <c r="AB8" s="6" t="n"/>
      <c r="AC8" s="6" t="n"/>
      <c r="AD8" s="6" t="n"/>
      <c r="AE8" s="6" t="n"/>
      <c r="AF8" s="6" t="n"/>
      <c r="AG8" s="6" t="n"/>
      <c r="AH8" s="6" t="n"/>
      <c r="AI8" s="6" t="n"/>
      <c r="AJ8" s="6" t="n"/>
      <c r="AK8" s="6" t="n"/>
    </row>
    <row r="9">
      <c r="A9" s="6" t="n"/>
      <c r="B9" s="6" t="n"/>
      <c r="C9" s="6" t="n"/>
      <c r="D9" s="6" t="n"/>
      <c r="E9" s="6" t="n"/>
      <c r="F9" s="6" t="n"/>
      <c r="G9" s="6" t="n"/>
      <c r="H9" s="6" t="n"/>
      <c r="I9" s="6" t="n"/>
      <c r="J9" s="6" t="inlineStr">
        <is>
          <t>SUBTOTAL (DETAILS)</t>
        </is>
      </c>
      <c r="K9" s="6" t="n"/>
      <c r="L9" s="6" t="n"/>
      <c r="M9" s="6" t="n"/>
      <c r="N9" s="6" t="n"/>
      <c r="O9" s="6" t="n"/>
      <c r="P9" s="7">
        <f>SUM(P2:P7)-P8</f>
        <v/>
      </c>
      <c r="Q9" s="7">
        <f>SUM(Q2:Q7)-Q8</f>
        <v/>
      </c>
      <c r="R9" s="6" t="n"/>
      <c r="S9" s="6" t="n"/>
      <c r="T9" s="6" t="n"/>
      <c r="U9" s="6" t="n"/>
      <c r="V9" s="6" t="n"/>
      <c r="W9" s="6" t="n"/>
      <c r="X9" s="6" t="n"/>
      <c r="Y9" s="6" t="n"/>
      <c r="Z9" s="6" t="n"/>
      <c r="AA9" s="6" t="n"/>
      <c r="AB9" s="6" t="n"/>
      <c r="AC9" s="6" t="n"/>
      <c r="AD9" s="6" t="n"/>
      <c r="AE9" s="6" t="n"/>
      <c r="AF9" s="6" t="n"/>
      <c r="AG9" s="6" t="n"/>
      <c r="AH9" s="6" t="n"/>
      <c r="AI9" s="6" t="n"/>
      <c r="AJ9" s="6" t="n"/>
      <c r="AK9" s="6" t="n"/>
    </row>
    <row r="10">
      <c r="A10" s="8" t="n"/>
      <c r="B10" s="8" t="n"/>
      <c r="C10" s="8" t="n"/>
      <c r="D10" s="8" t="n"/>
      <c r="E10" s="8" t="n"/>
      <c r="F10" s="8" t="n"/>
      <c r="G10" s="8" t="n"/>
      <c r="H10" s="8" t="n"/>
      <c r="I10" s="8" t="n"/>
      <c r="J10" s="8" t="inlineStr">
        <is>
          <t>GROUP VERIFICATION</t>
        </is>
      </c>
      <c r="K10" s="8" t="n"/>
      <c r="L10" s="8" t="n"/>
      <c r="M10" s="8" t="n"/>
      <c r="N10" s="8" t="n"/>
      <c r="O10" s="8" t="n"/>
      <c r="P10" s="9">
        <f>P8-P9</f>
        <v/>
      </c>
      <c r="Q10" s="9">
        <f>Q8-Q9</f>
        <v/>
      </c>
      <c r="R10" s="8" t="n"/>
      <c r="S10" s="8" t="n"/>
      <c r="T10" s="8" t="n"/>
      <c r="U10" s="8" t="n"/>
      <c r="V10" s="8" t="n"/>
      <c r="W10" s="8" t="n"/>
      <c r="X10" s="8" t="n"/>
      <c r="Y10" s="8" t="n"/>
      <c r="Z10" s="8" t="n"/>
      <c r="AA10" s="8" t="n"/>
      <c r="AB10" s="8" t="n"/>
      <c r="AC10" s="8" t="n"/>
      <c r="AD10" s="8" t="n"/>
      <c r="AE10" s="8" t="n"/>
      <c r="AF10" s="8" t="n"/>
      <c r="AG10" s="8" t="n"/>
      <c r="AH10" s="8" t="n"/>
      <c r="AI10" s="8" t="n"/>
      <c r="AJ10" s="8" t="n"/>
      <c r="AK10" s="8" t="n"/>
    </row>
    <row r="11"/>
    <row r="12">
      <c r="A12" s="6" t="n"/>
      <c r="B12" s="6" t="n"/>
      <c r="C12" s="6" t="n"/>
      <c r="D12" s="6" t="n"/>
      <c r="E12" s="6" t="n"/>
      <c r="F12" s="6" t="n"/>
      <c r="G12" s="6" t="n"/>
      <c r="H12" s="6" t="n"/>
      <c r="I12" s="6" t="n"/>
      <c r="J12" s="6" t="inlineStr">
        <is>
          <t>TOTAL INTERNAL FREIGHT</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TOTAL INSURANCE</t>
        </is>
      </c>
      <c r="K13" s="6" t="n"/>
      <c r="L13" s="6" t="n"/>
      <c r="M13" s="6" t="n"/>
      <c r="N13" s="6" t="n"/>
      <c r="O13" s="6" t="n"/>
      <c r="P13" s="7" t="n">
        <v>0</v>
      </c>
      <c r="Q13" s="7" t="n"/>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c r="A14" s="6" t="n"/>
      <c r="B14" s="6" t="n"/>
      <c r="C14" s="6" t="n"/>
      <c r="D14" s="6" t="n"/>
      <c r="E14" s="6" t="n"/>
      <c r="F14" s="6" t="n"/>
      <c r="G14" s="6" t="n"/>
      <c r="H14" s="6" t="n"/>
      <c r="I14" s="6" t="n"/>
      <c r="J14" s="6" t="inlineStr">
        <is>
          <t>TOTAL OTHER COST</t>
        </is>
      </c>
      <c r="K14" s="6" t="n"/>
      <c r="L14" s="6" t="n"/>
      <c r="M14" s="6" t="n"/>
      <c r="N14" s="6" t="n"/>
      <c r="O14" s="6" t="n"/>
      <c r="P14" s="7" t="n">
        <v>0</v>
      </c>
      <c r="Q14" s="7" t="n"/>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TOTAL DEDUCTION</t>
        </is>
      </c>
      <c r="K15" s="6" t="n"/>
      <c r="L15" s="6" t="n"/>
      <c r="M15" s="6" t="n"/>
      <c r="N15" s="6" t="n"/>
      <c r="O15" s="6" t="n"/>
      <c r="P15" s="7" t="n">
        <v>0</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c r="A16" s="6" t="n"/>
      <c r="B16" s="6" t="n"/>
      <c r="C16" s="6" t="n"/>
      <c r="D16" s="6" t="n"/>
      <c r="E16" s="6" t="n"/>
      <c r="F16" s="6" t="n"/>
      <c r="G16" s="6" t="n"/>
      <c r="H16" s="6" t="n"/>
      <c r="I16" s="6" t="n"/>
      <c r="J16" s="6" t="inlineStr">
        <is>
          <t>ADJUSTMENTS</t>
        </is>
      </c>
      <c r="K16" s="6" t="n"/>
      <c r="L16" s="6" t="n"/>
      <c r="M16" s="6" t="n"/>
      <c r="N16" s="6" t="n"/>
      <c r="O16" s="6" t="n"/>
      <c r="P16" s="7">
        <f>(T2+U2+V2-W2)</f>
        <v/>
      </c>
      <c r="Q16" s="7">
        <f>(T2+U2+V2-W2)</f>
        <v/>
      </c>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7"/>
    <row r="18">
      <c r="A18" s="6" t="n"/>
      <c r="B18" s="6" t="n"/>
      <c r="C18" s="6" t="n"/>
      <c r="D18" s="6" t="n"/>
      <c r="E18" s="6" t="n"/>
      <c r="F18" s="6" t="n"/>
      <c r="G18" s="6" t="n"/>
      <c r="H18" s="6" t="n"/>
      <c r="I18" s="6" t="n"/>
      <c r="J18" s="6" t="inlineStr">
        <is>
          <t>NET TOTAL</t>
        </is>
      </c>
      <c r="K18" s="6" t="n"/>
      <c r="L18" s="6" t="n"/>
      <c r="M18" s="6" t="n"/>
      <c r="N18" s="6" t="n"/>
      <c r="O18" s="6" t="n"/>
      <c r="P18" s="7">
        <f>P8+P16</f>
        <v/>
      </c>
      <c r="Q18" s="7">
        <f>Q8+Q16</f>
        <v/>
      </c>
      <c r="R18" s="6" t="n"/>
      <c r="S18" s="6" t="n"/>
      <c r="T18" s="6" t="n"/>
      <c r="U18" s="6" t="n"/>
      <c r="V18" s="6" t="n"/>
      <c r="W18" s="6" t="n"/>
      <c r="X18" s="6" t="n"/>
      <c r="Y18" s="6" t="n"/>
      <c r="Z18" s="6" t="n"/>
      <c r="AA18" s="6" t="n"/>
      <c r="AB18" s="6" t="n"/>
      <c r="AC18" s="6" t="n"/>
      <c r="AD18" s="6" t="n"/>
      <c r="AE18" s="6" t="n"/>
      <c r="AF18" s="6" t="n"/>
      <c r="AG18" s="6" t="n"/>
      <c r="AH18" s="6" t="n"/>
      <c r="AI18" s="6" t="n"/>
      <c r="AJ18" s="6" t="n"/>
      <c r="AK18" s="6" t="n"/>
    </row>
    <row r="19">
      <c r="A19" s="6" t="n"/>
      <c r="B19" s="6" t="n"/>
      <c r="C19" s="6" t="n"/>
      <c r="D19" s="6" t="n"/>
      <c r="E19" s="6" t="n"/>
      <c r="F19" s="6" t="n"/>
      <c r="G19" s="6" t="n"/>
      <c r="H19" s="6" t="n"/>
      <c r="I19" s="6" t="n"/>
      <c r="J19" s="6" t="inlineStr">
        <is>
          <t>INVOICE TOTAL</t>
        </is>
      </c>
      <c r="K19" s="6" t="n"/>
      <c r="L19" s="6" t="n"/>
      <c r="M19" s="6" t="n"/>
      <c r="N19" s="6" t="n"/>
      <c r="O19" s="6" t="n"/>
      <c r="P19" s="7">
        <f>S2</f>
        <v/>
      </c>
      <c r="Q19" s="7" t="n"/>
      <c r="R19" s="6" t="n"/>
      <c r="S19" s="6" t="n"/>
      <c r="T19" s="6" t="n"/>
      <c r="U19" s="6" t="n"/>
      <c r="V19" s="6" t="n"/>
      <c r="W19" s="6" t="n"/>
      <c r="X19" s="6" t="n"/>
      <c r="Y19" s="6" t="n"/>
      <c r="Z19" s="6" t="n"/>
      <c r="AA19" s="6" t="n"/>
      <c r="AB19" s="6" t="n"/>
      <c r="AC19" s="6" t="n"/>
      <c r="AD19" s="6" t="n"/>
      <c r="AE19" s="6" t="n"/>
      <c r="AF19" s="6" t="n"/>
      <c r="AG19" s="6" t="n"/>
      <c r="AH19" s="6" t="n"/>
      <c r="AI19" s="6" t="n"/>
      <c r="AJ19" s="6" t="n"/>
      <c r="AK19" s="6" t="n"/>
    </row>
    <row r="20"/>
    <row r="21">
      <c r="A21" s="10" t="n"/>
      <c r="B21" s="10" t="n"/>
      <c r="C21" s="10" t="n"/>
      <c r="D21" s="10" t="n"/>
      <c r="E21" s="10" t="n"/>
      <c r="F21" s="10" t="n"/>
      <c r="G21" s="10" t="n"/>
      <c r="H21" s="10" t="n"/>
      <c r="I21" s="10" t="n"/>
      <c r="J21" s="10" t="inlineStr">
        <is>
          <t>VARIANCE CHECK</t>
        </is>
      </c>
      <c r="K21" s="10" t="n"/>
      <c r="L21" s="10" t="n"/>
      <c r="M21" s="10" t="n"/>
      <c r="N21" s="10" t="n"/>
      <c r="O21" s="10" t="n"/>
      <c r="P21" s="11">
        <f>S2-P18</f>
        <v/>
      </c>
      <c r="Q21" s="11">
        <f>S2-Q18</f>
        <v/>
      </c>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row>
    <row r="22"/>
    <row r="23">
      <c r="A23" s="12" t="n"/>
      <c r="B23" s="12" t="n"/>
      <c r="C23" s="12" t="n"/>
      <c r="D23" s="12" t="n"/>
      <c r="E23" s="12" t="n"/>
      <c r="F23" s="12" t="n"/>
      <c r="G23" s="12" t="n"/>
      <c r="H23" s="12" t="n"/>
      <c r="I23" s="12" t="n"/>
      <c r="J23" s="13" t="inlineStr">
        <is>
          <t>INVOICE NOTES: Structural item count mismatch: 5 price lines found between section markers but 4 items extracted</t>
        </is>
      </c>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row>
    <row r="24"/>
    <row r="25">
      <c r="A25" s="14" t="n"/>
      <c r="B25" s="14" t="n"/>
      <c r="C25" s="14" t="n"/>
      <c r="D25" s="14" t="n"/>
      <c r="E25" s="14" t="n"/>
      <c r="F25" s="14" t="n"/>
      <c r="G25" s="14" t="n"/>
      <c r="H25" s="14" t="n"/>
      <c r="I25" s="14" t="n"/>
      <c r="J25" s="14" t="inlineStr">
        <is>
          <t>DUTY ESTIMATION (Classification Cross-Check)</t>
        </is>
      </c>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row>
    <row r="26">
      <c r="A26" s="15" t="n"/>
      <c r="B26" s="15" t="n"/>
      <c r="C26" s="15" t="n"/>
      <c r="D26" s="15" t="n"/>
      <c r="E26" s="15" t="n"/>
      <c r="F26" s="15" t="n"/>
      <c r="G26" s="15" t="n"/>
      <c r="H26" s="15" t="n"/>
      <c r="I26" s="15" t="n"/>
      <c r="J26" s="16" t="inlineStr">
        <is>
          <t>CIF (USD) = InvTotal + Freight + Insurance</t>
        </is>
      </c>
      <c r="K26" s="15" t="n"/>
      <c r="L26" s="15" t="n"/>
      <c r="M26" s="15" t="n"/>
      <c r="N26" s="15" t="n"/>
      <c r="O26" s="15" t="n"/>
      <c r="P26" s="17" t="n">
        <v>556.51</v>
      </c>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c r="A27" s="15" t="n"/>
      <c r="B27" s="15" t="n"/>
      <c r="C27" s="15" t="n"/>
      <c r="D27" s="15" t="n"/>
      <c r="E27" s="15" t="n"/>
      <c r="F27" s="15" t="n"/>
      <c r="G27" s="15" t="n"/>
      <c r="H27" s="15" t="n"/>
      <c r="I27" s="15" t="n"/>
      <c r="J27" s="16" t="inlineStr">
        <is>
          <t>CIF (XCD) = CIF × 2.7169</t>
        </is>
      </c>
      <c r="K27" s="15" t="n"/>
      <c r="L27" s="15" t="n"/>
      <c r="M27" s="15" t="n"/>
      <c r="N27" s="15" t="n"/>
      <c r="O27" s="15" t="n"/>
      <c r="P27" s="17" t="n">
        <v>1511.98</v>
      </c>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row>
    <row r="28">
      <c r="A28" s="15" t="n"/>
      <c r="B28" s="15" t="n"/>
      <c r="C28" s="15" t="n"/>
      <c r="D28" s="15" t="n"/>
      <c r="E28" s="15" t="n"/>
      <c r="F28" s="15" t="n"/>
      <c r="G28" s="15" t="n"/>
      <c r="H28" s="15" t="n"/>
      <c r="I28" s="15" t="n"/>
      <c r="J28" s="16" t="inlineStr">
        <is>
          <t>CET (weighted avg 20.0%)</t>
        </is>
      </c>
      <c r="K28" s="15" t="n"/>
      <c r="L28" s="15" t="n"/>
      <c r="M28" s="15" t="n"/>
      <c r="N28" s="15" t="n"/>
      <c r="O28" s="15" t="n"/>
      <c r="P28" s="17" t="n">
        <v>302.4</v>
      </c>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c r="A29" s="15" t="n"/>
      <c r="B29" s="15" t="n"/>
      <c r="C29" s="15" t="n"/>
      <c r="D29" s="15" t="n"/>
      <c r="E29" s="15" t="n"/>
      <c r="F29" s="15" t="n"/>
      <c r="G29" s="15" t="n"/>
      <c r="H29" s="15" t="n"/>
      <c r="I29" s="15" t="n"/>
      <c r="J29" s="16" t="inlineStr">
        <is>
          <t xml:space="preserve">  └ 67041100: 20% CET (97% of value)</t>
        </is>
      </c>
      <c r="K29" s="15" t="n"/>
      <c r="L29" s="15" t="n"/>
      <c r="M29" s="15" t="n"/>
      <c r="N29" s="15" t="n"/>
      <c r="O29" s="15" t="n"/>
      <c r="P29" s="17" t="n">
        <v>292.53</v>
      </c>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row>
    <row r="30">
      <c r="A30" s="15" t="n"/>
      <c r="B30" s="15" t="n"/>
      <c r="C30" s="15" t="n"/>
      <c r="D30" s="15" t="n"/>
      <c r="E30" s="15" t="n"/>
      <c r="F30" s="15" t="n"/>
      <c r="G30" s="15" t="n"/>
      <c r="H30" s="15" t="n"/>
      <c r="I30" s="15" t="n"/>
      <c r="J30" s="16" t="inlineStr">
        <is>
          <t xml:space="preserve">  └ 67041900: 20% CET (3% of value)</t>
        </is>
      </c>
      <c r="K30" s="15" t="n"/>
      <c r="L30" s="15" t="n"/>
      <c r="M30" s="15" t="n"/>
      <c r="N30" s="15" t="n"/>
      <c r="O30" s="15" t="n"/>
      <c r="P30" s="17" t="n">
        <v>9.869999999999999</v>
      </c>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row>
    <row r="31">
      <c r="A31" s="15" t="n"/>
      <c r="B31" s="15" t="n"/>
      <c r="C31" s="15" t="n"/>
      <c r="D31" s="15" t="n"/>
      <c r="E31" s="15" t="n"/>
      <c r="F31" s="15" t="n"/>
      <c r="G31" s="15" t="n"/>
      <c r="H31" s="15" t="n"/>
      <c r="I31" s="15" t="n"/>
      <c r="J31" s="16" t="inlineStr">
        <is>
          <t>CSC (6%)</t>
        </is>
      </c>
      <c r="K31" s="15" t="n"/>
      <c r="L31" s="15" t="n"/>
      <c r="M31" s="15" t="n"/>
      <c r="N31" s="15" t="n"/>
      <c r="O31" s="15" t="n"/>
      <c r="P31" s="17" t="n">
        <v>90.72</v>
      </c>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row>
    <row r="32">
      <c r="A32" s="15" t="n"/>
      <c r="B32" s="15" t="n"/>
      <c r="C32" s="15" t="n"/>
      <c r="D32" s="15" t="n"/>
      <c r="E32" s="15" t="n"/>
      <c r="F32" s="15" t="n"/>
      <c r="G32" s="15" t="n"/>
      <c r="H32" s="15" t="n"/>
      <c r="I32" s="15" t="n"/>
      <c r="J32" s="16" t="inlineStr">
        <is>
          <t>VAT (15%) on CIF+CET+CSC</t>
        </is>
      </c>
      <c r="K32" s="15" t="n"/>
      <c r="L32" s="15" t="n"/>
      <c r="M32" s="15" t="n"/>
      <c r="N32" s="15" t="n"/>
      <c r="O32" s="15" t="n"/>
      <c r="P32" s="17" t="n">
        <v>285.76</v>
      </c>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row>
    <row r="33">
      <c r="A33" s="18" t="n"/>
      <c r="B33" s="18" t="n"/>
      <c r="C33" s="18" t="n"/>
      <c r="D33" s="18" t="n"/>
      <c r="E33" s="18" t="n"/>
      <c r="F33" s="18" t="n"/>
      <c r="G33" s="18" t="n"/>
      <c r="H33" s="18" t="n"/>
      <c r="I33" s="18" t="n"/>
      <c r="J33" s="14" t="inlineStr">
        <is>
          <t>ESTIMATED TOTAL DUTIES</t>
        </is>
      </c>
      <c r="K33" s="18" t="n"/>
      <c r="L33" s="18" t="n"/>
      <c r="M33" s="18" t="n"/>
      <c r="N33" s="18" t="n"/>
      <c r="O33" s="18" t="n"/>
      <c r="P33" s="19" t="n">
        <v>678.88</v>
      </c>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row>
    <row r="34">
      <c r="A34" s="15" t="n"/>
      <c r="B34" s="15" t="n"/>
      <c r="C34" s="15" t="n"/>
      <c r="D34" s="15" t="n"/>
      <c r="E34" s="15" t="n"/>
      <c r="F34" s="15" t="n"/>
      <c r="G34" s="15" t="n"/>
      <c r="H34" s="15" t="n"/>
      <c r="I34" s="15" t="n"/>
      <c r="J34" s="16" t="inlineStr">
        <is>
          <t>Effective Duty Rate</t>
        </is>
      </c>
      <c r="K34" s="15" t="n"/>
      <c r="L34" s="15" t="n"/>
      <c r="M34" s="15" t="n"/>
      <c r="N34" s="15" t="n"/>
      <c r="O34" s="15" t="n"/>
      <c r="P34" s="20" t="n">
        <v>0.4490006481567216</v>
      </c>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row>
    <row r="36">
      <c r="A36" s="2" t="inlineStr">
        <is>
          <t>4000-000</t>
        </is>
      </c>
      <c r="B36" s="2" t="n"/>
      <c r="C36" s="2" t="inlineStr">
        <is>
          <t>113-0728579-9633009_Invoice_1</t>
        </is>
      </c>
      <c r="D36" s="2" t="n"/>
      <c r="E36" s="2" t="inlineStr">
        <is>
          <t>HUMAN HAIR</t>
        </is>
      </c>
      <c r="F36" s="2" t="inlineStr">
        <is>
          <t>67042000</t>
        </is>
      </c>
      <c r="G36" s="2" t="n"/>
      <c r="H36" s="2" t="n"/>
      <c r="I36" s="2" t="inlineStr">
        <is>
          <t>67042000</t>
        </is>
      </c>
      <c r="J36" s="2" t="inlineStr">
        <is>
          <t>Zumuer Wear And Go Glueless Wigs Human Hair Pre Plucked Pre Cut Body (1 items)</t>
        </is>
      </c>
      <c r="K36" s="2" t="n">
        <v>3</v>
      </c>
      <c r="L36" s="2" t="n"/>
      <c r="M36" s="2" t="n"/>
      <c r="N36" s="2" t="inlineStr">
        <is>
          <t>USD</t>
        </is>
      </c>
      <c r="O36" s="3" t="n">
        <v>28.27</v>
      </c>
      <c r="P36" s="3" t="n">
        <v>84.81</v>
      </c>
      <c r="Q36" s="3">
        <f>O36*K36</f>
        <v/>
      </c>
      <c r="R36" s="3">
        <f>P36-Q36</f>
        <v/>
      </c>
      <c r="S36" s="3" t="n">
        <v>556.51</v>
      </c>
      <c r="T36" s="3" t="n">
        <v>0</v>
      </c>
      <c r="U36" s="3" t="n">
        <v>0</v>
      </c>
      <c r="V36" s="3" t="n">
        <v>36.4</v>
      </c>
      <c r="W36" s="3" t="n">
        <v>0</v>
      </c>
      <c r="X36" s="2" t="n"/>
      <c r="Y36" s="2" t="n"/>
      <c r="Z36" s="2" t="inlineStr">
        <is>
          <t>AMAZON</t>
        </is>
      </c>
      <c r="AA36" s="2" t="inlineStr">
        <is>
          <t>Amazon.com</t>
        </is>
      </c>
      <c r="AB36" s="2" t="inlineStr">
        <is>
          <t>410 Terry Avenue North, Seattle, WA 98109</t>
        </is>
      </c>
      <c r="AC36" s="2" t="inlineStr">
        <is>
          <t>US</t>
        </is>
      </c>
      <c r="AD36" s="2" t="n"/>
      <c r="AE36" s="2" t="n"/>
      <c r="AF36" s="2" t="n"/>
      <c r="AG36" s="2" t="n"/>
      <c r="AH36" s="2" t="n"/>
      <c r="AI36" s="2" t="n"/>
      <c r="AJ36" s="2" t="n"/>
      <c r="AK36" s="2" t="inlineStr">
        <is>
          <t>67042000</t>
        </is>
      </c>
    </row>
    <row r="37">
      <c r="A37" s="4" t="n"/>
      <c r="B37" s="4" t="n"/>
      <c r="C37" s="4" t="n"/>
      <c r="D37" s="4" t="n"/>
      <c r="E37" s="4" t="n"/>
      <c r="F37" s="4" t="inlineStr">
        <is>
          <t>67042000</t>
        </is>
      </c>
      <c r="G37" s="4" t="n"/>
      <c r="H37" s="4" t="n"/>
      <c r="I37" s="4" t="inlineStr">
        <is>
          <t>AMZ-1</t>
        </is>
      </c>
      <c r="J37" s="4" t="inlineStr">
        <is>
          <t>Zumuer Wear And Go Glueless Wigs Human Hair Pre Plucked Pre Cut Body</t>
        </is>
      </c>
      <c r="K37" s="4" t="n">
        <v>3</v>
      </c>
      <c r="L37" s="4" t="n"/>
      <c r="M37" s="4" t="n"/>
      <c r="N37" s="4" t="inlineStr">
        <is>
          <t>USD</t>
        </is>
      </c>
      <c r="O37" s="5" t="n">
        <v>28.27</v>
      </c>
      <c r="P37" s="5" t="n">
        <v>84.81</v>
      </c>
      <c r="Q37" s="5">
        <f>O37*K37</f>
        <v/>
      </c>
      <c r="R37" s="5">
        <f>P37-Q37</f>
        <v/>
      </c>
      <c r="S37" s="4" t="n"/>
      <c r="T37" s="4" t="n"/>
      <c r="U37" s="4" t="n"/>
      <c r="V37" s="4" t="n"/>
      <c r="W37" s="4" t="n"/>
      <c r="X37" s="4" t="n"/>
      <c r="Y37" s="4" t="n"/>
      <c r="Z37" s="4" t="n"/>
      <c r="AA37" s="4" t="n"/>
      <c r="AB37" s="4" t="n"/>
      <c r="AC37" s="4" t="n"/>
      <c r="AD37" s="4" t="n"/>
      <c r="AE37" s="4" t="n"/>
      <c r="AF37" s="4" t="n"/>
      <c r="AG37" s="4" t="n"/>
      <c r="AH37" s="4" t="n"/>
      <c r="AI37" s="4" t="n"/>
      <c r="AJ37" s="4" t="n"/>
      <c r="AK37" s="4" t="n"/>
    </row>
    <row r="38">
      <c r="A38" s="2" t="n"/>
      <c r="B38" s="2" t="n"/>
      <c r="C38" s="2" t="inlineStr">
        <is>
          <t>113-0728579-9633009_Invoice_1</t>
        </is>
      </c>
      <c r="D38" s="2" t="n"/>
      <c r="E38" s="2" t="inlineStr">
        <is>
          <t>SYNTHETIC HAIR</t>
        </is>
      </c>
      <c r="F38" s="2" t="inlineStr">
        <is>
          <t>67041900</t>
        </is>
      </c>
      <c r="G38" s="2" t="n"/>
      <c r="H38" s="2" t="n"/>
      <c r="I38" s="2" t="inlineStr">
        <is>
          <t>67041900</t>
        </is>
      </c>
      <c r="J38" s="2" t="inlineStr">
        <is>
          <t>Faux Locs Crochet Hair Soft Locs 30 inch 6 Packs Long Pre Looped Crochet (1 items)</t>
        </is>
      </c>
      <c r="K38" s="2" t="n">
        <v>1</v>
      </c>
      <c r="L38" s="2" t="n"/>
      <c r="M38" s="2" t="n"/>
      <c r="N38" s="2" t="inlineStr">
        <is>
          <t>USD</t>
        </is>
      </c>
      <c r="O38" s="3" t="n">
        <v>435.3</v>
      </c>
      <c r="P38" s="3" t="n">
        <v>435.3</v>
      </c>
      <c r="Q38" s="3">
        <f>O38*K38</f>
        <v/>
      </c>
      <c r="R38" s="3">
        <f>P38-Q38</f>
        <v/>
      </c>
      <c r="S38" s="3" t="n"/>
      <c r="T38" s="3" t="n"/>
      <c r="U38" s="3" t="n"/>
      <c r="V38" s="3" t="n"/>
      <c r="W38" s="3" t="n"/>
      <c r="X38" s="2" t="n"/>
      <c r="Y38" s="2" t="n"/>
      <c r="Z38" s="2" t="n"/>
      <c r="AA38" s="2" t="n"/>
      <c r="AB38" s="2" t="n"/>
      <c r="AC38" s="2" t="n"/>
      <c r="AD38" s="2" t="n"/>
      <c r="AE38" s="2" t="n"/>
      <c r="AF38" s="2" t="n"/>
      <c r="AG38" s="2" t="n"/>
      <c r="AH38" s="2" t="n"/>
      <c r="AI38" s="2" t="n"/>
      <c r="AJ38" s="2" t="n"/>
      <c r="AK38" s="2" t="inlineStr">
        <is>
          <t>67041900</t>
        </is>
      </c>
    </row>
    <row r="39">
      <c r="A39" s="4" t="n"/>
      <c r="B39" s="4" t="n"/>
      <c r="C39" s="4" t="n"/>
      <c r="D39" s="4" t="n"/>
      <c r="E39" s="4" t="n"/>
      <c r="F39" s="4" t="inlineStr">
        <is>
          <t>67041900</t>
        </is>
      </c>
      <c r="G39" s="4" t="n"/>
      <c r="H39" s="4" t="n"/>
      <c r="I39" s="4" t="inlineStr">
        <is>
          <t>AMZ-2</t>
        </is>
      </c>
      <c r="J39" s="4" t="inlineStr">
        <is>
          <t>Faux Locs Crochet Hair Soft Locs 30 inch 6 Packs Long Pre Looped Crochet</t>
        </is>
      </c>
      <c r="K39" s="4" t="n">
        <v>1</v>
      </c>
      <c r="L39" s="4" t="n"/>
      <c r="M39" s="4" t="n"/>
      <c r="N39" s="4" t="inlineStr">
        <is>
          <t>USD</t>
        </is>
      </c>
      <c r="O39" s="5" t="n">
        <v>435.3</v>
      </c>
      <c r="P39" s="5" t="n">
        <v>435.3</v>
      </c>
      <c r="Q39" s="5">
        <f>O39*K39</f>
        <v/>
      </c>
      <c r="R39" s="5">
        <f>P39-Q39</f>
        <v/>
      </c>
      <c r="S39" s="4" t="n"/>
      <c r="T39" s="4" t="n"/>
      <c r="U39" s="4" t="n"/>
      <c r="V39" s="4" t="n"/>
      <c r="W39" s="4" t="n"/>
      <c r="X39" s="4" t="n"/>
      <c r="Y39" s="4" t="n"/>
      <c r="Z39" s="4" t="n"/>
      <c r="AA39" s="4" t="n"/>
      <c r="AB39" s="4" t="n"/>
      <c r="AC39" s="4" t="n"/>
      <c r="AD39" s="4" t="n"/>
      <c r="AE39" s="4" t="n"/>
      <c r="AF39" s="4" t="n"/>
      <c r="AG39" s="4" t="n"/>
      <c r="AH39" s="4" t="n"/>
      <c r="AI39" s="4" t="n"/>
      <c r="AJ39" s="4" t="n"/>
      <c r="AK39" s="4" t="n"/>
    </row>
    <row r="40">
      <c r="A40" s="6" t="n"/>
      <c r="B40" s="6" t="n"/>
      <c r="C40" s="6" t="n"/>
      <c r="D40" s="6" t="n"/>
      <c r="E40" s="6" t="n"/>
      <c r="F40" s="6" t="n"/>
      <c r="G40" s="6" t="n"/>
      <c r="H40" s="6" t="n"/>
      <c r="I40" s="6" t="n"/>
      <c r="J40" s="6" t="inlineStr">
        <is>
          <t>SUBTOTAL (GROUPED)</t>
        </is>
      </c>
      <c r="K40" s="6" t="n"/>
      <c r="L40" s="6" t="n"/>
      <c r="M40" s="6" t="n"/>
      <c r="N40" s="6" t="n"/>
      <c r="O40" s="6" t="n"/>
      <c r="P40" s="7">
        <f>P36+P38</f>
        <v/>
      </c>
      <c r="Q40" s="7">
        <f>Q36+Q38</f>
        <v/>
      </c>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SUBTOTAL (DETAILS)</t>
        </is>
      </c>
      <c r="K41" s="6" t="n"/>
      <c r="L41" s="6" t="n"/>
      <c r="M41" s="6" t="n"/>
      <c r="N41" s="6" t="n"/>
      <c r="O41" s="6" t="n"/>
      <c r="P41" s="7">
        <f>SUM(P36:P39)-P40</f>
        <v/>
      </c>
      <c r="Q41" s="7">
        <f>SUM(Q36:Q39)-Q40</f>
        <v/>
      </c>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c r="A42" s="8" t="n"/>
      <c r="B42" s="8" t="n"/>
      <c r="C42" s="8" t="n"/>
      <c r="D42" s="8" t="n"/>
      <c r="E42" s="8" t="n"/>
      <c r="F42" s="8" t="n"/>
      <c r="G42" s="8" t="n"/>
      <c r="H42" s="8" t="n"/>
      <c r="I42" s="8" t="n"/>
      <c r="J42" s="8" t="inlineStr">
        <is>
          <t>GROUP VERIFICATION</t>
        </is>
      </c>
      <c r="K42" s="8" t="n"/>
      <c r="L42" s="8" t="n"/>
      <c r="M42" s="8" t="n"/>
      <c r="N42" s="8" t="n"/>
      <c r="O42" s="8" t="n"/>
      <c r="P42" s="9">
        <f>P40-P41</f>
        <v/>
      </c>
      <c r="Q42" s="9">
        <f>Q40-Q41</f>
        <v/>
      </c>
      <c r="R42" s="8" t="n"/>
      <c r="S42" s="8" t="n"/>
      <c r="T42" s="8" t="n"/>
      <c r="U42" s="8" t="n"/>
      <c r="V42" s="8" t="n"/>
      <c r="W42" s="8" t="n"/>
      <c r="X42" s="8" t="n"/>
      <c r="Y42" s="8" t="n"/>
      <c r="Z42" s="8" t="n"/>
      <c r="AA42" s="8" t="n"/>
      <c r="AB42" s="8" t="n"/>
      <c r="AC42" s="8" t="n"/>
      <c r="AD42" s="8" t="n"/>
      <c r="AE42" s="8" t="n"/>
      <c r="AF42" s="8" t="n"/>
      <c r="AG42" s="8" t="n"/>
      <c r="AH42" s="8" t="n"/>
      <c r="AI42" s="8" t="n"/>
      <c r="AJ42" s="8" t="n"/>
      <c r="AK42" s="8" t="n"/>
    </row>
    <row r="43"/>
    <row r="44">
      <c r="A44" s="6" t="n"/>
      <c r="B44" s="6" t="n"/>
      <c r="C44" s="6" t="n"/>
      <c r="D44" s="6" t="n"/>
      <c r="E44" s="6" t="n"/>
      <c r="F44" s="6" t="n"/>
      <c r="G44" s="6" t="n"/>
      <c r="H44" s="6" t="n"/>
      <c r="I44" s="6" t="n"/>
      <c r="J44" s="6" t="inlineStr">
        <is>
          <t>TOTAL INTERNAL FREIGHT</t>
        </is>
      </c>
      <c r="K44" s="6" t="n"/>
      <c r="L44" s="6" t="n"/>
      <c r="M44" s="6" t="n"/>
      <c r="N44" s="6" t="n"/>
      <c r="O44" s="6" t="n"/>
      <c r="P44" s="7" t="n">
        <v>0</v>
      </c>
      <c r="Q44" s="7" t="n"/>
      <c r="R44" s="6" t="n"/>
      <c r="S44" s="6" t="n"/>
      <c r="T44" s="6" t="n"/>
      <c r="U44" s="6" t="n"/>
      <c r="V44" s="6" t="n"/>
      <c r="W44" s="6" t="n"/>
      <c r="X44" s="6" t="n"/>
      <c r="Y44" s="6" t="n"/>
      <c r="Z44" s="6" t="n"/>
      <c r="AA44" s="6" t="n"/>
      <c r="AB44" s="6" t="n"/>
      <c r="AC44" s="6" t="n"/>
      <c r="AD44" s="6" t="n"/>
      <c r="AE44" s="6" t="n"/>
      <c r="AF44" s="6" t="n"/>
      <c r="AG44" s="6" t="n"/>
      <c r="AH44" s="6" t="n"/>
      <c r="AI44" s="6" t="n"/>
      <c r="AJ44" s="6" t="n"/>
      <c r="AK44" s="6" t="n"/>
    </row>
    <row r="45">
      <c r="A45" s="6" t="n"/>
      <c r="B45" s="6" t="n"/>
      <c r="C45" s="6" t="n"/>
      <c r="D45" s="6" t="n"/>
      <c r="E45" s="6" t="n"/>
      <c r="F45" s="6" t="n"/>
      <c r="G45" s="6" t="n"/>
      <c r="H45" s="6" t="n"/>
      <c r="I45" s="6" t="n"/>
      <c r="J45" s="6" t="inlineStr">
        <is>
          <t>TOTAL INSURANCE</t>
        </is>
      </c>
      <c r="K45" s="6" t="n"/>
      <c r="L45" s="6" t="n"/>
      <c r="M45" s="6" t="n"/>
      <c r="N45" s="6" t="n"/>
      <c r="O45" s="6" t="n"/>
      <c r="P45" s="7" t="n">
        <v>0</v>
      </c>
      <c r="Q45" s="7" t="n"/>
      <c r="R45" s="6" t="n"/>
      <c r="S45" s="6" t="n"/>
      <c r="T45" s="6" t="n"/>
      <c r="U45" s="6" t="n"/>
      <c r="V45" s="6" t="n"/>
      <c r="W45" s="6" t="n"/>
      <c r="X45" s="6" t="n"/>
      <c r="Y45" s="6" t="n"/>
      <c r="Z45" s="6" t="n"/>
      <c r="AA45" s="6" t="n"/>
      <c r="AB45" s="6" t="n"/>
      <c r="AC45" s="6" t="n"/>
      <c r="AD45" s="6" t="n"/>
      <c r="AE45" s="6" t="n"/>
      <c r="AF45" s="6" t="n"/>
      <c r="AG45" s="6" t="n"/>
      <c r="AH45" s="6" t="n"/>
      <c r="AI45" s="6" t="n"/>
      <c r="AJ45" s="6" t="n"/>
      <c r="AK45" s="6" t="n"/>
    </row>
    <row r="46">
      <c r="A46" s="6" t="n"/>
      <c r="B46" s="6" t="n"/>
      <c r="C46" s="6" t="n"/>
      <c r="D46" s="6" t="n"/>
      <c r="E46" s="6" t="n"/>
      <c r="F46" s="6" t="n"/>
      <c r="G46" s="6" t="n"/>
      <c r="H46" s="6" t="n"/>
      <c r="I46" s="6" t="n"/>
      <c r="J46" s="6" t="inlineStr">
        <is>
          <t>TOTAL OTHER COST</t>
        </is>
      </c>
      <c r="K46" s="6" t="n"/>
      <c r="L46" s="6" t="n"/>
      <c r="M46" s="6" t="n"/>
      <c r="N46" s="6" t="n"/>
      <c r="O46" s="6" t="n"/>
      <c r="P46" s="7" t="n">
        <v>36.4</v>
      </c>
      <c r="Q46" s="7" t="n"/>
      <c r="R46" s="6" t="n"/>
      <c r="S46" s="6" t="n"/>
      <c r="T46" s="6" t="n"/>
      <c r="U46" s="6" t="n"/>
      <c r="V46" s="6" t="n"/>
      <c r="W46" s="6" t="n"/>
      <c r="X46" s="6" t="n"/>
      <c r="Y46" s="6" t="n"/>
      <c r="Z46" s="6" t="n"/>
      <c r="AA46" s="6" t="n"/>
      <c r="AB46" s="6" t="n"/>
      <c r="AC46" s="6" t="n"/>
      <c r="AD46" s="6" t="n"/>
      <c r="AE46" s="6" t="n"/>
      <c r="AF46" s="6" t="n"/>
      <c r="AG46" s="6" t="n"/>
      <c r="AH46" s="6" t="n"/>
      <c r="AI46" s="6" t="n"/>
      <c r="AJ46" s="6" t="n"/>
      <c r="AK46" s="6" t="n"/>
    </row>
    <row r="47">
      <c r="A47" s="6" t="n"/>
      <c r="B47" s="6" t="n"/>
      <c r="C47" s="6" t="n"/>
      <c r="D47" s="6" t="n"/>
      <c r="E47" s="6" t="n"/>
      <c r="F47" s="6" t="n"/>
      <c r="G47" s="6" t="n"/>
      <c r="H47" s="6" t="n"/>
      <c r="I47" s="6" t="n"/>
      <c r="J47" s="6" t="inlineStr">
        <is>
          <t>TOTAL DEDUCTION</t>
        </is>
      </c>
      <c r="K47" s="6" t="n"/>
      <c r="L47" s="6" t="n"/>
      <c r="M47" s="6" t="n"/>
      <c r="N47" s="6" t="n"/>
      <c r="O47" s="6" t="n"/>
      <c r="P47" s="7" t="n">
        <v>0</v>
      </c>
      <c r="Q47" s="7" t="n"/>
      <c r="R47" s="6" t="n"/>
      <c r="S47" s="6" t="n"/>
      <c r="T47" s="6" t="n"/>
      <c r="U47" s="6" t="n"/>
      <c r="V47" s="6" t="n"/>
      <c r="W47" s="6" t="n"/>
      <c r="X47" s="6" t="n"/>
      <c r="Y47" s="6" t="n"/>
      <c r="Z47" s="6" t="n"/>
      <c r="AA47" s="6" t="n"/>
      <c r="AB47" s="6" t="n"/>
      <c r="AC47" s="6" t="n"/>
      <c r="AD47" s="6" t="n"/>
      <c r="AE47" s="6" t="n"/>
      <c r="AF47" s="6" t="n"/>
      <c r="AG47" s="6" t="n"/>
      <c r="AH47" s="6" t="n"/>
      <c r="AI47" s="6" t="n"/>
      <c r="AJ47" s="6" t="n"/>
      <c r="AK47" s="6" t="n"/>
    </row>
    <row r="48">
      <c r="A48" s="6" t="n"/>
      <c r="B48" s="6" t="n"/>
      <c r="C48" s="6" t="n"/>
      <c r="D48" s="6" t="n"/>
      <c r="E48" s="6" t="n"/>
      <c r="F48" s="6" t="n"/>
      <c r="G48" s="6" t="n"/>
      <c r="H48" s="6" t="n"/>
      <c r="I48" s="6" t="n"/>
      <c r="J48" s="6" t="inlineStr">
        <is>
          <t>ADJUSTMENTS</t>
        </is>
      </c>
      <c r="K48" s="6" t="n"/>
      <c r="L48" s="6" t="n"/>
      <c r="M48" s="6" t="n"/>
      <c r="N48" s="6" t="n"/>
      <c r="O48" s="6" t="n"/>
      <c r="P48" s="7">
        <f>(T36+U36+V36-W36)</f>
        <v/>
      </c>
      <c r="Q48" s="7">
        <f>(T36+U36+V36-W36)</f>
        <v/>
      </c>
      <c r="R48" s="6" t="n"/>
      <c r="S48" s="6" t="n"/>
      <c r="T48" s="6" t="n"/>
      <c r="U48" s="6" t="n"/>
      <c r="V48" s="6" t="n"/>
      <c r="W48" s="6" t="n"/>
      <c r="X48" s="6" t="n"/>
      <c r="Y48" s="6" t="n"/>
      <c r="Z48" s="6" t="n"/>
      <c r="AA48" s="6" t="n"/>
      <c r="AB48" s="6" t="n"/>
      <c r="AC48" s="6" t="n"/>
      <c r="AD48" s="6" t="n"/>
      <c r="AE48" s="6" t="n"/>
      <c r="AF48" s="6" t="n"/>
      <c r="AG48" s="6" t="n"/>
      <c r="AH48" s="6" t="n"/>
      <c r="AI48" s="6" t="n"/>
      <c r="AJ48" s="6" t="n"/>
      <c r="AK48" s="6" t="n"/>
    </row>
    <row r="49"/>
    <row r="50">
      <c r="A50" s="6" t="n"/>
      <c r="B50" s="6" t="n"/>
      <c r="C50" s="6" t="n"/>
      <c r="D50" s="6" t="n"/>
      <c r="E50" s="6" t="n"/>
      <c r="F50" s="6" t="n"/>
      <c r="G50" s="6" t="n"/>
      <c r="H50" s="6" t="n"/>
      <c r="I50" s="6" t="n"/>
      <c r="J50" s="6" t="inlineStr">
        <is>
          <t>NET TOTAL</t>
        </is>
      </c>
      <c r="K50" s="6" t="n"/>
      <c r="L50" s="6" t="n"/>
      <c r="M50" s="6" t="n"/>
      <c r="N50" s="6" t="n"/>
      <c r="O50" s="6" t="n"/>
      <c r="P50" s="7">
        <f>P40+P48</f>
        <v/>
      </c>
      <c r="Q50" s="7">
        <f>Q40+Q48</f>
        <v/>
      </c>
      <c r="R50" s="6" t="n"/>
      <c r="S50" s="6" t="n"/>
      <c r="T50" s="6" t="n"/>
      <c r="U50" s="6" t="n"/>
      <c r="V50" s="6" t="n"/>
      <c r="W50" s="6" t="n"/>
      <c r="X50" s="6" t="n"/>
      <c r="Y50" s="6" t="n"/>
      <c r="Z50" s="6" t="n"/>
      <c r="AA50" s="6" t="n"/>
      <c r="AB50" s="6" t="n"/>
      <c r="AC50" s="6" t="n"/>
      <c r="AD50" s="6" t="n"/>
      <c r="AE50" s="6" t="n"/>
      <c r="AF50" s="6" t="n"/>
      <c r="AG50" s="6" t="n"/>
      <c r="AH50" s="6" t="n"/>
      <c r="AI50" s="6" t="n"/>
      <c r="AJ50" s="6" t="n"/>
      <c r="AK50" s="6" t="n"/>
    </row>
    <row r="51">
      <c r="A51" s="6" t="n"/>
      <c r="B51" s="6" t="n"/>
      <c r="C51" s="6" t="n"/>
      <c r="D51" s="6" t="n"/>
      <c r="E51" s="6" t="n"/>
      <c r="F51" s="6" t="n"/>
      <c r="G51" s="6" t="n"/>
      <c r="H51" s="6" t="n"/>
      <c r="I51" s="6" t="n"/>
      <c r="J51" s="6" t="inlineStr">
        <is>
          <t>INVOICE TOTAL</t>
        </is>
      </c>
      <c r="K51" s="6" t="n"/>
      <c r="L51" s="6" t="n"/>
      <c r="M51" s="6" t="n"/>
      <c r="N51" s="6" t="n"/>
      <c r="O51" s="6" t="n"/>
      <c r="P51" s="7">
        <f>S36</f>
        <v/>
      </c>
      <c r="Q51" s="7" t="n"/>
      <c r="R51" s="6" t="n"/>
      <c r="S51" s="6" t="n"/>
      <c r="T51" s="6" t="n"/>
      <c r="U51" s="6" t="n"/>
      <c r="V51" s="6" t="n"/>
      <c r="W51" s="6" t="n"/>
      <c r="X51" s="6" t="n"/>
      <c r="Y51" s="6" t="n"/>
      <c r="Z51" s="6" t="n"/>
      <c r="AA51" s="6" t="n"/>
      <c r="AB51" s="6" t="n"/>
      <c r="AC51" s="6" t="n"/>
      <c r="AD51" s="6" t="n"/>
      <c r="AE51" s="6" t="n"/>
      <c r="AF51" s="6" t="n"/>
      <c r="AG51" s="6" t="n"/>
      <c r="AH51" s="6" t="n"/>
      <c r="AI51" s="6" t="n"/>
      <c r="AJ51" s="6" t="n"/>
      <c r="AK51" s="6" t="n"/>
    </row>
    <row r="52"/>
    <row r="53">
      <c r="A53" s="10" t="n"/>
      <c r="B53" s="10" t="n"/>
      <c r="C53" s="10" t="n"/>
      <c r="D53" s="10" t="n"/>
      <c r="E53" s="10" t="n"/>
      <c r="F53" s="10" t="n"/>
      <c r="G53" s="10" t="n"/>
      <c r="H53" s="10" t="n"/>
      <c r="I53" s="10" t="n"/>
      <c r="J53" s="10" t="inlineStr">
        <is>
          <t>VARIANCE CHECK</t>
        </is>
      </c>
      <c r="K53" s="10" t="n"/>
      <c r="L53" s="10" t="n"/>
      <c r="M53" s="10" t="n"/>
      <c r="N53" s="10" t="n"/>
      <c r="O53" s="10" t="n"/>
      <c r="P53" s="11">
        <f>S36-P50</f>
        <v/>
      </c>
      <c r="Q53" s="11">
        <f>S36-Q50</f>
        <v/>
      </c>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row>
    <row r="54"/>
    <row r="55">
      <c r="A55" s="14" t="n"/>
      <c r="B55" s="14" t="n"/>
      <c r="C55" s="14" t="n"/>
      <c r="D55" s="14" t="n"/>
      <c r="E55" s="14" t="n"/>
      <c r="F55" s="14" t="n"/>
      <c r="G55" s="14" t="n"/>
      <c r="H55" s="14" t="n"/>
      <c r="I55" s="14" t="n"/>
      <c r="J55" s="14" t="inlineStr">
        <is>
          <t>DUTY ESTIMATION (Classification Cross-Check)</t>
        </is>
      </c>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row>
    <row r="56">
      <c r="A56" s="15" t="n"/>
      <c r="B56" s="15" t="n"/>
      <c r="C56" s="15" t="n"/>
      <c r="D56" s="15" t="n"/>
      <c r="E56" s="15" t="n"/>
      <c r="F56" s="15" t="n"/>
      <c r="G56" s="15" t="n"/>
      <c r="H56" s="15" t="n"/>
      <c r="I56" s="15" t="n"/>
      <c r="J56" s="16" t="inlineStr">
        <is>
          <t>CIF (USD) = InvTotal + Freight + Insurance</t>
        </is>
      </c>
      <c r="K56" s="15" t="n"/>
      <c r="L56" s="15" t="n"/>
      <c r="M56" s="15" t="n"/>
      <c r="N56" s="15" t="n"/>
      <c r="O56" s="15" t="n"/>
      <c r="P56" s="17" t="n">
        <v>556.51</v>
      </c>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c r="A57" s="15" t="n"/>
      <c r="B57" s="15" t="n"/>
      <c r="C57" s="15" t="n"/>
      <c r="D57" s="15" t="n"/>
      <c r="E57" s="15" t="n"/>
      <c r="F57" s="15" t="n"/>
      <c r="G57" s="15" t="n"/>
      <c r="H57" s="15" t="n"/>
      <c r="I57" s="15" t="n"/>
      <c r="J57" s="16" t="inlineStr">
        <is>
          <t>CIF (XCD) = CIF × 2.7169</t>
        </is>
      </c>
      <c r="K57" s="15" t="n"/>
      <c r="L57" s="15" t="n"/>
      <c r="M57" s="15" t="n"/>
      <c r="N57" s="15" t="n"/>
      <c r="O57" s="15" t="n"/>
      <c r="P57" s="17" t="n">
        <v>1511.98</v>
      </c>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c r="A58" s="15" t="n"/>
      <c r="B58" s="15" t="n"/>
      <c r="C58" s="15" t="n"/>
      <c r="D58" s="15" t="n"/>
      <c r="E58" s="15" t="n"/>
      <c r="F58" s="15" t="n"/>
      <c r="G58" s="15" t="n"/>
      <c r="H58" s="15" t="n"/>
      <c r="I58" s="15" t="n"/>
      <c r="J58" s="16" t="inlineStr">
        <is>
          <t>CET (weighted avg 20.0%)</t>
        </is>
      </c>
      <c r="K58" s="15" t="n"/>
      <c r="L58" s="15" t="n"/>
      <c r="M58" s="15" t="n"/>
      <c r="N58" s="15" t="n"/>
      <c r="O58" s="15" t="n"/>
      <c r="P58" s="17" t="n">
        <v>302.4</v>
      </c>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row>
    <row r="59">
      <c r="A59" s="15" t="n"/>
      <c r="B59" s="15" t="n"/>
      <c r="C59" s="15" t="n"/>
      <c r="D59" s="15" t="n"/>
      <c r="E59" s="15" t="n"/>
      <c r="F59" s="15" t="n"/>
      <c r="G59" s="15" t="n"/>
      <c r="H59" s="15" t="n"/>
      <c r="I59" s="15" t="n"/>
      <c r="J59" s="16" t="inlineStr">
        <is>
          <t xml:space="preserve">  └ 67041900: 20% CET (84% of value)</t>
        </is>
      </c>
      <c r="K59" s="15" t="n"/>
      <c r="L59" s="15" t="n"/>
      <c r="M59" s="15" t="n"/>
      <c r="N59" s="15" t="n"/>
      <c r="O59" s="15" t="n"/>
      <c r="P59" s="17" t="n">
        <v>253.09</v>
      </c>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c r="A60" s="15" t="n"/>
      <c r="B60" s="15" t="n"/>
      <c r="C60" s="15" t="n"/>
      <c r="D60" s="15" t="n"/>
      <c r="E60" s="15" t="n"/>
      <c r="F60" s="15" t="n"/>
      <c r="G60" s="15" t="n"/>
      <c r="H60" s="15" t="n"/>
      <c r="I60" s="15" t="n"/>
      <c r="J60" s="16" t="inlineStr">
        <is>
          <t xml:space="preserve">  └ 67042000: 20% CET (16% of value)</t>
        </is>
      </c>
      <c r="K60" s="15" t="n"/>
      <c r="L60" s="15" t="n"/>
      <c r="M60" s="15" t="n"/>
      <c r="N60" s="15" t="n"/>
      <c r="O60" s="15" t="n"/>
      <c r="P60" s="17" t="n">
        <v>49.31</v>
      </c>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row>
    <row r="61">
      <c r="A61" s="15" t="n"/>
      <c r="B61" s="15" t="n"/>
      <c r="C61" s="15" t="n"/>
      <c r="D61" s="15" t="n"/>
      <c r="E61" s="15" t="n"/>
      <c r="F61" s="15" t="n"/>
      <c r="G61" s="15" t="n"/>
      <c r="H61" s="15" t="n"/>
      <c r="I61" s="15" t="n"/>
      <c r="J61" s="16" t="inlineStr">
        <is>
          <t>CSC (6%)</t>
        </is>
      </c>
      <c r="K61" s="15" t="n"/>
      <c r="L61" s="15" t="n"/>
      <c r="M61" s="15" t="n"/>
      <c r="N61" s="15" t="n"/>
      <c r="O61" s="15" t="n"/>
      <c r="P61" s="17" t="n">
        <v>90.72</v>
      </c>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row>
    <row r="62">
      <c r="A62" s="15" t="n"/>
      <c r="B62" s="15" t="n"/>
      <c r="C62" s="15" t="n"/>
      <c r="D62" s="15" t="n"/>
      <c r="E62" s="15" t="n"/>
      <c r="F62" s="15" t="n"/>
      <c r="G62" s="15" t="n"/>
      <c r="H62" s="15" t="n"/>
      <c r="I62" s="15" t="n"/>
      <c r="J62" s="16" t="inlineStr">
        <is>
          <t>VAT (15%) on CIF+CET+CSC</t>
        </is>
      </c>
      <c r="K62" s="15" t="n"/>
      <c r="L62" s="15" t="n"/>
      <c r="M62" s="15" t="n"/>
      <c r="N62" s="15" t="n"/>
      <c r="O62" s="15" t="n"/>
      <c r="P62" s="17" t="n">
        <v>285.76</v>
      </c>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row>
    <row r="63">
      <c r="A63" s="18" t="n"/>
      <c r="B63" s="18" t="n"/>
      <c r="C63" s="18" t="n"/>
      <c r="D63" s="18" t="n"/>
      <c r="E63" s="18" t="n"/>
      <c r="F63" s="18" t="n"/>
      <c r="G63" s="18" t="n"/>
      <c r="H63" s="18" t="n"/>
      <c r="I63" s="18" t="n"/>
      <c r="J63" s="14" t="inlineStr">
        <is>
          <t>ESTIMATED TOTAL DUTIES</t>
        </is>
      </c>
      <c r="K63" s="18" t="n"/>
      <c r="L63" s="18" t="n"/>
      <c r="M63" s="18" t="n"/>
      <c r="N63" s="18" t="n"/>
      <c r="O63" s="18" t="n"/>
      <c r="P63" s="19" t="n">
        <v>678.88</v>
      </c>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row>
    <row r="64">
      <c r="A64" s="15" t="n"/>
      <c r="B64" s="15" t="n"/>
      <c r="C64" s="15" t="n"/>
      <c r="D64" s="15" t="n"/>
      <c r="E64" s="15" t="n"/>
      <c r="F64" s="15" t="n"/>
      <c r="G64" s="15" t="n"/>
      <c r="H64" s="15" t="n"/>
      <c r="I64" s="15" t="n"/>
      <c r="J64" s="16" t="inlineStr">
        <is>
          <t>Effective Duty Rate</t>
        </is>
      </c>
      <c r="K64" s="15" t="n"/>
      <c r="L64" s="15" t="n"/>
      <c r="M64" s="15" t="n"/>
      <c r="N64" s="15" t="n"/>
      <c r="O64" s="15" t="n"/>
      <c r="P64" s="20" t="n">
        <v>0.4490006481567216</v>
      </c>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c r="AA65" s="21" t="n"/>
      <c r="AB65" s="21" t="n"/>
      <c r="AC65" s="21" t="n"/>
      <c r="AD65" s="21" t="n"/>
      <c r="AE65" s="21" t="n"/>
      <c r="AF65" s="21" t="n"/>
      <c r="AG65" s="21" t="n"/>
      <c r="AH65" s="21" t="n"/>
      <c r="AI65" s="21" t="n"/>
      <c r="AJ65" s="21" t="n"/>
      <c r="AK65" s="21" t="n"/>
    </row>
    <row r="66">
      <c r="A66" s="2" t="inlineStr">
        <is>
          <t>4000-000</t>
        </is>
      </c>
      <c r="B66" s="2" t="n"/>
      <c r="C66" s="2" t="inlineStr">
        <is>
          <t>HAWB9606117-Declaration_Invoice_1</t>
        </is>
      </c>
      <c r="D66" s="2" t="n"/>
      <c r="E66" s="2" t="inlineStr">
        <is>
          <t>HUMAN HAIR</t>
        </is>
      </c>
      <c r="F66" s="2" t="inlineStr">
        <is>
          <t>67042000</t>
        </is>
      </c>
      <c r="G66" s="2" t="n"/>
      <c r="H66" s="2" t="n"/>
      <c r="I66" s="2" t="inlineStr">
        <is>
          <t>67042000</t>
        </is>
      </c>
      <c r="J66" s="2" t="inlineStr">
        <is>
          <t>Zumuer Wear And Go Glueless Wigs Human Hair Pre Plucked Pre Cut Body Wave Lac... (1 items)</t>
        </is>
      </c>
      <c r="K66" s="2" t="n">
        <v>3</v>
      </c>
      <c r="L66" s="2" t="n"/>
      <c r="M66" s="2" t="n"/>
      <c r="N66" s="2" t="inlineStr">
        <is>
          <t>USD</t>
        </is>
      </c>
      <c r="O66" s="3" t="n">
        <v>28.27</v>
      </c>
      <c r="P66" s="3" t="n">
        <v>84.81</v>
      </c>
      <c r="Q66" s="3">
        <f>O66*K66</f>
        <v/>
      </c>
      <c r="R66" s="3">
        <f>P66-Q66</f>
        <v/>
      </c>
      <c r="S66" s="3" t="n">
        <v>556.51</v>
      </c>
      <c r="T66" s="3" t="n">
        <v>0</v>
      </c>
      <c r="U66" s="3" t="n">
        <v>0</v>
      </c>
      <c r="V66" s="3" t="n">
        <v>36.4</v>
      </c>
      <c r="W66" s="3" t="n">
        <v>0</v>
      </c>
      <c r="X66" s="2" t="n"/>
      <c r="Y66" s="2" t="n"/>
      <c r="Z66" s="2" t="inlineStr">
        <is>
          <t>AMAZON</t>
        </is>
      </c>
      <c r="AA66" s="2" t="inlineStr">
        <is>
          <t>Amazon.com</t>
        </is>
      </c>
      <c r="AB66" s="2" t="inlineStr">
        <is>
          <t>410 Terry Avenue North, Seattle, WA 98109</t>
        </is>
      </c>
      <c r="AC66" s="2" t="inlineStr">
        <is>
          <t>US</t>
        </is>
      </c>
      <c r="AD66" s="2" t="n"/>
      <c r="AE66" s="2" t="n"/>
      <c r="AF66" s="2" t="n"/>
      <c r="AG66" s="2" t="n"/>
      <c r="AH66" s="2" t="n"/>
      <c r="AI66" s="2" t="n"/>
      <c r="AJ66" s="2" t="n"/>
      <c r="AK66" s="2" t="inlineStr">
        <is>
          <t>67042000</t>
        </is>
      </c>
    </row>
    <row r="67">
      <c r="A67" s="4" t="n"/>
      <c r="B67" s="4" t="n"/>
      <c r="C67" s="4" t="n"/>
      <c r="D67" s="4" t="n"/>
      <c r="E67" s="4" t="n"/>
      <c r="F67" s="4" t="inlineStr">
        <is>
          <t>67042000</t>
        </is>
      </c>
      <c r="G67" s="4" t="n"/>
      <c r="H67" s="4" t="n"/>
      <c r="I67" s="4" t="inlineStr">
        <is>
          <t>AMZ-1</t>
        </is>
      </c>
      <c r="J67" s="4" t="inlineStr">
        <is>
          <t>Zumuer Wear And Go Glueless Wigs Human Hair Pre Plucked Pre Cut Body Wave Lac...</t>
        </is>
      </c>
      <c r="K67" s="4" t="n">
        <v>3</v>
      </c>
      <c r="L67" s="4" t="n"/>
      <c r="M67" s="4" t="n"/>
      <c r="N67" s="4" t="inlineStr">
        <is>
          <t>USD</t>
        </is>
      </c>
      <c r="O67" s="5" t="n">
        <v>28.27</v>
      </c>
      <c r="P67" s="5" t="n">
        <v>84.81</v>
      </c>
      <c r="Q67" s="5">
        <f>O67*K67</f>
        <v/>
      </c>
      <c r="R67" s="5">
        <f>P67-Q67</f>
        <v/>
      </c>
      <c r="S67" s="4" t="n"/>
      <c r="T67" s="4" t="n"/>
      <c r="U67" s="4" t="n"/>
      <c r="V67" s="4" t="n"/>
      <c r="W67" s="4" t="n"/>
      <c r="X67" s="4" t="n"/>
      <c r="Y67" s="4" t="n"/>
      <c r="Z67" s="4" t="n"/>
      <c r="AA67" s="4" t="n"/>
      <c r="AB67" s="4" t="n"/>
      <c r="AC67" s="4" t="n"/>
      <c r="AD67" s="4" t="n"/>
      <c r="AE67" s="4" t="n"/>
      <c r="AF67" s="4" t="n"/>
      <c r="AG67" s="4" t="n"/>
      <c r="AH67" s="4" t="n"/>
      <c r="AI67" s="4" t="n"/>
      <c r="AJ67" s="4" t="n"/>
      <c r="AK67" s="4" t="n"/>
    </row>
    <row r="68">
      <c r="A68" s="2" t="n"/>
      <c r="B68" s="2" t="n"/>
      <c r="C68" s="2" t="inlineStr">
        <is>
          <t>HAWB9606117-Declaration_Invoice_1</t>
        </is>
      </c>
      <c r="D68" s="2" t="n"/>
      <c r="E68" s="2" t="inlineStr">
        <is>
          <t>SYNTHETIC HAIR</t>
        </is>
      </c>
      <c r="F68" s="2" t="inlineStr">
        <is>
          <t>67041900</t>
        </is>
      </c>
      <c r="G68" s="2" t="n"/>
      <c r="H68" s="2" t="n"/>
      <c r="I68" s="2" t="inlineStr">
        <is>
          <t>67041900</t>
        </is>
      </c>
      <c r="J68" s="2" t="inlineStr">
        <is>
          <t>Faux Locs Crochet Hair Soft Locs 30 inch 6 Packs Long Pre Looped Crochet Locs... (1 items)</t>
        </is>
      </c>
      <c r="K68" s="2" t="n">
        <v>1</v>
      </c>
      <c r="L68" s="2" t="n"/>
      <c r="M68" s="2" t="n"/>
      <c r="N68" s="2" t="inlineStr">
        <is>
          <t>USD</t>
        </is>
      </c>
      <c r="O68" s="3" t="n">
        <v>435.3</v>
      </c>
      <c r="P68" s="3" t="n">
        <v>435.3</v>
      </c>
      <c r="Q68" s="3">
        <f>O68*K68</f>
        <v/>
      </c>
      <c r="R68" s="3">
        <f>P68-Q68</f>
        <v/>
      </c>
      <c r="S68" s="3" t="n"/>
      <c r="T68" s="3" t="n"/>
      <c r="U68" s="3" t="n"/>
      <c r="V68" s="3" t="n"/>
      <c r="W68" s="3" t="n"/>
      <c r="X68" s="2" t="n"/>
      <c r="Y68" s="2" t="n"/>
      <c r="Z68" s="2" t="n"/>
      <c r="AA68" s="2" t="n"/>
      <c r="AB68" s="2" t="n"/>
      <c r="AC68" s="2" t="n"/>
      <c r="AD68" s="2" t="n"/>
      <c r="AE68" s="2" t="n"/>
      <c r="AF68" s="2" t="n"/>
      <c r="AG68" s="2" t="n"/>
      <c r="AH68" s="2" t="n"/>
      <c r="AI68" s="2" t="n"/>
      <c r="AJ68" s="2" t="n"/>
      <c r="AK68" s="2" t="inlineStr">
        <is>
          <t>67041900</t>
        </is>
      </c>
    </row>
    <row r="69">
      <c r="A69" s="4" t="n"/>
      <c r="B69" s="4" t="n"/>
      <c r="C69" s="4" t="n"/>
      <c r="D69" s="4" t="n"/>
      <c r="E69" s="4" t="n"/>
      <c r="F69" s="4" t="inlineStr">
        <is>
          <t>67041900</t>
        </is>
      </c>
      <c r="G69" s="4" t="n"/>
      <c r="H69" s="4" t="n"/>
      <c r="I69" s="4" t="inlineStr">
        <is>
          <t>AMZ-2</t>
        </is>
      </c>
      <c r="J69" s="4" t="inlineStr">
        <is>
          <t>Faux Locs Crochet Hair Soft Locs 30 inch 6 Packs Long Pre Looped Crochet Locs...</t>
        </is>
      </c>
      <c r="K69" s="4" t="n">
        <v>1</v>
      </c>
      <c r="L69" s="4" t="n"/>
      <c r="M69" s="4" t="n"/>
      <c r="N69" s="4" t="inlineStr">
        <is>
          <t>USD</t>
        </is>
      </c>
      <c r="O69" s="5" t="n">
        <v>435.3</v>
      </c>
      <c r="P69" s="5" t="n">
        <v>435.3</v>
      </c>
      <c r="Q69" s="5">
        <f>O69*K69</f>
        <v/>
      </c>
      <c r="R69" s="5">
        <f>P69-Q69</f>
        <v/>
      </c>
      <c r="S69" s="4" t="n"/>
      <c r="T69" s="4" t="n"/>
      <c r="U69" s="4" t="n"/>
      <c r="V69" s="4" t="n"/>
      <c r="W69" s="4" t="n"/>
      <c r="X69" s="4" t="n"/>
      <c r="Y69" s="4" t="n"/>
      <c r="Z69" s="4" t="n"/>
      <c r="AA69" s="4" t="n"/>
      <c r="AB69" s="4" t="n"/>
      <c r="AC69" s="4" t="n"/>
      <c r="AD69" s="4" t="n"/>
      <c r="AE69" s="4" t="n"/>
      <c r="AF69" s="4" t="n"/>
      <c r="AG69" s="4" t="n"/>
      <c r="AH69" s="4" t="n"/>
      <c r="AI69" s="4" t="n"/>
      <c r="AJ69" s="4" t="n"/>
      <c r="AK69" s="4" t="n"/>
    </row>
    <row r="70">
      <c r="A70" s="6" t="n"/>
      <c r="B70" s="6" t="n"/>
      <c r="C70" s="6" t="n"/>
      <c r="D70" s="6" t="n"/>
      <c r="E70" s="6" t="n"/>
      <c r="F70" s="6" t="n"/>
      <c r="G70" s="6" t="n"/>
      <c r="H70" s="6" t="n"/>
      <c r="I70" s="6" t="n"/>
      <c r="J70" s="6" t="inlineStr">
        <is>
          <t>SUBTOTAL (GROUPED)</t>
        </is>
      </c>
      <c r="K70" s="6" t="n"/>
      <c r="L70" s="6" t="n"/>
      <c r="M70" s="6" t="n"/>
      <c r="N70" s="6" t="n"/>
      <c r="O70" s="6" t="n"/>
      <c r="P70" s="7">
        <f>P66+P68</f>
        <v/>
      </c>
      <c r="Q70" s="7">
        <f>Q66+Q68</f>
        <v/>
      </c>
      <c r="R70" s="6" t="n"/>
      <c r="S70" s="6" t="n"/>
      <c r="T70" s="6" t="n"/>
      <c r="U70" s="6" t="n"/>
      <c r="V70" s="6" t="n"/>
      <c r="W70" s="6" t="n"/>
      <c r="X70" s="6" t="n"/>
      <c r="Y70" s="6" t="n"/>
      <c r="Z70" s="6" t="n"/>
      <c r="AA70" s="6" t="n"/>
      <c r="AB70" s="6" t="n"/>
      <c r="AC70" s="6" t="n"/>
      <c r="AD70" s="6" t="n"/>
      <c r="AE70" s="6" t="n"/>
      <c r="AF70" s="6" t="n"/>
      <c r="AG70" s="6" t="n"/>
      <c r="AH70" s="6" t="n"/>
      <c r="AI70" s="6" t="n"/>
      <c r="AJ70" s="6" t="n"/>
      <c r="AK70" s="6" t="n"/>
    </row>
    <row r="71">
      <c r="A71" s="6" t="n"/>
      <c r="B71" s="6" t="n"/>
      <c r="C71" s="6" t="n"/>
      <c r="D71" s="6" t="n"/>
      <c r="E71" s="6" t="n"/>
      <c r="F71" s="6" t="n"/>
      <c r="G71" s="6" t="n"/>
      <c r="H71" s="6" t="n"/>
      <c r="I71" s="6" t="n"/>
      <c r="J71" s="6" t="inlineStr">
        <is>
          <t>SUBTOTAL (DETAILS)</t>
        </is>
      </c>
      <c r="K71" s="6" t="n"/>
      <c r="L71" s="6" t="n"/>
      <c r="M71" s="6" t="n"/>
      <c r="N71" s="6" t="n"/>
      <c r="O71" s="6" t="n"/>
      <c r="P71" s="7">
        <f>SUM(P66:P69)-P70</f>
        <v/>
      </c>
      <c r="Q71" s="7">
        <f>SUM(Q66:Q69)-Q70</f>
        <v/>
      </c>
      <c r="R71" s="6" t="n"/>
      <c r="S71" s="6" t="n"/>
      <c r="T71" s="6" t="n"/>
      <c r="U71" s="6" t="n"/>
      <c r="V71" s="6" t="n"/>
      <c r="W71" s="6" t="n"/>
      <c r="X71" s="6" t="n"/>
      <c r="Y71" s="6" t="n"/>
      <c r="Z71" s="6" t="n"/>
      <c r="AA71" s="6" t="n"/>
      <c r="AB71" s="6" t="n"/>
      <c r="AC71" s="6" t="n"/>
      <c r="AD71" s="6" t="n"/>
      <c r="AE71" s="6" t="n"/>
      <c r="AF71" s="6" t="n"/>
      <c r="AG71" s="6" t="n"/>
      <c r="AH71" s="6" t="n"/>
      <c r="AI71" s="6" t="n"/>
      <c r="AJ71" s="6" t="n"/>
      <c r="AK71" s="6" t="n"/>
    </row>
    <row r="72">
      <c r="A72" s="8" t="n"/>
      <c r="B72" s="8" t="n"/>
      <c r="C72" s="8" t="n"/>
      <c r="D72" s="8" t="n"/>
      <c r="E72" s="8" t="n"/>
      <c r="F72" s="8" t="n"/>
      <c r="G72" s="8" t="n"/>
      <c r="H72" s="8" t="n"/>
      <c r="I72" s="8" t="n"/>
      <c r="J72" s="8" t="inlineStr">
        <is>
          <t>GROUP VERIFICATION</t>
        </is>
      </c>
      <c r="K72" s="8" t="n"/>
      <c r="L72" s="8" t="n"/>
      <c r="M72" s="8" t="n"/>
      <c r="N72" s="8" t="n"/>
      <c r="O72" s="8" t="n"/>
      <c r="P72" s="9">
        <f>P70-P71</f>
        <v/>
      </c>
      <c r="Q72" s="9">
        <f>Q70-Q71</f>
        <v/>
      </c>
      <c r="R72" s="8" t="n"/>
      <c r="S72" s="8" t="n"/>
      <c r="T72" s="8" t="n"/>
      <c r="U72" s="8" t="n"/>
      <c r="V72" s="8" t="n"/>
      <c r="W72" s="8" t="n"/>
      <c r="X72" s="8" t="n"/>
      <c r="Y72" s="8" t="n"/>
      <c r="Z72" s="8" t="n"/>
      <c r="AA72" s="8" t="n"/>
      <c r="AB72" s="8" t="n"/>
      <c r="AC72" s="8" t="n"/>
      <c r="AD72" s="8" t="n"/>
      <c r="AE72" s="8" t="n"/>
      <c r="AF72" s="8" t="n"/>
      <c r="AG72" s="8" t="n"/>
      <c r="AH72" s="8" t="n"/>
      <c r="AI72" s="8" t="n"/>
      <c r="AJ72" s="8" t="n"/>
      <c r="AK72" s="8" t="n"/>
    </row>
    <row r="73"/>
    <row r="74">
      <c r="A74" s="6" t="n"/>
      <c r="B74" s="6" t="n"/>
      <c r="C74" s="6" t="n"/>
      <c r="D74" s="6" t="n"/>
      <c r="E74" s="6" t="n"/>
      <c r="F74" s="6" t="n"/>
      <c r="G74" s="6" t="n"/>
      <c r="H74" s="6" t="n"/>
      <c r="I74" s="6" t="n"/>
      <c r="J74" s="6" t="inlineStr">
        <is>
          <t>TOTAL INTERNAL FREIGHT</t>
        </is>
      </c>
      <c r="K74" s="6" t="n"/>
      <c r="L74" s="6" t="n"/>
      <c r="M74" s="6" t="n"/>
      <c r="N74" s="6" t="n"/>
      <c r="O74" s="6" t="n"/>
      <c r="P74" s="7" t="n">
        <v>0</v>
      </c>
      <c r="Q74" s="7" t="n"/>
      <c r="R74" s="6" t="n"/>
      <c r="S74" s="6" t="n"/>
      <c r="T74" s="6" t="n"/>
      <c r="U74" s="6" t="n"/>
      <c r="V74" s="6" t="n"/>
      <c r="W74" s="6" t="n"/>
      <c r="X74" s="6" t="n"/>
      <c r="Y74" s="6" t="n"/>
      <c r="Z74" s="6" t="n"/>
      <c r="AA74" s="6" t="n"/>
      <c r="AB74" s="6" t="n"/>
      <c r="AC74" s="6" t="n"/>
      <c r="AD74" s="6" t="n"/>
      <c r="AE74" s="6" t="n"/>
      <c r="AF74" s="6" t="n"/>
      <c r="AG74" s="6" t="n"/>
      <c r="AH74" s="6" t="n"/>
      <c r="AI74" s="6" t="n"/>
      <c r="AJ74" s="6" t="n"/>
      <c r="AK74" s="6" t="n"/>
    </row>
    <row r="75">
      <c r="A75" s="6" t="n"/>
      <c r="B75" s="6" t="n"/>
      <c r="C75" s="6" t="n"/>
      <c r="D75" s="6" t="n"/>
      <c r="E75" s="6" t="n"/>
      <c r="F75" s="6" t="n"/>
      <c r="G75" s="6" t="n"/>
      <c r="H75" s="6" t="n"/>
      <c r="I75" s="6" t="n"/>
      <c r="J75" s="6" t="inlineStr">
        <is>
          <t>TOTAL INSURANCE</t>
        </is>
      </c>
      <c r="K75" s="6" t="n"/>
      <c r="L75" s="6" t="n"/>
      <c r="M75" s="6" t="n"/>
      <c r="N75" s="6" t="n"/>
      <c r="O75" s="6" t="n"/>
      <c r="P75" s="7" t="n">
        <v>0</v>
      </c>
      <c r="Q75" s="7" t="n"/>
      <c r="R75" s="6" t="n"/>
      <c r="S75" s="6" t="n"/>
      <c r="T75" s="6" t="n"/>
      <c r="U75" s="6" t="n"/>
      <c r="V75" s="6" t="n"/>
      <c r="W75" s="6" t="n"/>
      <c r="X75" s="6" t="n"/>
      <c r="Y75" s="6" t="n"/>
      <c r="Z75" s="6" t="n"/>
      <c r="AA75" s="6" t="n"/>
      <c r="AB75" s="6" t="n"/>
      <c r="AC75" s="6" t="n"/>
      <c r="AD75" s="6" t="n"/>
      <c r="AE75" s="6" t="n"/>
      <c r="AF75" s="6" t="n"/>
      <c r="AG75" s="6" t="n"/>
      <c r="AH75" s="6" t="n"/>
      <c r="AI75" s="6" t="n"/>
      <c r="AJ75" s="6" t="n"/>
      <c r="AK75" s="6" t="n"/>
    </row>
    <row r="76">
      <c r="A76" s="6" t="n"/>
      <c r="B76" s="6" t="n"/>
      <c r="C76" s="6" t="n"/>
      <c r="D76" s="6" t="n"/>
      <c r="E76" s="6" t="n"/>
      <c r="F76" s="6" t="n"/>
      <c r="G76" s="6" t="n"/>
      <c r="H76" s="6" t="n"/>
      <c r="I76" s="6" t="n"/>
      <c r="J76" s="6" t="inlineStr">
        <is>
          <t>TOTAL OTHER COST</t>
        </is>
      </c>
      <c r="K76" s="6" t="n"/>
      <c r="L76" s="6" t="n"/>
      <c r="M76" s="6" t="n"/>
      <c r="N76" s="6" t="n"/>
      <c r="O76" s="6" t="n"/>
      <c r="P76" s="7" t="n">
        <v>36.4</v>
      </c>
      <c r="Q76" s="7" t="n"/>
      <c r="R76" s="6" t="n"/>
      <c r="S76" s="6" t="n"/>
      <c r="T76" s="6" t="n"/>
      <c r="U76" s="6" t="n"/>
      <c r="V76" s="6" t="n"/>
      <c r="W76" s="6" t="n"/>
      <c r="X76" s="6" t="n"/>
      <c r="Y76" s="6" t="n"/>
      <c r="Z76" s="6" t="n"/>
      <c r="AA76" s="6" t="n"/>
      <c r="AB76" s="6" t="n"/>
      <c r="AC76" s="6" t="n"/>
      <c r="AD76" s="6" t="n"/>
      <c r="AE76" s="6" t="n"/>
      <c r="AF76" s="6" t="n"/>
      <c r="AG76" s="6" t="n"/>
      <c r="AH76" s="6" t="n"/>
      <c r="AI76" s="6" t="n"/>
      <c r="AJ76" s="6" t="n"/>
      <c r="AK76" s="6" t="n"/>
    </row>
    <row r="77">
      <c r="A77" s="6" t="n"/>
      <c r="B77" s="6" t="n"/>
      <c r="C77" s="6" t="n"/>
      <c r="D77" s="6" t="n"/>
      <c r="E77" s="6" t="n"/>
      <c r="F77" s="6" t="n"/>
      <c r="G77" s="6" t="n"/>
      <c r="H77" s="6" t="n"/>
      <c r="I77" s="6" t="n"/>
      <c r="J77" s="6" t="inlineStr">
        <is>
          <t>TOTAL DEDUCTION</t>
        </is>
      </c>
      <c r="K77" s="6" t="n"/>
      <c r="L77" s="6" t="n"/>
      <c r="M77" s="6" t="n"/>
      <c r="N77" s="6" t="n"/>
      <c r="O77" s="6" t="n"/>
      <c r="P77" s="7" t="n">
        <v>0</v>
      </c>
      <c r="Q77" s="7" t="n"/>
      <c r="R77" s="6" t="n"/>
      <c r="S77" s="6" t="n"/>
      <c r="T77" s="6" t="n"/>
      <c r="U77" s="6" t="n"/>
      <c r="V77" s="6" t="n"/>
      <c r="W77" s="6" t="n"/>
      <c r="X77" s="6" t="n"/>
      <c r="Y77" s="6" t="n"/>
      <c r="Z77" s="6" t="n"/>
      <c r="AA77" s="6" t="n"/>
      <c r="AB77" s="6" t="n"/>
      <c r="AC77" s="6" t="n"/>
      <c r="AD77" s="6" t="n"/>
      <c r="AE77" s="6" t="n"/>
      <c r="AF77" s="6" t="n"/>
      <c r="AG77" s="6" t="n"/>
      <c r="AH77" s="6" t="n"/>
      <c r="AI77" s="6" t="n"/>
      <c r="AJ77" s="6" t="n"/>
      <c r="AK77" s="6" t="n"/>
    </row>
    <row r="78">
      <c r="A78" s="6" t="n"/>
      <c r="B78" s="6" t="n"/>
      <c r="C78" s="6" t="n"/>
      <c r="D78" s="6" t="n"/>
      <c r="E78" s="6" t="n"/>
      <c r="F78" s="6" t="n"/>
      <c r="G78" s="6" t="n"/>
      <c r="H78" s="6" t="n"/>
      <c r="I78" s="6" t="n"/>
      <c r="J78" s="6" t="inlineStr">
        <is>
          <t>ADJUSTMENTS</t>
        </is>
      </c>
      <c r="K78" s="6" t="n"/>
      <c r="L78" s="6" t="n"/>
      <c r="M78" s="6" t="n"/>
      <c r="N78" s="6" t="n"/>
      <c r="O78" s="6" t="n"/>
      <c r="P78" s="7">
        <f>(T66+U66+V66-W66)</f>
        <v/>
      </c>
      <c r="Q78" s="7">
        <f>(T66+U66+V66-W66)</f>
        <v/>
      </c>
      <c r="R78" s="6" t="n"/>
      <c r="S78" s="6" t="n"/>
      <c r="T78" s="6" t="n"/>
      <c r="U78" s="6" t="n"/>
      <c r="V78" s="6" t="n"/>
      <c r="W78" s="6" t="n"/>
      <c r="X78" s="6" t="n"/>
      <c r="Y78" s="6" t="n"/>
      <c r="Z78" s="6" t="n"/>
      <c r="AA78" s="6" t="n"/>
      <c r="AB78" s="6" t="n"/>
      <c r="AC78" s="6" t="n"/>
      <c r="AD78" s="6" t="n"/>
      <c r="AE78" s="6" t="n"/>
      <c r="AF78" s="6" t="n"/>
      <c r="AG78" s="6" t="n"/>
      <c r="AH78" s="6" t="n"/>
      <c r="AI78" s="6" t="n"/>
      <c r="AJ78" s="6" t="n"/>
      <c r="AK78" s="6" t="n"/>
    </row>
    <row r="79"/>
    <row r="80">
      <c r="A80" s="6" t="n"/>
      <c r="B80" s="6" t="n"/>
      <c r="C80" s="6" t="n"/>
      <c r="D80" s="6" t="n"/>
      <c r="E80" s="6" t="n"/>
      <c r="F80" s="6" t="n"/>
      <c r="G80" s="6" t="n"/>
      <c r="H80" s="6" t="n"/>
      <c r="I80" s="6" t="n"/>
      <c r="J80" s="6" t="inlineStr">
        <is>
          <t>NET TOTAL</t>
        </is>
      </c>
      <c r="K80" s="6" t="n"/>
      <c r="L80" s="6" t="n"/>
      <c r="M80" s="6" t="n"/>
      <c r="N80" s="6" t="n"/>
      <c r="O80" s="6" t="n"/>
      <c r="P80" s="7">
        <f>P70+P78</f>
        <v/>
      </c>
      <c r="Q80" s="7">
        <f>Q70+Q78</f>
        <v/>
      </c>
      <c r="R80" s="6" t="n"/>
      <c r="S80" s="6" t="n"/>
      <c r="T80" s="6" t="n"/>
      <c r="U80" s="6" t="n"/>
      <c r="V80" s="6" t="n"/>
      <c r="W80" s="6" t="n"/>
      <c r="X80" s="6" t="n"/>
      <c r="Y80" s="6" t="n"/>
      <c r="Z80" s="6" t="n"/>
      <c r="AA80" s="6" t="n"/>
      <c r="AB80" s="6" t="n"/>
      <c r="AC80" s="6" t="n"/>
      <c r="AD80" s="6" t="n"/>
      <c r="AE80" s="6" t="n"/>
      <c r="AF80" s="6" t="n"/>
      <c r="AG80" s="6" t="n"/>
      <c r="AH80" s="6" t="n"/>
      <c r="AI80" s="6" t="n"/>
      <c r="AJ80" s="6" t="n"/>
      <c r="AK80" s="6" t="n"/>
    </row>
    <row r="81">
      <c r="A81" s="6" t="n"/>
      <c r="B81" s="6" t="n"/>
      <c r="C81" s="6" t="n"/>
      <c r="D81" s="6" t="n"/>
      <c r="E81" s="6" t="n"/>
      <c r="F81" s="6" t="n"/>
      <c r="G81" s="6" t="n"/>
      <c r="H81" s="6" t="n"/>
      <c r="I81" s="6" t="n"/>
      <c r="J81" s="6" t="inlineStr">
        <is>
          <t>INVOICE TOTAL</t>
        </is>
      </c>
      <c r="K81" s="6" t="n"/>
      <c r="L81" s="6" t="n"/>
      <c r="M81" s="6" t="n"/>
      <c r="N81" s="6" t="n"/>
      <c r="O81" s="6" t="n"/>
      <c r="P81" s="7">
        <f>S66</f>
        <v/>
      </c>
      <c r="Q81" s="7" t="n"/>
      <c r="R81" s="6" t="n"/>
      <c r="S81" s="6" t="n"/>
      <c r="T81" s="6" t="n"/>
      <c r="U81" s="6" t="n"/>
      <c r="V81" s="6" t="n"/>
      <c r="W81" s="6" t="n"/>
      <c r="X81" s="6" t="n"/>
      <c r="Y81" s="6" t="n"/>
      <c r="Z81" s="6" t="n"/>
      <c r="AA81" s="6" t="n"/>
      <c r="AB81" s="6" t="n"/>
      <c r="AC81" s="6" t="n"/>
      <c r="AD81" s="6" t="n"/>
      <c r="AE81" s="6" t="n"/>
      <c r="AF81" s="6" t="n"/>
      <c r="AG81" s="6" t="n"/>
      <c r="AH81" s="6" t="n"/>
      <c r="AI81" s="6" t="n"/>
      <c r="AJ81" s="6" t="n"/>
      <c r="AK81" s="6" t="n"/>
    </row>
    <row r="82"/>
    <row r="83">
      <c r="A83" s="10" t="n"/>
      <c r="B83" s="10" t="n"/>
      <c r="C83" s="10" t="n"/>
      <c r="D83" s="10" t="n"/>
      <c r="E83" s="10" t="n"/>
      <c r="F83" s="10" t="n"/>
      <c r="G83" s="10" t="n"/>
      <c r="H83" s="10" t="n"/>
      <c r="I83" s="10" t="n"/>
      <c r="J83" s="10" t="inlineStr">
        <is>
          <t>VARIANCE CHECK</t>
        </is>
      </c>
      <c r="K83" s="10" t="n"/>
      <c r="L83" s="10" t="n"/>
      <c r="M83" s="10" t="n"/>
      <c r="N83" s="10" t="n"/>
      <c r="O83" s="10" t="n"/>
      <c r="P83" s="11">
        <f>S66-P80</f>
        <v/>
      </c>
      <c r="Q83" s="11">
        <f>S66-Q80</f>
        <v/>
      </c>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row>
    <row r="84"/>
    <row r="85">
      <c r="A85" s="14" t="n"/>
      <c r="B85" s="14" t="n"/>
      <c r="C85" s="14" t="n"/>
      <c r="D85" s="14" t="n"/>
      <c r="E85" s="14" t="n"/>
      <c r="F85" s="14" t="n"/>
      <c r="G85" s="14" t="n"/>
      <c r="H85" s="14" t="n"/>
      <c r="I85" s="14" t="n"/>
      <c r="J85" s="14" t="inlineStr">
        <is>
          <t>DUTY ESTIMATION (Classification Cross-Check)</t>
        </is>
      </c>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row>
    <row r="86">
      <c r="A86" s="15" t="n"/>
      <c r="B86" s="15" t="n"/>
      <c r="C86" s="15" t="n"/>
      <c r="D86" s="15" t="n"/>
      <c r="E86" s="15" t="n"/>
      <c r="F86" s="15" t="n"/>
      <c r="G86" s="15" t="n"/>
      <c r="H86" s="15" t="n"/>
      <c r="I86" s="15" t="n"/>
      <c r="J86" s="16" t="inlineStr">
        <is>
          <t>CIF (USD) = InvTotal + Freight + Insurance</t>
        </is>
      </c>
      <c r="K86" s="15" t="n"/>
      <c r="L86" s="15" t="n"/>
      <c r="M86" s="15" t="n"/>
      <c r="N86" s="15" t="n"/>
      <c r="O86" s="15" t="n"/>
      <c r="P86" s="17" t="n">
        <v>556.51</v>
      </c>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row>
    <row r="87">
      <c r="A87" s="15" t="n"/>
      <c r="B87" s="15" t="n"/>
      <c r="C87" s="15" t="n"/>
      <c r="D87" s="15" t="n"/>
      <c r="E87" s="15" t="n"/>
      <c r="F87" s="15" t="n"/>
      <c r="G87" s="15" t="n"/>
      <c r="H87" s="15" t="n"/>
      <c r="I87" s="15" t="n"/>
      <c r="J87" s="16" t="inlineStr">
        <is>
          <t>CIF (XCD) = CIF × 2.7169</t>
        </is>
      </c>
      <c r="K87" s="15" t="n"/>
      <c r="L87" s="15" t="n"/>
      <c r="M87" s="15" t="n"/>
      <c r="N87" s="15" t="n"/>
      <c r="O87" s="15" t="n"/>
      <c r="P87" s="17" t="n">
        <v>1511.98</v>
      </c>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row>
    <row r="88">
      <c r="A88" s="15" t="n"/>
      <c r="B88" s="15" t="n"/>
      <c r="C88" s="15" t="n"/>
      <c r="D88" s="15" t="n"/>
      <c r="E88" s="15" t="n"/>
      <c r="F88" s="15" t="n"/>
      <c r="G88" s="15" t="n"/>
      <c r="H88" s="15" t="n"/>
      <c r="I88" s="15" t="n"/>
      <c r="J88" s="16" t="inlineStr">
        <is>
          <t>CET (weighted avg 20.0%)</t>
        </is>
      </c>
      <c r="K88" s="15" t="n"/>
      <c r="L88" s="15" t="n"/>
      <c r="M88" s="15" t="n"/>
      <c r="N88" s="15" t="n"/>
      <c r="O88" s="15" t="n"/>
      <c r="P88" s="17" t="n">
        <v>302.4</v>
      </c>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row>
    <row r="89">
      <c r="A89" s="15" t="n"/>
      <c r="B89" s="15" t="n"/>
      <c r="C89" s="15" t="n"/>
      <c r="D89" s="15" t="n"/>
      <c r="E89" s="15" t="n"/>
      <c r="F89" s="15" t="n"/>
      <c r="G89" s="15" t="n"/>
      <c r="H89" s="15" t="n"/>
      <c r="I89" s="15" t="n"/>
      <c r="J89" s="16" t="inlineStr">
        <is>
          <t xml:space="preserve">  └ 67041900: 20% CET (84% of value)</t>
        </is>
      </c>
      <c r="K89" s="15" t="n"/>
      <c r="L89" s="15" t="n"/>
      <c r="M89" s="15" t="n"/>
      <c r="N89" s="15" t="n"/>
      <c r="O89" s="15" t="n"/>
      <c r="P89" s="17" t="n">
        <v>253.09</v>
      </c>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row>
    <row r="90">
      <c r="A90" s="15" t="n"/>
      <c r="B90" s="15" t="n"/>
      <c r="C90" s="15" t="n"/>
      <c r="D90" s="15" t="n"/>
      <c r="E90" s="15" t="n"/>
      <c r="F90" s="15" t="n"/>
      <c r="G90" s="15" t="n"/>
      <c r="H90" s="15" t="n"/>
      <c r="I90" s="15" t="n"/>
      <c r="J90" s="16" t="inlineStr">
        <is>
          <t xml:space="preserve">  └ 67042000: 20% CET (16% of value)</t>
        </is>
      </c>
      <c r="K90" s="15" t="n"/>
      <c r="L90" s="15" t="n"/>
      <c r="M90" s="15" t="n"/>
      <c r="N90" s="15" t="n"/>
      <c r="O90" s="15" t="n"/>
      <c r="P90" s="17" t="n">
        <v>49.31</v>
      </c>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row>
    <row r="91">
      <c r="A91" s="15" t="n"/>
      <c r="B91" s="15" t="n"/>
      <c r="C91" s="15" t="n"/>
      <c r="D91" s="15" t="n"/>
      <c r="E91" s="15" t="n"/>
      <c r="F91" s="15" t="n"/>
      <c r="G91" s="15" t="n"/>
      <c r="H91" s="15" t="n"/>
      <c r="I91" s="15" t="n"/>
      <c r="J91" s="16" t="inlineStr">
        <is>
          <t>CSC (6%)</t>
        </is>
      </c>
      <c r="K91" s="15" t="n"/>
      <c r="L91" s="15" t="n"/>
      <c r="M91" s="15" t="n"/>
      <c r="N91" s="15" t="n"/>
      <c r="O91" s="15" t="n"/>
      <c r="P91" s="17" t="n">
        <v>90.72</v>
      </c>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row>
    <row r="92">
      <c r="A92" s="15" t="n"/>
      <c r="B92" s="15" t="n"/>
      <c r="C92" s="15" t="n"/>
      <c r="D92" s="15" t="n"/>
      <c r="E92" s="15" t="n"/>
      <c r="F92" s="15" t="n"/>
      <c r="G92" s="15" t="n"/>
      <c r="H92" s="15" t="n"/>
      <c r="I92" s="15" t="n"/>
      <c r="J92" s="16" t="inlineStr">
        <is>
          <t>VAT (15%) on CIF+CET+CSC</t>
        </is>
      </c>
      <c r="K92" s="15" t="n"/>
      <c r="L92" s="15" t="n"/>
      <c r="M92" s="15" t="n"/>
      <c r="N92" s="15" t="n"/>
      <c r="O92" s="15" t="n"/>
      <c r="P92" s="17" t="n">
        <v>285.76</v>
      </c>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row>
    <row r="93">
      <c r="A93" s="18" t="n"/>
      <c r="B93" s="18" t="n"/>
      <c r="C93" s="18" t="n"/>
      <c r="D93" s="18" t="n"/>
      <c r="E93" s="18" t="n"/>
      <c r="F93" s="18" t="n"/>
      <c r="G93" s="18" t="n"/>
      <c r="H93" s="18" t="n"/>
      <c r="I93" s="18" t="n"/>
      <c r="J93" s="14" t="inlineStr">
        <is>
          <t>ESTIMATED TOTAL DUTIES</t>
        </is>
      </c>
      <c r="K93" s="18" t="n"/>
      <c r="L93" s="18" t="n"/>
      <c r="M93" s="18" t="n"/>
      <c r="N93" s="18" t="n"/>
      <c r="O93" s="18" t="n"/>
      <c r="P93" s="19" t="n">
        <v>678.88</v>
      </c>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row>
    <row r="94">
      <c r="A94" s="15" t="n"/>
      <c r="B94" s="15" t="n"/>
      <c r="C94" s="15" t="n"/>
      <c r="D94" s="15" t="n"/>
      <c r="E94" s="15" t="n"/>
      <c r="F94" s="15" t="n"/>
      <c r="G94" s="15" t="n"/>
      <c r="H94" s="15" t="n"/>
      <c r="I94" s="15" t="n"/>
      <c r="J94" s="16" t="inlineStr">
        <is>
          <t>Effective Duty Rate</t>
        </is>
      </c>
      <c r="K94" s="15" t="n"/>
      <c r="L94" s="15" t="n"/>
      <c r="M94" s="15" t="n"/>
      <c r="N94" s="15" t="n"/>
      <c r="O94" s="15" t="n"/>
      <c r="P94" s="20" t="n">
        <v>0.4490006481567216</v>
      </c>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c r="AA95" s="21" t="n"/>
      <c r="AB95" s="21" t="n"/>
      <c r="AC95" s="21" t="n"/>
      <c r="AD95" s="21" t="n"/>
      <c r="AE95" s="21" t="n"/>
      <c r="AF95" s="21" t="n"/>
      <c r="AG95" s="21" t="n"/>
      <c r="AH95" s="21" t="n"/>
      <c r="AI95" s="21" t="n"/>
      <c r="AJ95" s="21" t="n"/>
      <c r="AK95" s="21" t="n"/>
    </row>
    <row r="96">
      <c r="A96" s="2" t="inlineStr">
        <is>
          <t>4000-000</t>
        </is>
      </c>
      <c r="B96" s="2" t="n"/>
      <c r="C96" s="2" t="inlineStr">
        <is>
          <t>113-0728579-9633009</t>
        </is>
      </c>
      <c r="D96" s="2" t="n"/>
      <c r="E96" s="2" t="inlineStr">
        <is>
          <t>WIGS</t>
        </is>
      </c>
      <c r="F96" s="2" t="inlineStr">
        <is>
          <t>67041100</t>
        </is>
      </c>
      <c r="G96" s="2" t="n"/>
      <c r="H96" s="2" t="n"/>
      <c r="I96" s="2" t="inlineStr">
        <is>
          <t>67041100</t>
        </is>
      </c>
      <c r="J96" s="2" t="inlineStr">
        <is>
          <t>BLOCKICE Highlight Ombre Lace Front Wig Human Hair Wigs for Black (+2 more) (3 items)</t>
        </is>
      </c>
      <c r="K96" s="2" t="n">
        <v>5</v>
      </c>
      <c r="L96" s="2" t="n"/>
      <c r="M96" s="2" t="n"/>
      <c r="N96" s="2" t="inlineStr">
        <is>
          <t>USD</t>
        </is>
      </c>
      <c r="O96" s="3" t="n">
        <v>107.67</v>
      </c>
      <c r="P96" s="3" t="n">
        <v>538.35</v>
      </c>
      <c r="Q96" s="3">
        <f>O96*K96</f>
        <v/>
      </c>
      <c r="R96" s="3">
        <f>P96-Q96</f>
        <v/>
      </c>
      <c r="S96" s="3" t="n">
        <v>556.51</v>
      </c>
      <c r="T96" s="3" t="n">
        <v>0</v>
      </c>
      <c r="U96" s="3" t="n">
        <v>0</v>
      </c>
      <c r="V96" s="3" t="n">
        <v>0</v>
      </c>
      <c r="W96" s="3" t="n">
        <v>0</v>
      </c>
      <c r="X96" s="2" t="n"/>
      <c r="Y96" s="2" t="n"/>
      <c r="Z96" s="2" t="inlineStr">
        <is>
          <t>AMAZON</t>
        </is>
      </c>
      <c r="AA96" s="2" t="inlineStr">
        <is>
          <t>Amazon.com</t>
        </is>
      </c>
      <c r="AB96" s="2" t="inlineStr">
        <is>
          <t>410 Terry Avenue North, Seattle, WA 98109</t>
        </is>
      </c>
      <c r="AC96" s="2" t="inlineStr">
        <is>
          <t>US</t>
        </is>
      </c>
      <c r="AD96" s="2" t="n"/>
      <c r="AE96" s="2" t="n"/>
      <c r="AF96" s="2" t="n"/>
      <c r="AG96" s="2" t="n"/>
      <c r="AH96" s="2" t="n"/>
      <c r="AI96" s="2" t="n"/>
      <c r="AJ96" s="2" t="n"/>
      <c r="AK96" s="2" t="inlineStr">
        <is>
          <t>67041100</t>
        </is>
      </c>
    </row>
    <row r="97">
      <c r="A97" s="4" t="n"/>
      <c r="B97" s="4" t="n"/>
      <c r="C97" s="4" t="n"/>
      <c r="D97" s="4" t="n"/>
      <c r="E97" s="4" t="n"/>
      <c r="F97" s="4" t="inlineStr">
        <is>
          <t>67041100</t>
        </is>
      </c>
      <c r="G97" s="4" t="n"/>
      <c r="H97" s="4" t="n"/>
      <c r="I97" s="4" t="inlineStr">
        <is>
          <t>AMZ-1</t>
        </is>
      </c>
      <c r="J97" s="4" t="inlineStr">
        <is>
          <t>BLOCKICE Highlight Ombre Lace Front Wig Human Hair Wigs for Black</t>
        </is>
      </c>
      <c r="K97" s="4" t="n">
        <v>1</v>
      </c>
      <c r="L97" s="4" t="n"/>
      <c r="M97" s="4" t="n"/>
      <c r="N97" s="4" t="inlineStr">
        <is>
          <t>USD</t>
        </is>
      </c>
      <c r="O97" s="5" t="n">
        <v>41.99</v>
      </c>
      <c r="P97" s="5" t="n">
        <v>41.99</v>
      </c>
      <c r="Q97" s="5">
        <f>O97*K97</f>
        <v/>
      </c>
      <c r="R97" s="5">
        <f>P97-Q97</f>
        <v/>
      </c>
      <c r="S97" s="4" t="n"/>
      <c r="T97" s="4" t="n"/>
      <c r="U97" s="4" t="n"/>
      <c r="V97" s="4" t="n"/>
      <c r="W97" s="4" t="n"/>
      <c r="X97" s="4" t="n"/>
      <c r="Y97" s="4" t="n"/>
      <c r="Z97" s="4" t="n"/>
      <c r="AA97" s="4" t="n"/>
      <c r="AB97" s="4" t="n"/>
      <c r="AC97" s="4" t="n"/>
      <c r="AD97" s="4" t="n"/>
      <c r="AE97" s="4" t="n"/>
      <c r="AF97" s="4" t="n"/>
      <c r="AG97" s="4" t="n"/>
      <c r="AH97" s="4" t="n"/>
      <c r="AI97" s="4" t="n"/>
      <c r="AJ97" s="4" t="n"/>
      <c r="AK97" s="4" t="n"/>
    </row>
    <row r="98">
      <c r="A98" s="4" t="n"/>
      <c r="B98" s="4" t="n"/>
      <c r="C98" s="4" t="n"/>
      <c r="D98" s="4" t="n"/>
      <c r="E98" s="4" t="n"/>
      <c r="F98" s="4" t="inlineStr">
        <is>
          <t>67041100</t>
        </is>
      </c>
      <c r="G98" s="4" t="n"/>
      <c r="H98" s="4" t="n"/>
      <c r="I98" s="4" t="inlineStr">
        <is>
          <t>AMZ-2</t>
        </is>
      </c>
      <c r="J98" s="4" t="inlineStr">
        <is>
          <t>Aauerep Deep Wave Lace Front Wigs Human Hair Wigs for Women</t>
        </is>
      </c>
      <c r="K98" s="4" t="n">
        <v>3</v>
      </c>
      <c r="L98" s="4" t="n"/>
      <c r="M98" s="4" t="n"/>
      <c r="N98" s="4" t="inlineStr">
        <is>
          <t>USD</t>
        </is>
      </c>
      <c r="O98" s="5" t="n">
        <v>34.99</v>
      </c>
      <c r="P98" s="5" t="n">
        <v>104.97</v>
      </c>
      <c r="Q98" s="5">
        <f>O98*K98</f>
        <v/>
      </c>
      <c r="R98" s="5">
        <f>P98-Q98</f>
        <v/>
      </c>
      <c r="S98" s="4" t="n"/>
      <c r="T98" s="4" t="n"/>
      <c r="U98" s="4" t="n"/>
      <c r="V98" s="4" t="n"/>
      <c r="W98" s="4" t="n"/>
      <c r="X98" s="4" t="n"/>
      <c r="Y98" s="4" t="n"/>
      <c r="Z98" s="4" t="n"/>
      <c r="AA98" s="4" t="n"/>
      <c r="AB98" s="4" t="n"/>
      <c r="AC98" s="4" t="n"/>
      <c r="AD98" s="4" t="n"/>
      <c r="AE98" s="4" t="n"/>
      <c r="AF98" s="4" t="n"/>
      <c r="AG98" s="4" t="n"/>
      <c r="AH98" s="4" t="n"/>
      <c r="AI98" s="4" t="n"/>
      <c r="AJ98" s="4" t="n"/>
      <c r="AK98" s="4" t="n"/>
    </row>
    <row r="99">
      <c r="A99" s="4" t="n"/>
      <c r="B99" s="4" t="n"/>
      <c r="C99" s="4" t="n"/>
      <c r="D99" s="4" t="n"/>
      <c r="E99" s="4" t="n"/>
      <c r="F99" s="4" t="inlineStr">
        <is>
          <t>67041100</t>
        </is>
      </c>
      <c r="G99" s="4" t="n"/>
      <c r="H99" s="4" t="n"/>
      <c r="I99" s="4" t="inlineStr">
        <is>
          <t>AMZ-4</t>
        </is>
      </c>
      <c r="J99" s="4" t="inlineStr">
        <is>
          <t>Queen Story 26 Inch Lace Front Wigs Human Hair 13 x 4 Straight Human</t>
        </is>
      </c>
      <c r="K99" s="4" t="n">
        <v>1</v>
      </c>
      <c r="L99" s="4" t="n"/>
      <c r="M99" s="4" t="n"/>
      <c r="N99" s="4" t="inlineStr">
        <is>
          <t>USD</t>
        </is>
      </c>
      <c r="O99" s="5" t="n">
        <v>391.39</v>
      </c>
      <c r="P99" s="5" t="n">
        <v>391.39</v>
      </c>
      <c r="Q99" s="5">
        <f>O99*K99</f>
        <v/>
      </c>
      <c r="R99" s="5">
        <f>P99-Q99</f>
        <v/>
      </c>
      <c r="S99" s="4" t="n"/>
      <c r="T99" s="4" t="n"/>
      <c r="U99" s="4" t="n"/>
      <c r="V99" s="4" t="n"/>
      <c r="W99" s="4" t="n"/>
      <c r="X99" s="4" t="n"/>
      <c r="Y99" s="4" t="n"/>
      <c r="Z99" s="4" t="n"/>
      <c r="AA99" s="4" t="n"/>
      <c r="AB99" s="4" t="n"/>
      <c r="AC99" s="4" t="n"/>
      <c r="AD99" s="4" t="n"/>
      <c r="AE99" s="4" t="n"/>
      <c r="AF99" s="4" t="n"/>
      <c r="AG99" s="4" t="n"/>
      <c r="AH99" s="4" t="n"/>
      <c r="AI99" s="4" t="n"/>
      <c r="AJ99" s="4" t="n"/>
      <c r="AK99" s="4" t="n"/>
    </row>
    <row r="100">
      <c r="A100" s="2" t="n"/>
      <c r="B100" s="2" t="n"/>
      <c r="C100" s="2" t="inlineStr">
        <is>
          <t>113-0728579-9633009</t>
        </is>
      </c>
      <c r="D100" s="2" t="n"/>
      <c r="E100" s="2" t="inlineStr">
        <is>
          <t>SYNTHETIC HAIR</t>
        </is>
      </c>
      <c r="F100" s="2" t="inlineStr">
        <is>
          <t>67041900</t>
        </is>
      </c>
      <c r="G100" s="2" t="n"/>
      <c r="H100" s="2" t="n"/>
      <c r="I100" s="2" t="inlineStr">
        <is>
          <t>67041900</t>
        </is>
      </c>
      <c r="J100" s="2" t="inlineStr">
        <is>
          <t>Faux Locs Crochet Hair Soft Locs 30 inch 6 Packs Long Pre Looped Crochet (1 items)</t>
        </is>
      </c>
      <c r="K100" s="2" t="n">
        <v>2</v>
      </c>
      <c r="L100" s="2" t="n"/>
      <c r="M100" s="2" t="n"/>
      <c r="N100" s="2" t="inlineStr">
        <is>
          <t>USD</t>
        </is>
      </c>
      <c r="O100" s="3" t="n">
        <v>9.08</v>
      </c>
      <c r="P100" s="3" t="n">
        <v>18.16</v>
      </c>
      <c r="Q100" s="3">
        <f>O100*K100</f>
        <v/>
      </c>
      <c r="R100" s="3">
        <f>P100-Q100</f>
        <v/>
      </c>
      <c r="S100" s="3" t="n"/>
      <c r="T100" s="3" t="n"/>
      <c r="U100" s="3" t="n"/>
      <c r="V100" s="3" t="n"/>
      <c r="W100" s="3" t="n"/>
      <c r="X100" s="2" t="n"/>
      <c r="Y100" s="2" t="n"/>
      <c r="Z100" s="2" t="n"/>
      <c r="AA100" s="2" t="n"/>
      <c r="AB100" s="2" t="n"/>
      <c r="AC100" s="2" t="n"/>
      <c r="AD100" s="2" t="n"/>
      <c r="AE100" s="2" t="n"/>
      <c r="AF100" s="2" t="n"/>
      <c r="AG100" s="2" t="n"/>
      <c r="AH100" s="2" t="n"/>
      <c r="AI100" s="2" t="n"/>
      <c r="AJ100" s="2" t="n"/>
      <c r="AK100" s="2" t="inlineStr">
        <is>
          <t>67041900</t>
        </is>
      </c>
    </row>
    <row r="101">
      <c r="A101" s="4" t="n"/>
      <c r="B101" s="4" t="n"/>
      <c r="C101" s="4" t="n"/>
      <c r="D101" s="4" t="n"/>
      <c r="E101" s="4" t="n"/>
      <c r="F101" s="4" t="inlineStr">
        <is>
          <t>67041900</t>
        </is>
      </c>
      <c r="G101" s="4" t="n"/>
      <c r="H101" s="4" t="n"/>
      <c r="I101" s="4" t="inlineStr">
        <is>
          <t>AMZ-3</t>
        </is>
      </c>
      <c r="J101" s="4" t="inlineStr">
        <is>
          <t>Faux Locs Crochet Hair Soft Locs 30 inch 6 Packs Long Pre Looped Crochet</t>
        </is>
      </c>
      <c r="K101" s="4" t="n">
        <v>2</v>
      </c>
      <c r="L101" s="4" t="n"/>
      <c r="M101" s="4" t="n"/>
      <c r="N101" s="4" t="inlineStr">
        <is>
          <t>USD</t>
        </is>
      </c>
      <c r="O101" s="5" t="n">
        <v>9.08</v>
      </c>
      <c r="P101" s="5" t="n">
        <v>18.16</v>
      </c>
      <c r="Q101" s="5">
        <f>O101*K101</f>
        <v/>
      </c>
      <c r="R101" s="5">
        <f>P101-Q101</f>
        <v/>
      </c>
      <c r="S101" s="4" t="n"/>
      <c r="T101" s="4" t="n"/>
      <c r="U101" s="4" t="n"/>
      <c r="V101" s="4" t="n"/>
      <c r="W101" s="4" t="n"/>
      <c r="X101" s="4" t="n"/>
      <c r="Y101" s="4" t="n"/>
      <c r="Z101" s="4" t="n"/>
      <c r="AA101" s="4" t="n"/>
      <c r="AB101" s="4" t="n"/>
      <c r="AC101" s="4" t="n"/>
      <c r="AD101" s="4" t="n"/>
      <c r="AE101" s="4" t="n"/>
      <c r="AF101" s="4" t="n"/>
      <c r="AG101" s="4" t="n"/>
      <c r="AH101" s="4" t="n"/>
      <c r="AI101" s="4" t="n"/>
      <c r="AJ101" s="4" t="n"/>
      <c r="AK101" s="4" t="n"/>
    </row>
    <row r="102">
      <c r="A102" s="6" t="n"/>
      <c r="B102" s="6" t="n"/>
      <c r="C102" s="6" t="n"/>
      <c r="D102" s="6" t="n"/>
      <c r="E102" s="6" t="n"/>
      <c r="F102" s="6" t="n"/>
      <c r="G102" s="6" t="n"/>
      <c r="H102" s="6" t="n"/>
      <c r="I102" s="6" t="n"/>
      <c r="J102" s="6" t="inlineStr">
        <is>
          <t>SUBTOTAL (GROUPED)</t>
        </is>
      </c>
      <c r="K102" s="6" t="n"/>
      <c r="L102" s="6" t="n"/>
      <c r="M102" s="6" t="n"/>
      <c r="N102" s="6" t="n"/>
      <c r="O102" s="6" t="n"/>
      <c r="P102" s="7">
        <f>P96+P100</f>
        <v/>
      </c>
      <c r="Q102" s="7">
        <f>Q96+Q100</f>
        <v/>
      </c>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row>
    <row r="103">
      <c r="A103" s="6" t="n"/>
      <c r="B103" s="6" t="n"/>
      <c r="C103" s="6" t="n"/>
      <c r="D103" s="6" t="n"/>
      <c r="E103" s="6" t="n"/>
      <c r="F103" s="6" t="n"/>
      <c r="G103" s="6" t="n"/>
      <c r="H103" s="6" t="n"/>
      <c r="I103" s="6" t="n"/>
      <c r="J103" s="6" t="inlineStr">
        <is>
          <t>SUBTOTAL (DETAILS)</t>
        </is>
      </c>
      <c r="K103" s="6" t="n"/>
      <c r="L103" s="6" t="n"/>
      <c r="M103" s="6" t="n"/>
      <c r="N103" s="6" t="n"/>
      <c r="O103" s="6" t="n"/>
      <c r="P103" s="7">
        <f>SUM(P96:P101)-P102</f>
        <v/>
      </c>
      <c r="Q103" s="7">
        <f>SUM(Q96:Q101)-Q102</f>
        <v/>
      </c>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row>
    <row r="104">
      <c r="A104" s="8" t="n"/>
      <c r="B104" s="8" t="n"/>
      <c r="C104" s="8" t="n"/>
      <c r="D104" s="8" t="n"/>
      <c r="E104" s="8" t="n"/>
      <c r="F104" s="8" t="n"/>
      <c r="G104" s="8" t="n"/>
      <c r="H104" s="8" t="n"/>
      <c r="I104" s="8" t="n"/>
      <c r="J104" s="8" t="inlineStr">
        <is>
          <t>GROUP VERIFICATION</t>
        </is>
      </c>
      <c r="K104" s="8" t="n"/>
      <c r="L104" s="8" t="n"/>
      <c r="M104" s="8" t="n"/>
      <c r="N104" s="8" t="n"/>
      <c r="O104" s="8" t="n"/>
      <c r="P104" s="9">
        <f>P102-P103</f>
        <v/>
      </c>
      <c r="Q104" s="9">
        <f>Q102-Q103</f>
        <v/>
      </c>
      <c r="R104" s="8" t="n"/>
      <c r="S104" s="8" t="n"/>
      <c r="T104" s="8" t="n"/>
      <c r="U104" s="8" t="n"/>
      <c r="V104" s="8" t="n"/>
      <c r="W104" s="8" t="n"/>
      <c r="X104" s="8" t="n"/>
      <c r="Y104" s="8" t="n"/>
      <c r="Z104" s="8" t="n"/>
      <c r="AA104" s="8" t="n"/>
      <c r="AB104" s="8" t="n"/>
      <c r="AC104" s="8" t="n"/>
      <c r="AD104" s="8" t="n"/>
      <c r="AE104" s="8" t="n"/>
      <c r="AF104" s="8" t="n"/>
      <c r="AG104" s="8" t="n"/>
      <c r="AH104" s="8" t="n"/>
      <c r="AI104" s="8" t="n"/>
      <c r="AJ104" s="8" t="n"/>
      <c r="AK104" s="8" t="n"/>
    </row>
    <row r="105"/>
    <row r="106">
      <c r="A106" s="6" t="n"/>
      <c r="B106" s="6" t="n"/>
      <c r="C106" s="6" t="n"/>
      <c r="D106" s="6" t="n"/>
      <c r="E106" s="6" t="n"/>
      <c r="F106" s="6" t="n"/>
      <c r="G106" s="6" t="n"/>
      <c r="H106" s="6" t="n"/>
      <c r="I106" s="6" t="n"/>
      <c r="J106" s="6" t="inlineStr">
        <is>
          <t>TOTAL INTERNAL FREIGHT</t>
        </is>
      </c>
      <c r="K106" s="6" t="n"/>
      <c r="L106" s="6" t="n"/>
      <c r="M106" s="6" t="n"/>
      <c r="N106" s="6" t="n"/>
      <c r="O106" s="6" t="n"/>
      <c r="P106" s="7" t="n">
        <v>0</v>
      </c>
      <c r="Q106" s="7"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row>
    <row r="107">
      <c r="A107" s="6" t="n"/>
      <c r="B107" s="6" t="n"/>
      <c r="C107" s="6" t="n"/>
      <c r="D107" s="6" t="n"/>
      <c r="E107" s="6" t="n"/>
      <c r="F107" s="6" t="n"/>
      <c r="G107" s="6" t="n"/>
      <c r="H107" s="6" t="n"/>
      <c r="I107" s="6" t="n"/>
      <c r="J107" s="6" t="inlineStr">
        <is>
          <t>TOTAL INSURANCE</t>
        </is>
      </c>
      <c r="K107" s="6" t="n"/>
      <c r="L107" s="6" t="n"/>
      <c r="M107" s="6" t="n"/>
      <c r="N107" s="6" t="n"/>
      <c r="O107" s="6" t="n"/>
      <c r="P107" s="7" t="n">
        <v>0</v>
      </c>
      <c r="Q107" s="7"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row>
    <row r="108">
      <c r="A108" s="6" t="n"/>
      <c r="B108" s="6" t="n"/>
      <c r="C108" s="6" t="n"/>
      <c r="D108" s="6" t="n"/>
      <c r="E108" s="6" t="n"/>
      <c r="F108" s="6" t="n"/>
      <c r="G108" s="6" t="n"/>
      <c r="H108" s="6" t="n"/>
      <c r="I108" s="6" t="n"/>
      <c r="J108" s="6" t="inlineStr">
        <is>
          <t>TOTAL OTHER COST</t>
        </is>
      </c>
      <c r="K108" s="6" t="n"/>
      <c r="L108" s="6" t="n"/>
      <c r="M108" s="6" t="n"/>
      <c r="N108" s="6" t="n"/>
      <c r="O108" s="6" t="n"/>
      <c r="P108" s="7" t="n">
        <v>0</v>
      </c>
      <c r="Q108" s="7"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row>
    <row r="109">
      <c r="A109" s="6" t="n"/>
      <c r="B109" s="6" t="n"/>
      <c r="C109" s="6" t="n"/>
      <c r="D109" s="6" t="n"/>
      <c r="E109" s="6" t="n"/>
      <c r="F109" s="6" t="n"/>
      <c r="G109" s="6" t="n"/>
      <c r="H109" s="6" t="n"/>
      <c r="I109" s="6" t="n"/>
      <c r="J109" s="6" t="inlineStr">
        <is>
          <t>TOTAL DEDUCTION</t>
        </is>
      </c>
      <c r="K109" s="6" t="n"/>
      <c r="L109" s="6" t="n"/>
      <c r="M109" s="6" t="n"/>
      <c r="N109" s="6" t="n"/>
      <c r="O109" s="6" t="n"/>
      <c r="P109" s="7" t="n">
        <v>0</v>
      </c>
      <c r="Q109" s="7"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row>
    <row r="110">
      <c r="A110" s="6" t="n"/>
      <c r="B110" s="6" t="n"/>
      <c r="C110" s="6" t="n"/>
      <c r="D110" s="6" t="n"/>
      <c r="E110" s="6" t="n"/>
      <c r="F110" s="6" t="n"/>
      <c r="G110" s="6" t="n"/>
      <c r="H110" s="6" t="n"/>
      <c r="I110" s="6" t="n"/>
      <c r="J110" s="6" t="inlineStr">
        <is>
          <t>ADJUSTMENTS</t>
        </is>
      </c>
      <c r="K110" s="6" t="n"/>
      <c r="L110" s="6" t="n"/>
      <c r="M110" s="6" t="n"/>
      <c r="N110" s="6" t="n"/>
      <c r="O110" s="6" t="n"/>
      <c r="P110" s="7">
        <f>(T96+U96+V96-W96)</f>
        <v/>
      </c>
      <c r="Q110" s="7">
        <f>(T96+U96+V96-W96)</f>
        <v/>
      </c>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row>
    <row r="111"/>
    <row r="112">
      <c r="A112" s="6" t="n"/>
      <c r="B112" s="6" t="n"/>
      <c r="C112" s="6" t="n"/>
      <c r="D112" s="6" t="n"/>
      <c r="E112" s="6" t="n"/>
      <c r="F112" s="6" t="n"/>
      <c r="G112" s="6" t="n"/>
      <c r="H112" s="6" t="n"/>
      <c r="I112" s="6" t="n"/>
      <c r="J112" s="6" t="inlineStr">
        <is>
          <t>NET TOTAL</t>
        </is>
      </c>
      <c r="K112" s="6" t="n"/>
      <c r="L112" s="6" t="n"/>
      <c r="M112" s="6" t="n"/>
      <c r="N112" s="6" t="n"/>
      <c r="O112" s="6" t="n"/>
      <c r="P112" s="7">
        <f>P102+P110</f>
        <v/>
      </c>
      <c r="Q112" s="7">
        <f>Q102+Q110</f>
        <v/>
      </c>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row>
    <row r="113">
      <c r="A113" s="6" t="n"/>
      <c r="B113" s="6" t="n"/>
      <c r="C113" s="6" t="n"/>
      <c r="D113" s="6" t="n"/>
      <c r="E113" s="6" t="n"/>
      <c r="F113" s="6" t="n"/>
      <c r="G113" s="6" t="n"/>
      <c r="H113" s="6" t="n"/>
      <c r="I113" s="6" t="n"/>
      <c r="J113" s="6" t="inlineStr">
        <is>
          <t>INVOICE TOTAL</t>
        </is>
      </c>
      <c r="K113" s="6" t="n"/>
      <c r="L113" s="6" t="n"/>
      <c r="M113" s="6" t="n"/>
      <c r="N113" s="6" t="n"/>
      <c r="O113" s="6" t="n"/>
      <c r="P113" s="7">
        <f>S96</f>
        <v/>
      </c>
      <c r="Q113" s="7"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row>
    <row r="114"/>
    <row r="115">
      <c r="A115" s="10" t="n"/>
      <c r="B115" s="10" t="n"/>
      <c r="C115" s="10" t="n"/>
      <c r="D115" s="10" t="n"/>
      <c r="E115" s="10" t="n"/>
      <c r="F115" s="10" t="n"/>
      <c r="G115" s="10" t="n"/>
      <c r="H115" s="10" t="n"/>
      <c r="I115" s="10" t="n"/>
      <c r="J115" s="10" t="inlineStr">
        <is>
          <t>VARIANCE CHECK</t>
        </is>
      </c>
      <c r="K115" s="10" t="n"/>
      <c r="L115" s="10" t="n"/>
      <c r="M115" s="10" t="n"/>
      <c r="N115" s="10" t="n"/>
      <c r="O115" s="10" t="n"/>
      <c r="P115" s="11">
        <f>S96-P112</f>
        <v/>
      </c>
      <c r="Q115" s="11">
        <f>S96-Q112</f>
        <v/>
      </c>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row>
    <row r="116"/>
    <row r="117">
      <c r="A117" s="12" t="n"/>
      <c r="B117" s="12" t="n"/>
      <c r="C117" s="12" t="n"/>
      <c r="D117" s="12" t="n"/>
      <c r="E117" s="12" t="n"/>
      <c r="F117" s="12" t="n"/>
      <c r="G117" s="12" t="n"/>
      <c r="H117" s="12" t="n"/>
      <c r="I117" s="12" t="n"/>
      <c r="J117" s="13" t="inlineStr">
        <is>
          <t>INVOICE NOTES: Structural item count mismatch: 5 price lines found between section markers but 4 items extracted</t>
        </is>
      </c>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row>
    <row r="118"/>
    <row r="119">
      <c r="A119" s="14" t="n"/>
      <c r="B119" s="14" t="n"/>
      <c r="C119" s="14" t="n"/>
      <c r="D119" s="14" t="n"/>
      <c r="E119" s="14" t="n"/>
      <c r="F119" s="14" t="n"/>
      <c r="G119" s="14" t="n"/>
      <c r="H119" s="14" t="n"/>
      <c r="I119" s="14" t="n"/>
      <c r="J119" s="14" t="inlineStr">
        <is>
          <t>DUTY ESTIMATION (Classification Cross-Check)</t>
        </is>
      </c>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row>
    <row r="120">
      <c r="A120" s="15" t="n"/>
      <c r="B120" s="15" t="n"/>
      <c r="C120" s="15" t="n"/>
      <c r="D120" s="15" t="n"/>
      <c r="E120" s="15" t="n"/>
      <c r="F120" s="15" t="n"/>
      <c r="G120" s="15" t="n"/>
      <c r="H120" s="15" t="n"/>
      <c r="I120" s="15" t="n"/>
      <c r="J120" s="16" t="inlineStr">
        <is>
          <t>CIF (USD) = InvTotal + Freight + Insurance</t>
        </is>
      </c>
      <c r="K120" s="15" t="n"/>
      <c r="L120" s="15" t="n"/>
      <c r="M120" s="15" t="n"/>
      <c r="N120" s="15" t="n"/>
      <c r="O120" s="15" t="n"/>
      <c r="P120" s="17" t="n">
        <v>556.51</v>
      </c>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row>
    <row r="121">
      <c r="A121" s="15" t="n"/>
      <c r="B121" s="15" t="n"/>
      <c r="C121" s="15" t="n"/>
      <c r="D121" s="15" t="n"/>
      <c r="E121" s="15" t="n"/>
      <c r="F121" s="15" t="n"/>
      <c r="G121" s="15" t="n"/>
      <c r="H121" s="15" t="n"/>
      <c r="I121" s="15" t="n"/>
      <c r="J121" s="16" t="inlineStr">
        <is>
          <t>CIF (XCD) = CIF × 2.7169</t>
        </is>
      </c>
      <c r="K121" s="15" t="n"/>
      <c r="L121" s="15" t="n"/>
      <c r="M121" s="15" t="n"/>
      <c r="N121" s="15" t="n"/>
      <c r="O121" s="15" t="n"/>
      <c r="P121" s="17" t="n">
        <v>1511.98</v>
      </c>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row>
    <row r="122">
      <c r="A122" s="15" t="n"/>
      <c r="B122" s="15" t="n"/>
      <c r="C122" s="15" t="n"/>
      <c r="D122" s="15" t="n"/>
      <c r="E122" s="15" t="n"/>
      <c r="F122" s="15" t="n"/>
      <c r="G122" s="15" t="n"/>
      <c r="H122" s="15" t="n"/>
      <c r="I122" s="15" t="n"/>
      <c r="J122" s="16" t="inlineStr">
        <is>
          <t>CET (weighted avg 20.0%)</t>
        </is>
      </c>
      <c r="K122" s="15" t="n"/>
      <c r="L122" s="15" t="n"/>
      <c r="M122" s="15" t="n"/>
      <c r="N122" s="15" t="n"/>
      <c r="O122" s="15" t="n"/>
      <c r="P122" s="17" t="n">
        <v>302.4</v>
      </c>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row>
    <row r="123">
      <c r="A123" s="15" t="n"/>
      <c r="B123" s="15" t="n"/>
      <c r="C123" s="15" t="n"/>
      <c r="D123" s="15" t="n"/>
      <c r="E123" s="15" t="n"/>
      <c r="F123" s="15" t="n"/>
      <c r="G123" s="15" t="n"/>
      <c r="H123" s="15" t="n"/>
      <c r="I123" s="15" t="n"/>
      <c r="J123" s="16" t="inlineStr">
        <is>
          <t xml:space="preserve">  └ 67041100: 20% CET (97% of value)</t>
        </is>
      </c>
      <c r="K123" s="15" t="n"/>
      <c r="L123" s="15" t="n"/>
      <c r="M123" s="15" t="n"/>
      <c r="N123" s="15" t="n"/>
      <c r="O123" s="15" t="n"/>
      <c r="P123" s="17" t="n">
        <v>292.53</v>
      </c>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row>
    <row r="124">
      <c r="A124" s="15" t="n"/>
      <c r="B124" s="15" t="n"/>
      <c r="C124" s="15" t="n"/>
      <c r="D124" s="15" t="n"/>
      <c r="E124" s="15" t="n"/>
      <c r="F124" s="15" t="n"/>
      <c r="G124" s="15" t="n"/>
      <c r="H124" s="15" t="n"/>
      <c r="I124" s="15" t="n"/>
      <c r="J124" s="16" t="inlineStr">
        <is>
          <t xml:space="preserve">  └ 67041900: 20% CET (3% of value)</t>
        </is>
      </c>
      <c r="K124" s="15" t="n"/>
      <c r="L124" s="15" t="n"/>
      <c r="M124" s="15" t="n"/>
      <c r="N124" s="15" t="n"/>
      <c r="O124" s="15" t="n"/>
      <c r="P124" s="17" t="n">
        <v>9.869999999999999</v>
      </c>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row>
    <row r="125">
      <c r="A125" s="15" t="n"/>
      <c r="B125" s="15" t="n"/>
      <c r="C125" s="15" t="n"/>
      <c r="D125" s="15" t="n"/>
      <c r="E125" s="15" t="n"/>
      <c r="F125" s="15" t="n"/>
      <c r="G125" s="15" t="n"/>
      <c r="H125" s="15" t="n"/>
      <c r="I125" s="15" t="n"/>
      <c r="J125" s="16" t="inlineStr">
        <is>
          <t>CSC (6%)</t>
        </is>
      </c>
      <c r="K125" s="15" t="n"/>
      <c r="L125" s="15" t="n"/>
      <c r="M125" s="15" t="n"/>
      <c r="N125" s="15" t="n"/>
      <c r="O125" s="15" t="n"/>
      <c r="P125" s="17" t="n">
        <v>90.72</v>
      </c>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row>
    <row r="126">
      <c r="A126" s="15" t="n"/>
      <c r="B126" s="15" t="n"/>
      <c r="C126" s="15" t="n"/>
      <c r="D126" s="15" t="n"/>
      <c r="E126" s="15" t="n"/>
      <c r="F126" s="15" t="n"/>
      <c r="G126" s="15" t="n"/>
      <c r="H126" s="15" t="n"/>
      <c r="I126" s="15" t="n"/>
      <c r="J126" s="16" t="inlineStr">
        <is>
          <t>VAT (15%) on CIF+CET+CSC</t>
        </is>
      </c>
      <c r="K126" s="15" t="n"/>
      <c r="L126" s="15" t="n"/>
      <c r="M126" s="15" t="n"/>
      <c r="N126" s="15" t="n"/>
      <c r="O126" s="15" t="n"/>
      <c r="P126" s="17" t="n">
        <v>285.76</v>
      </c>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row>
    <row r="127">
      <c r="A127" s="18" t="n"/>
      <c r="B127" s="18" t="n"/>
      <c r="C127" s="18" t="n"/>
      <c r="D127" s="18" t="n"/>
      <c r="E127" s="18" t="n"/>
      <c r="F127" s="18" t="n"/>
      <c r="G127" s="18" t="n"/>
      <c r="H127" s="18" t="n"/>
      <c r="I127" s="18" t="n"/>
      <c r="J127" s="14" t="inlineStr">
        <is>
          <t>ESTIMATED TOTAL DUTIES</t>
        </is>
      </c>
      <c r="K127" s="18" t="n"/>
      <c r="L127" s="18" t="n"/>
      <c r="M127" s="18" t="n"/>
      <c r="N127" s="18" t="n"/>
      <c r="O127" s="18" t="n"/>
      <c r="P127" s="19" t="n">
        <v>678.88</v>
      </c>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row>
    <row r="128">
      <c r="A128" s="15" t="n"/>
      <c r="B128" s="15" t="n"/>
      <c r="C128" s="15" t="n"/>
      <c r="D128" s="15" t="n"/>
      <c r="E128" s="15" t="n"/>
      <c r="F128" s="15" t="n"/>
      <c r="G128" s="15" t="n"/>
      <c r="H128" s="15" t="n"/>
      <c r="I128" s="15" t="n"/>
      <c r="J128" s="16" t="inlineStr">
        <is>
          <t>Effective Duty Rate</t>
        </is>
      </c>
      <c r="K128" s="15" t="n"/>
      <c r="L128" s="15" t="n"/>
      <c r="M128" s="15" t="n"/>
      <c r="N128" s="15" t="n"/>
      <c r="O128" s="15" t="n"/>
      <c r="P128" s="20" t="n">
        <v>0.4490006481567216</v>
      </c>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row>
    <row r="129"/>
    <row r="130">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c r="AA130" s="22" t="n"/>
      <c r="AB130" s="22" t="n"/>
      <c r="AC130" s="22" t="n"/>
      <c r="AD130" s="22" t="n"/>
      <c r="AE130" s="22" t="n"/>
      <c r="AF130" s="22" t="n"/>
      <c r="AG130" s="22" t="n"/>
      <c r="AH130" s="22" t="n"/>
      <c r="AI130" s="22" t="n"/>
      <c r="AJ130" s="22" t="n"/>
      <c r="AK130" s="22" t="n"/>
    </row>
    <row r="131">
      <c r="A131" s="22" t="n"/>
      <c r="B131" s="22" t="n"/>
      <c r="C131" s="22" t="n"/>
      <c r="D131" s="22" t="n"/>
      <c r="E131" s="22" t="n"/>
      <c r="F131" s="22" t="n"/>
      <c r="G131" s="22" t="n"/>
      <c r="H131" s="22" t="n"/>
      <c r="I131" s="22" t="n"/>
      <c r="J131" s="22" t="n"/>
      <c r="K131" s="22" t="n"/>
      <c r="L131" s="23" t="inlineStr">
        <is>
          <t>═══ COMBINED GRAND SUMMARY ═══</t>
        </is>
      </c>
      <c r="M131" s="22" t="n"/>
      <c r="N131" s="22" t="n"/>
      <c r="O131" s="22" t="n"/>
      <c r="P131" s="22" t="n"/>
      <c r="Q131" s="22" t="n"/>
      <c r="R131" s="22" t="n"/>
      <c r="S131" s="22" t="n"/>
      <c r="T131" s="22" t="n"/>
      <c r="U131" s="22" t="n"/>
      <c r="V131" s="22" t="n"/>
      <c r="W131" s="22" t="n"/>
      <c r="X131" s="22" t="n"/>
      <c r="Y131" s="22" t="n"/>
      <c r="Z131" s="22" t="n"/>
      <c r="AA131" s="22" t="n"/>
      <c r="AB131" s="22" t="n"/>
      <c r="AC131" s="22" t="n"/>
      <c r="AD131" s="22" t="n"/>
      <c r="AE131" s="22" t="n"/>
      <c r="AF131" s="22" t="n"/>
      <c r="AG131" s="22" t="n"/>
      <c r="AH131" s="22" t="n"/>
      <c r="AI131" s="22" t="n"/>
      <c r="AJ131" s="22" t="n"/>
      <c r="AK131" s="22" t="n"/>
    </row>
    <row r="132">
      <c r="L132" s="24" t="inlineStr">
        <is>
          <t>Invoice 113-0728579-9633009</t>
        </is>
      </c>
      <c r="P132" s="25" t="n">
        <v>4285.61</v>
      </c>
      <c r="Q132" s="26" t="n">
        <v>-3729.1</v>
      </c>
    </row>
    <row r="133">
      <c r="L133" s="24" t="inlineStr">
        <is>
          <t>Invoice 113-0728579-9633009_Invoice_1</t>
        </is>
      </c>
      <c r="P133" s="25" t="n">
        <v>4285.61</v>
      </c>
      <c r="Q133" s="26" t="n">
        <v>-3729.1</v>
      </c>
    </row>
    <row r="134">
      <c r="L134" s="24" t="inlineStr">
        <is>
          <t>Invoice HAWB9606117-Declaration_Invoice_1</t>
        </is>
      </c>
      <c r="P134" s="25" t="n">
        <v>4285.61</v>
      </c>
      <c r="Q134" s="26" t="n">
        <v>-3729.1</v>
      </c>
    </row>
    <row r="135">
      <c r="L135" s="24" t="inlineStr">
        <is>
          <t>Invoice 113-0728579-9633009</t>
        </is>
      </c>
      <c r="P135" s="25" t="n">
        <v>4285.61</v>
      </c>
      <c r="Q135" s="26" t="n">
        <v>-3729.1</v>
      </c>
    </row>
    <row r="136"/>
    <row r="137">
      <c r="L137" s="27" t="inlineStr">
        <is>
          <t>GRAND TOTAL</t>
        </is>
      </c>
      <c r="P137" s="28" t="n">
        <v>17142.44</v>
      </c>
    </row>
    <row r="138">
      <c r="L138" s="29" t="inlineStr">
        <is>
          <t>GRAND VARIANCE CHECK</t>
        </is>
      </c>
      <c r="P138" s="26" t="n">
        <v>-14916.4</v>
      </c>
    </row>
    <row r="139">
      <c r="L139" s="30" t="inlineStr">
        <is>
          <t>Combined 4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113-0728579-9633009.pdf</t>
        </is>
      </c>
      <c r="B2" s="32" t="inlineStr">
        <is>
          <t>100/100</t>
        </is>
      </c>
      <c r="C2" s="32" t="inlineStr">
        <is>
          <t>GOOD</t>
        </is>
      </c>
      <c r="D2" s="32" t="inlineStr">
        <is>
          <t>Text: 1735 chars; Prices: 5 ($-sign), 5 (decimal); Total: $556.51; Invoice#: 113-0728579-9633009; Real items: 4/4; Structure words: 5/12</t>
        </is>
      </c>
      <c r="E2" s="33" t="inlineStr">
        <is>
          <t>- amazoncom
a
Final Details for Order # 113-0728579-9633009
Print this page for your records .
Order Placed : July 22 , 2024
Amazon . com order number : 113-0728579-9633009
Order Total : USD 556.51
Shipped on July 24 , 2024
Items Ordered Price
30 f : TXIXS 26 Inch Honey Blonde Lace Front Wig Human Hair 13 x 4 Ombre Lace $ . $40.99
Front Wig Human Hair Pre Plucked with Baby Hair 180 % Highlight Glueless Lace
Front Wigs Human Hair Body Wave Lace Frontal Wigs
Sold by: TXIXS hair ( seller profile
Supptied by : TXIXS hair ( seller profile
Condition : New
1 of: BLOCKICE Highlight Ombre Lace Front Wig Human Hair Wigs for Black $41.99
Women 4 / 27 Honey Blonde 13 x 4 Deep Wave Lace Frontal Wig Pre Plucked
150 % Density Deep Curly Glueless Wigs Human Hair 24 Inch
Sold by: BLOCKICE HAIR ( seller profile
Supplied by: BLOCKICE HAIR ( seller profile
Condition : New
3 of: Aauerep Deep Wave Lace Front Wigs Human Hair Wigs for Women $34.99
Brazilian Lace Frontal Wigs Human Hair Pre Plucked with Baby Hair Natural Color
( 20 Inch
Sold by: Aceolave ( seller profile
Supplied by: Aceolave ( seller profile
Condition : New
2 of: Faux Locs Crochet Hair Soft Locs 30 inch 6 Packs Long Pre Looped Crochet $9.08
Locs Goddess Locs Crochet Hair For Black Women Braiding Hair Extensions ( 30
Inch ( Pack of 6 ) , 1 B
Sold by: LOVE ORNAN HAIR ( seller profile
Supplied by: LOVE ORNAN HAIR ( seller profile
Condition : New
3 of: Queen Story 26 Inch Lace Front Wigs Human Hair 13 x 4 Straight Human $39.99
Hair Lace Front Wigs For Black Women 180 % Density Transparent HD Lace
Front Wigs Human Hair Pre Plucked With Baby Hair
Sold by: Queen Story Hair ( seller profile
Supplied by: Queen Story Hair ( seller profile
Condition : New
Shipping Address :</t>
        </is>
      </c>
    </row>
    <row r="3">
      <c r="A3" s="32" t="inlineStr">
        <is>
          <t>113-0728579-9633009_Invoice_1.pdf</t>
        </is>
      </c>
      <c r="B3" s="32" t="inlineStr">
        <is>
          <t>75/100</t>
        </is>
      </c>
      <c r="C3" s="32" t="inlineStr">
        <is>
          <t>GOOD</t>
        </is>
      </c>
      <c r="D3" s="32" t="inlineStr">
        <is>
          <t>Text: 1289 chars; Prices: 3 ($-sign), 7 (decimal); Total: $556.51; Invoice#: MISSING; Real items: 2/2; Structure words: 6/12</t>
        </is>
      </c>
      <c r="E3" s="33" t="inlineStr">
        <is>
          <t>Shanice St. Bernard
10813 NW 30TH ST BLDG 115
GRE 9315
MIAMI, FL 33172-5068
United States
Shipping Speed:
FREE Prime Delivery
Shipped on July 24, 2024
6117
Items Ordered
3 of: Zumuer Wear And Go Glueless Wigs Human Hair Pre Plucked Pre Cut Body $28.27
Wave Lace Front Wigs Human Hair For Beginners 4x4 HD Lace Closure Wigs
Human Hair Wigs for Women (24 Inch
Sold by: Haomei hair (seller profile
Supplied by: Haomei hair (seller profile
Condition: New
3 of: Faux Locs Crochet Hair Soft Locs 30 inch 6 Packs Long Pre Looped Crochet $9.08
Locs Goddess Locs Crochet Hair For Black Women Braiding Hair Extensions (30
Inch (Pack of 6), 1B
Sold by: LOVE ORNAN HAIR (seller profile
Supplied by: LOVE ORNAN HAIR (seller profile
Condition: New
Shipping Address:
Shanice St. Bernard
10813 NW 30TH ST BLDG 115
GRE 9315
MIAMI, FL 33172-5068
United States
Shipping Speed:
FREE Prime Delivery
Payment information
Payment Method:
Visa ending in 2260
Item(s) Subtotal: USD 520.11
Shipping &amp; Handling: USD 0.00
Billing address
Total before tax: USD 520.11
Shanice St Bernard
Estimated tax to be collected: USD 36.40
7268 NW 25TH ST GC10398
MIAMI, FL 33122-1701
United States
Grand Total: USD 556.51
Payment Grand Total: XCD 1,524.83
Credit Card transactions
Visa ending in 2260: July 24, 2024: $556.51</t>
        </is>
      </c>
    </row>
    <row r="4">
      <c r="A4" s="32" t="inlineStr">
        <is>
          <t>HAWB9606117-Declaration_Invoice_1.pdf</t>
        </is>
      </c>
      <c r="B4" s="32" t="inlineStr">
        <is>
          <t>75/100</t>
        </is>
      </c>
      <c r="C4" s="32" t="inlineStr">
        <is>
          <t>GOOD</t>
        </is>
      </c>
      <c r="D4" s="32" t="inlineStr">
        <is>
          <t>Text: 1300 chars; Prices: 3 ($-sign), 7 (decimal); Total: $556.51; Invoice#: MISSING; Real items: 2/2; Structure words: 7/12</t>
        </is>
      </c>
      <c r="E4" s="33" t="inlineStr">
        <is>
          <t>Shanice St. Bernard
10813 NW 30TH ST BLDG 115
GRE 9315
MIAMI, FL 33172-5068
United States
Shipping Speed:
FREE Prime Delivery
Shipped on July 24, 2024
6117
Items Ordered
Price
3 of: Zumuer Wear And Go Glueless Wigs Human Hair Pre Plucked Pre Cut Body Wave Lace Front Wigs Human Hair For Beginners 4x4 HD Lace Closure Wigs Human Hair Wigs for Women (24 Inch) $28.27
Sold by: Haomei hair (seller profile
Supplied by: Haomei hair (seller profile
Condition: New
3 of: Faux Locs Crochet Hair Soft Locs 30 inch 6 Packs Long Pre Looped Crochet Locs Goddess Locs Crochet Hair For Black Women Braiding Hair Extensions (30 Inch (Pack of 6), 1B) $9.08
Sold by: LOVE ORNAN HAIR (seller profile
Supplied by: LOVE ORNAN HAIR (seller profile
Condition: New
Shipping Address:
Shanice St. Bernard
10813 NW 30TH ST BLDG 115
GRE 9315
MIAMI, FL 33172-5068
United States
Shipping Speed:
FREE Prime Delivery
Payment information
Payment Method:
Visa ending in 2260
Item(s) Subtotal: USD 520.11
Shipping &amp; Handling: USD 0.00
Billing address
Total before tax: USD 520.11
Shanice St Bernard
7268 NW 25TH ST GC10398
MIAMI, FL 33122-1701
United States
Estimated tax to be collected: USD 36.40
Grand Total: USD 556.51
Payment Grand Total: XCD 1,524.83
Credit Card transactions
Visa ending in 2260: July 24, 2024: $556.51</t>
        </is>
      </c>
    </row>
    <row r="5">
      <c r="A5" s="32" t="inlineStr">
        <is>
          <t>113-0728579-9633009.pdf</t>
        </is>
      </c>
      <c r="B5" s="32" t="inlineStr">
        <is>
          <t>100/100</t>
        </is>
      </c>
      <c r="C5" s="32" t="inlineStr">
        <is>
          <t>GOOD</t>
        </is>
      </c>
      <c r="D5" s="32" t="inlineStr">
        <is>
          <t>Text: 1735 chars; Prices: 5 ($-sign), 5 (decimal); Total: $556.51; Invoice#: 113-0728579-9633009; Real items: 4/4; Structure words: 5/12</t>
        </is>
      </c>
      <c r="E5" s="33" t="inlineStr">
        <is>
          <t>- amazoncom
a
Final Details for Order # 113-0728579-9633009
Print this page for your records .
Order Placed : July 22 , 2024
Amazon . com order number : 113-0728579-9633009
Order Total : USD 556.51
Shipped on July 24 , 2024
Items Ordered Price
30 f : TXIXS 26 Inch Honey Blonde Lace Front Wig Human Hair 13 x 4 Ombre Lace $ . $40.99
Front Wig Human Hair Pre Plucked with Baby Hair 180 % Highlight Glueless Lace
Front Wigs Human Hair Body Wave Lace Frontal Wigs
Sold by: TXIXS hair ( seller profile
Supptied by : TXIXS hair ( seller profile
Condition : New
1 of: BLOCKICE Highlight Ombre Lace Front Wig Human Hair Wigs for Black $41.99
Women 4 / 27 Honey Blonde 13 x 4 Deep Wave Lace Frontal Wig Pre Plucked
150 % Density Deep Curly Glueless Wigs Human Hair 24 Inch
Sold by: BLOCKICE HAIR ( seller profile
Supplied by: BLOCKICE HAIR ( seller profile
Condition : New
3 of: Aauerep Deep Wave Lace Front Wigs Human Hair Wigs for Women $34.99
Brazilian Lace Frontal Wigs Human Hair Pre Plucked with Baby Hair Natural Color
( 20 Inch
Sold by: Aceolave ( seller profile
Supplied by: Aceolave ( seller profile
Condition : New
2 of: Faux Locs Crochet Hair Soft Locs 30 inch 6 Packs Long Pre Looped Crochet $9.08
Locs Goddess Locs Crochet Hair For Black Women Braiding Hair Extensions ( 30
Inch ( Pack of 6 ) , 1 B
Sold by: LOVE ORNAN HAIR ( seller profile
Supplied by: LOVE ORNAN HAIR ( seller profile
Condition : New
3 of: Queen Story 26 Inch Lace Front Wigs Human Hair 13 x 4 Straight Human $39.99
Hair Lace Front Wigs For Black Women 180 % Density Transparent HD Lace
Front Wigs Human Hair Pre Plucked With Baby Hair
Sold by: Queen Story Hair ( seller profile
Supplied by: Queen Story Hair ( seller profile
Condition : New
Shipping Address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2026-04-24T05:45:08Z</dcterms:created>
  <dcterms:modified xsi:type="dcterms:W3CDTF">2026-04-24T05:45:09Z</dcterms:modified>
</cp:coreProperties>
</file>