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0" fillId="3" borderId="1" pivotButton="0" quotePrefix="0" xfId="0"/>
    <xf numFmtId="0" fontId="4" fillId="3" borderId="1" pivotButton="0" quotePrefix="0" xfId="0"/>
    <xf numFmtId="0" fontId="5" fillId="4" borderId="1" pivotButton="0" quotePrefix="0" xfId="0"/>
    <xf numFmtId="0" fontId="0" fillId="0" borderId="1" pivotButton="0" quotePrefix="0" xfId="0"/>
    <xf numFmtId="0" fontId="6" fillId="0" borderId="1" pivotButton="0" quotePrefix="0" xfId="0"/>
    <xf numFmtId="164" fontId="5" fillId="0" borderId="1" pivotButton="0" quotePrefix="0" xfId="0"/>
    <xf numFmtId="0" fontId="0" fillId="4" borderId="1" pivotButton="0" quotePrefix="0" xfId="0"/>
    <xf numFmtId="164" fontId="5" fillId="4" borderId="1" pivotButton="0" quotePrefix="0" xfId="0"/>
    <xf numFmtId="165" fontId="5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0" fontId="8" fillId="5" borderId="1" pivotButton="0" quotePrefix="0" xfId="0"/>
    <xf numFmtId="4" fontId="8" fillId="5" borderId="1" pivotButton="0" quotePrefix="0" xfId="0"/>
    <xf numFmtId="0" fontId="9" fillId="0" borderId="1" pivotButton="0" quotePrefix="0" xfId="0"/>
    <xf numFmtId="4" fontId="9" fillId="0" borderId="1" pivotButton="0" quotePrefix="0" xfId="0"/>
    <xf numFmtId="0" fontId="8" fillId="0" borderId="1" pivotButton="0" quotePrefix="0" xfId="0"/>
    <xf numFmtId="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113-0728579-9633009</t>
        </is>
      </c>
      <c r="D2" s="2" t="inlineStr"/>
      <c r="E2" s="2" t="inlineStr">
        <is>
          <t>WIGS</t>
        </is>
      </c>
      <c r="F2" s="2" t="inlineStr">
        <is>
          <t>67041100</t>
        </is>
      </c>
      <c r="G2" s="2" t="inlineStr"/>
      <c r="H2" s="2" t="inlineStr"/>
      <c r="I2" s="2" t="inlineStr">
        <is>
          <t>AMZ-2</t>
        </is>
      </c>
      <c r="J2" s="2" t="inlineStr">
        <is>
          <t>Aauerep Deep Wave Lace Front Wigs Human Hair Wigs for Women</t>
        </is>
      </c>
      <c r="K2" s="2" t="n">
        <v>3</v>
      </c>
      <c r="L2" s="2" t="n"/>
      <c r="M2" s="2" t="inlineStr"/>
      <c r="N2" s="2" t="inlineStr">
        <is>
          <t>USD</t>
        </is>
      </c>
      <c r="O2" s="3" t="n">
        <v>34.99</v>
      </c>
      <c r="P2" s="3" t="n">
        <v>104.97</v>
      </c>
      <c r="Q2" s="3">
        <f>O2*K2</f>
        <v/>
      </c>
      <c r="R2" s="3">
        <f>P2-Q2</f>
        <v/>
      </c>
      <c r="S2" s="3" t="n">
        <v>125.97</v>
      </c>
      <c r="T2" s="3" t="n">
        <v>21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67041100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7" t="inlineStr">
        <is>
          <t>INVOICE NOTES: Structural item count mismatch: 5 price lines found between section markers but 4 items extracted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/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inlineStr">
        <is>
          <t>DUTY ESTIMATION (Classification Cross-Check)</t>
        </is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10" t="inlineStr">
        <is>
          <t>CIF (USD) = InvTotal + Freight + Insurance</t>
        </is>
      </c>
      <c r="K11" s="9" t="n"/>
      <c r="L11" s="9" t="n"/>
      <c r="M11" s="9" t="n"/>
      <c r="N11" s="9" t="n"/>
      <c r="O11" s="9" t="n"/>
      <c r="P11" s="11" t="n">
        <v>146.97</v>
      </c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10" t="inlineStr">
        <is>
          <t>CIF (XCD) = CIF × 2.7169</t>
        </is>
      </c>
      <c r="K12" s="9" t="n"/>
      <c r="L12" s="9" t="n"/>
      <c r="M12" s="9" t="n"/>
      <c r="N12" s="9" t="n"/>
      <c r="O12" s="9" t="n"/>
      <c r="P12" s="11" t="n">
        <v>399.3</v>
      </c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10" t="inlineStr">
        <is>
          <t>CET (20%) — Tariff 67041100</t>
        </is>
      </c>
      <c r="K13" s="9" t="n"/>
      <c r="L13" s="9" t="n"/>
      <c r="M13" s="9" t="n"/>
      <c r="N13" s="9" t="n"/>
      <c r="O13" s="9" t="n"/>
      <c r="P13" s="11" t="n">
        <v>79.86</v>
      </c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10" t="inlineStr">
        <is>
          <t>CSC (6%)</t>
        </is>
      </c>
      <c r="K14" s="9" t="n"/>
      <c r="L14" s="9" t="n"/>
      <c r="M14" s="9" t="n"/>
      <c r="N14" s="9" t="n"/>
      <c r="O14" s="9" t="n"/>
      <c r="P14" s="11" t="n">
        <v>23.96</v>
      </c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10" t="inlineStr">
        <is>
          <t>VAT (15%) on CIF+CET+CSC</t>
        </is>
      </c>
      <c r="K15" s="9" t="n"/>
      <c r="L15" s="9" t="n"/>
      <c r="M15" s="9" t="n"/>
      <c r="N15" s="9" t="n"/>
      <c r="O15" s="9" t="n"/>
      <c r="P15" s="11" t="n">
        <v>75.47</v>
      </c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8" t="inlineStr">
        <is>
          <t>ESTIMATED TOTAL DUTIES</t>
        </is>
      </c>
      <c r="K16" s="12" t="n"/>
      <c r="L16" s="12" t="n"/>
      <c r="M16" s="12" t="n"/>
      <c r="N16" s="12" t="n"/>
      <c r="O16" s="12" t="n"/>
      <c r="P16" s="13" t="n">
        <v>179.29</v>
      </c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10" t="inlineStr">
        <is>
          <t>Effective Duty Rate</t>
        </is>
      </c>
      <c r="K17" s="9" t="n"/>
      <c r="L17" s="9" t="n"/>
      <c r="M17" s="9" t="n"/>
      <c r="N17" s="9" t="n"/>
      <c r="O17" s="9" t="n"/>
      <c r="P17" s="14" t="n">
        <v>0.4490107688454796</v>
      </c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10" t="inlineStr">
        <is>
          <t>CLIENT DECLARED DUTIES</t>
        </is>
      </c>
      <c r="K18" s="9" t="n"/>
      <c r="L18" s="9" t="n"/>
      <c r="M18" s="9" t="n"/>
      <c r="N18" s="9" t="n"/>
      <c r="O18" s="9" t="n"/>
      <c r="P18" s="11" t="n">
        <v>710.27</v>
      </c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15" t="inlineStr">
        <is>
          <t>DUTY VARIANCE (Client − Estimated)</t>
        </is>
      </c>
      <c r="K19" s="9" t="n"/>
      <c r="L19" s="9" t="n"/>
      <c r="M19" s="9" t="n"/>
      <c r="N19" s="9" t="n"/>
      <c r="O19" s="9" t="n"/>
      <c r="P19" s="16" t="n">
        <v>530.98</v>
      </c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10" t="inlineStr">
        <is>
          <t>IMPLIED CIF (from declared duty @ 20% CET, XCD)</t>
        </is>
      </c>
      <c r="K20" s="9" t="n"/>
      <c r="L20" s="9" t="n"/>
      <c r="M20" s="9" t="n"/>
      <c r="N20" s="9" t="n"/>
      <c r="O20" s="9" t="n"/>
      <c r="P20" s="11" t="n">
        <v>1581.89</v>
      </c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10" t="inlineStr">
        <is>
          <t>IMPLIED ITEMS VALUE (USD, net of freight/insurance)</t>
        </is>
      </c>
      <c r="K21" s="9" t="n"/>
      <c r="L21" s="9" t="n"/>
      <c r="M21" s="9" t="n"/>
      <c r="N21" s="9" t="n"/>
      <c r="O21" s="9" t="n"/>
      <c r="P21" s="11" t="n">
        <v>561.24</v>
      </c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15" t="inlineStr">
        <is>
          <t>⚠ ITEM ALLOCATION CHECK: actual $104.97 USD vs implied $561.24 USD — UNDER-ALLOCATED (items from another waybill may belong here)</t>
        </is>
      </c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</row>
    <row r="23"/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inlineStr">
        <is>
          <t>Items on other declaration(s) (3 items)</t>
        </is>
      </c>
      <c r="K24" s="17" t="n"/>
      <c r="L24" s="17" t="n"/>
      <c r="M24" s="17" t="n"/>
      <c r="N24" s="17" t="n"/>
      <c r="O24" s="17" t="n"/>
      <c r="P24" s="18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</row>
    <row r="25">
      <c r="A25" s="17" t="n"/>
      <c r="B25" s="17" t="n"/>
      <c r="C25" s="17" t="n"/>
      <c r="D25" s="17" t="n"/>
      <c r="E25" s="17" t="inlineStr">
        <is>
          <t>WIGS</t>
        </is>
      </c>
      <c r="F25" s="17" t="inlineStr">
        <is>
          <t>67041100</t>
        </is>
      </c>
      <c r="G25" s="17" t="n"/>
      <c r="H25" s="17" t="n"/>
      <c r="I25" s="17" t="n"/>
      <c r="J25" s="17" t="inlineStr">
        <is>
          <t>BLOCKICE Highlight Ombre Lace Front Wig Human Hair Wigs for Black (+1 more) (2 items)</t>
        </is>
      </c>
      <c r="K25" s="17" t="n">
        <v>2</v>
      </c>
      <c r="L25" s="17" t="n"/>
      <c r="M25" s="17" t="n"/>
      <c r="N25" s="17" t="inlineStr">
        <is>
          <t>USD</t>
        </is>
      </c>
      <c r="O25" s="18" t="n">
        <v>216.69</v>
      </c>
      <c r="P25" s="18" t="n">
        <v>433.38</v>
      </c>
      <c r="Q25" s="18" t="n"/>
      <c r="R25" s="18" t="n"/>
      <c r="S25" s="18" t="n"/>
      <c r="T25" s="18" t="n"/>
      <c r="U25" s="18" t="n"/>
      <c r="V25" s="18" t="n"/>
      <c r="W25" s="18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inlineStr">
        <is>
          <t>AMZ-1</t>
        </is>
      </c>
      <c r="J26" s="19" t="inlineStr">
        <is>
          <t>BLOCKICE Highlight Ombre Lace Front Wig Human Hair Wigs for Black</t>
        </is>
      </c>
      <c r="K26" s="19" t="n">
        <v>1</v>
      </c>
      <c r="L26" s="19" t="n"/>
      <c r="M26" s="19" t="n"/>
      <c r="N26" s="19" t="inlineStr">
        <is>
          <t>USD</t>
        </is>
      </c>
      <c r="O26" s="20" t="n">
        <v>41.99</v>
      </c>
      <c r="P26" s="20" t="n">
        <v>41.99</v>
      </c>
      <c r="Q26" s="20" t="n"/>
      <c r="R26" s="20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9" t="n"/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inlineStr">
        <is>
          <t>AMZ-4</t>
        </is>
      </c>
      <c r="J27" s="19" t="inlineStr">
        <is>
          <t>Queen Story 26 Inch Lace Front Wigs Human Hair 13 x 4 Straight Human</t>
        </is>
      </c>
      <c r="K27" s="19" t="n">
        <v>1</v>
      </c>
      <c r="L27" s="19" t="n"/>
      <c r="M27" s="19" t="n"/>
      <c r="N27" s="19" t="inlineStr">
        <is>
          <t>USD</t>
        </is>
      </c>
      <c r="O27" s="20" t="n">
        <v>391.39</v>
      </c>
      <c r="P27" s="20" t="n">
        <v>391.39</v>
      </c>
      <c r="Q27" s="20" t="n"/>
      <c r="R27" s="20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9" t="n"/>
    </row>
    <row r="28">
      <c r="A28" s="17" t="n"/>
      <c r="B28" s="17" t="n"/>
      <c r="C28" s="17" t="n"/>
      <c r="D28" s="17" t="n"/>
      <c r="E28" s="17" t="inlineStr">
        <is>
          <t>SYNTHETIC HAIR</t>
        </is>
      </c>
      <c r="F28" s="17" t="inlineStr">
        <is>
          <t>67041900</t>
        </is>
      </c>
      <c r="G28" s="17" t="n"/>
      <c r="H28" s="17" t="n"/>
      <c r="I28" s="17" t="n"/>
      <c r="J28" s="17" t="inlineStr">
        <is>
          <t>Faux Locs Crochet Hair Soft Locs 30 inch 6 Packs Long Pre Looped Crochet (1 items)</t>
        </is>
      </c>
      <c r="K28" s="17" t="n">
        <v>2</v>
      </c>
      <c r="L28" s="17" t="n"/>
      <c r="M28" s="17" t="n"/>
      <c r="N28" s="17" t="inlineStr">
        <is>
          <t>USD</t>
        </is>
      </c>
      <c r="O28" s="18" t="n">
        <v>18.16</v>
      </c>
      <c r="P28" s="18" t="n">
        <v>18.16</v>
      </c>
      <c r="Q28" s="18" t="n"/>
      <c r="R28" s="18" t="n"/>
      <c r="S28" s="18" t="n"/>
      <c r="T28" s="18" t="n"/>
      <c r="U28" s="18" t="n"/>
      <c r="V28" s="18" t="n"/>
      <c r="W28" s="18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</row>
    <row r="2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inlineStr">
        <is>
          <t>AMZ-3</t>
        </is>
      </c>
      <c r="J29" s="19" t="inlineStr">
        <is>
          <t>Faux Locs Crochet Hair Soft Locs 30 inch 6 Packs Long Pre Looped Crochet</t>
        </is>
      </c>
      <c r="K29" s="19" t="n">
        <v>2</v>
      </c>
      <c r="L29" s="19" t="n"/>
      <c r="M29" s="19" t="n"/>
      <c r="N29" s="19" t="inlineStr">
        <is>
          <t>USD</t>
        </is>
      </c>
      <c r="O29" s="20" t="n">
        <v>9.08</v>
      </c>
      <c r="P29" s="20" t="n">
        <v>18.16</v>
      </c>
      <c r="Q29" s="20" t="n"/>
      <c r="R29" s="20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inlineStr">
        <is>
          <t>REFERENCE SUBTOTAL</t>
        </is>
      </c>
      <c r="K30" s="21" t="n"/>
      <c r="L30" s="21" t="n"/>
      <c r="M30" s="21" t="n"/>
      <c r="N30" s="21" t="n"/>
      <c r="O30" s="21" t="n"/>
      <c r="P30" s="22" t="n">
        <v>451.54</v>
      </c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inlineStr">
        <is>
          <t>REFERENCE FREIGHT</t>
        </is>
      </c>
      <c r="K31" s="21" t="n"/>
      <c r="L31" s="21" t="n"/>
      <c r="M31" s="21" t="n"/>
      <c r="N31" s="21" t="n"/>
      <c r="O31" s="21" t="n"/>
      <c r="P31" s="22" t="n">
        <v>36</v>
      </c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inlineStr">
        <is>
          <t>REFERENCE INSURANCE</t>
        </is>
      </c>
      <c r="K32" s="21" t="n"/>
      <c r="L32" s="21" t="n"/>
      <c r="M32" s="21" t="n"/>
      <c r="N32" s="21" t="n"/>
      <c r="O32" s="21" t="n"/>
      <c r="P32" s="22" t="n">
        <v>0</v>
      </c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inlineStr">
        <is>
          <t>REFERENCE OTHER COST</t>
        </is>
      </c>
      <c r="K33" s="21" t="n"/>
      <c r="L33" s="21" t="n"/>
      <c r="M33" s="21" t="n"/>
      <c r="N33" s="21" t="n"/>
      <c r="O33" s="21" t="n"/>
      <c r="P33" s="22" t="n">
        <v>0</v>
      </c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inlineStr">
        <is>
          <t>REFERENCE DEDUCTION</t>
        </is>
      </c>
      <c r="K34" s="21" t="n"/>
      <c r="L34" s="21" t="n"/>
      <c r="M34" s="21" t="n"/>
      <c r="N34" s="21" t="n"/>
      <c r="O34" s="21" t="n"/>
      <c r="P34" s="22" t="n">
        <v>0</v>
      </c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inlineStr">
        <is>
          <t>REFERENCE ADJUSTMENTS</t>
        </is>
      </c>
      <c r="K35" s="21" t="n"/>
      <c r="L35" s="21" t="n"/>
      <c r="M35" s="21" t="n"/>
      <c r="N35" s="21" t="n"/>
      <c r="O35" s="21" t="n"/>
      <c r="P35" s="22">
        <f>P31+P32+P33-P34</f>
        <v/>
      </c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inlineStr">
        <is>
          <t>REFERENCE NET TOTAL</t>
        </is>
      </c>
      <c r="K36" s="21" t="n"/>
      <c r="L36" s="21" t="n"/>
      <c r="M36" s="21" t="n"/>
      <c r="N36" s="21" t="n"/>
      <c r="O36" s="21" t="n"/>
      <c r="P36" s="22">
        <f>P30+P35</f>
        <v/>
      </c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inlineStr">
        <is>
          <t>COMBINED ITEMS TOTAL</t>
        </is>
      </c>
      <c r="K38" s="21" t="n"/>
      <c r="L38" s="21" t="n"/>
      <c r="M38" s="21" t="n"/>
      <c r="N38" s="21" t="n"/>
      <c r="O38" s="21" t="n"/>
      <c r="P38" s="22">
        <f>P3+P30</f>
        <v/>
      </c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inlineStr">
        <is>
          <t>FULL INVOICE FREIGHT</t>
        </is>
      </c>
      <c r="K39" s="21" t="n"/>
      <c r="L39" s="21" t="n"/>
      <c r="M39" s="21" t="n"/>
      <c r="N39" s="21" t="n"/>
      <c r="O39" s="21" t="n"/>
      <c r="P39" s="22">
        <f>T2+P31</f>
        <v/>
      </c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inlineStr">
        <is>
          <t>FULL INVOICE INSURANCE</t>
        </is>
      </c>
      <c r="K40" s="21" t="n"/>
      <c r="L40" s="21" t="n"/>
      <c r="M40" s="21" t="n"/>
      <c r="N40" s="21" t="n"/>
      <c r="O40" s="21" t="n"/>
      <c r="P40" s="22">
        <f>U2+P32</f>
        <v/>
      </c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inlineStr">
        <is>
          <t>FULL INVOICE OTHER COST</t>
        </is>
      </c>
      <c r="K41" s="21" t="n"/>
      <c r="L41" s="21" t="n"/>
      <c r="M41" s="21" t="n"/>
      <c r="N41" s="21" t="n"/>
      <c r="O41" s="21" t="n"/>
      <c r="P41" s="22">
        <f>V2+P33</f>
        <v/>
      </c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inlineStr">
        <is>
          <t>FULL INVOICE DEDUCTION</t>
        </is>
      </c>
      <c r="K42" s="21" t="n"/>
      <c r="L42" s="21" t="n"/>
      <c r="M42" s="21" t="n"/>
      <c r="N42" s="21" t="n"/>
      <c r="O42" s="21" t="n"/>
      <c r="P42" s="22">
        <f>W2+P34</f>
        <v/>
      </c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inlineStr">
        <is>
          <t>FULL ADJUSTMENTS</t>
        </is>
      </c>
      <c r="K43" s="21" t="n"/>
      <c r="L43" s="21" t="n"/>
      <c r="M43" s="21" t="n"/>
      <c r="N43" s="21" t="n"/>
      <c r="O43" s="21" t="n"/>
      <c r="P43" s="22">
        <f>P39+P40+P41-P42</f>
        <v/>
      </c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inlineStr">
        <is>
          <t>COMBINED NET TOTAL</t>
        </is>
      </c>
      <c r="K44" s="21" t="n"/>
      <c r="L44" s="21" t="n"/>
      <c r="M44" s="21" t="n"/>
      <c r="N44" s="21" t="n"/>
      <c r="O44" s="21" t="n"/>
      <c r="P44" s="22">
        <f>P38+P43</f>
        <v/>
      </c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inlineStr">
        <is>
          <t>FULL INVOICE TOTAL</t>
        </is>
      </c>
      <c r="K45" s="21" t="n"/>
      <c r="L45" s="21" t="n"/>
      <c r="M45" s="21" t="n"/>
      <c r="N45" s="21" t="n"/>
      <c r="O45" s="21" t="n"/>
      <c r="P45" s="22" t="n">
        <v>613.51</v>
      </c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inlineStr">
        <is>
          <t>COMBINED VARIANCE CHECK</t>
        </is>
      </c>
      <c r="K46" s="21" t="n"/>
      <c r="L46" s="21" t="n"/>
      <c r="M46" s="21" t="n"/>
      <c r="N46" s="21" t="n"/>
      <c r="O46" s="21" t="n"/>
      <c r="P46" s="22">
        <f>P45-P44</f>
        <v/>
      </c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2026-04-26T18:11:28Z</dcterms:created>
  <dcterms:modified xmlns:dcterms="http://purl.org/dc/terms/" xmlns:xsi="http://www.w3.org/2001/XMLSchema-instance" xsi:type="dcterms:W3CDTF">2026-04-26T18:11:28Z</dcterms:modified>
</cp:coreProperties>
</file>