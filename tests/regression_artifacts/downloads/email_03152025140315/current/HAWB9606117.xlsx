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9C5700"/>
      <sz val="11"/>
    </font>
    <font>
      <b val="1"/>
      <color rgb="001F4E79"/>
      <sz val="10"/>
    </font>
    <font>
      <color rgb="001F4E79"/>
      <sz val="10"/>
    </font>
    <font>
      <b val="1"/>
      <color rgb="00375623"/>
      <sz val="10"/>
    </font>
    <font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CC"/>
        <bgColor rgb="00FFEB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0" fillId="3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0" fillId="0" borderId="1" pivotButton="0" quotePrefix="0" xfId="0"/>
    <xf numFmtId="0" fontId="6" fillId="0" borderId="1" pivotButton="0" quotePrefix="0" xfId="0"/>
    <xf numFmtId="164" fontId="5" fillId="0" borderId="1" pivotButton="0" quotePrefix="0" xfId="0"/>
    <xf numFmtId="0" fontId="0" fillId="4" borderId="1" pivotButton="0" quotePrefix="0" xfId="0"/>
    <xf numFmtId="164" fontId="5" fillId="4" borderId="1" pivotButton="0" quotePrefix="0" xfId="0"/>
    <xf numFmtId="165" fontId="5" fillId="0" borderId="1" pivotButton="0" quotePrefix="0" xfId="0"/>
    <xf numFmtId="0" fontId="7" fillId="5" borderId="1" pivotButton="0" quotePrefix="0" xfId="0"/>
    <xf numFmtId="4" fontId="7" fillId="5" borderId="1" pivotButton="0" quotePrefix="0" xfId="0"/>
    <xf numFmtId="0" fontId="8" fillId="0" borderId="1" pivotButton="0" quotePrefix="0" xfId="0"/>
    <xf numFmtId="4" fontId="8" fillId="0" borderId="1" pivotButton="0" quotePrefix="0" xfId="0"/>
    <xf numFmtId="0" fontId="7" fillId="0" borderId="1" pivotButton="0" quotePrefix="0" xfId="0"/>
    <xf numFmtId="4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113-0728579-9633009</t>
        </is>
      </c>
      <c r="D2" s="2" t="inlineStr"/>
      <c r="E2" s="2" t="inlineStr">
        <is>
          <t>SYNTHETIC HAIR</t>
        </is>
      </c>
      <c r="F2" s="2" t="inlineStr">
        <is>
          <t>67041900</t>
        </is>
      </c>
      <c r="G2" s="2" t="inlineStr"/>
      <c r="H2" s="2" t="inlineStr"/>
      <c r="I2" s="2" t="inlineStr">
        <is>
          <t>AMZ-3</t>
        </is>
      </c>
      <c r="J2" s="2" t="inlineStr">
        <is>
          <t>Faux Locs Crochet Hair Soft Locs 30 inch 6 Packs Long Pre Looped Crochet</t>
        </is>
      </c>
      <c r="K2" s="2" t="n">
        <v>2</v>
      </c>
      <c r="L2" s="2" t="n"/>
      <c r="M2" s="2" t="inlineStr"/>
      <c r="N2" s="2" t="inlineStr">
        <is>
          <t>USD</t>
        </is>
      </c>
      <c r="O2" s="3" t="n">
        <v>9.08</v>
      </c>
      <c r="P2" s="3" t="n">
        <v>18.16</v>
      </c>
      <c r="Q2" s="3">
        <f>O2*K2</f>
        <v/>
      </c>
      <c r="R2" s="3">
        <f>P2-Q2</f>
        <v/>
      </c>
      <c r="S2" s="3" t="n">
        <v>33.16</v>
      </c>
      <c r="T2" s="3" t="n">
        <v>15</v>
      </c>
      <c r="U2" s="3" t="n">
        <v>0</v>
      </c>
      <c r="V2" s="3" t="n">
        <v>0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Amazon.com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67041900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7" t="inlineStr">
        <is>
          <t>INVOICE NOTES: Structural item count mismatch: 5 price lines found between section markers but 4 items extracted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/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inlineStr">
        <is>
          <t>DUTY ESTIMATION (Classification Cross-Check)</t>
        </is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10" t="inlineStr">
        <is>
          <t>CIF (USD) = InvTotal + Freight + Insurance</t>
        </is>
      </c>
      <c r="K11" s="9" t="n"/>
      <c r="L11" s="9" t="n"/>
      <c r="M11" s="9" t="n"/>
      <c r="N11" s="9" t="n"/>
      <c r="O11" s="9" t="n"/>
      <c r="P11" s="11" t="n">
        <v>48.16</v>
      </c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10" t="inlineStr">
        <is>
          <t>CIF (XCD) = CIF × 2.7169</t>
        </is>
      </c>
      <c r="K12" s="9" t="n"/>
      <c r="L12" s="9" t="n"/>
      <c r="M12" s="9" t="n"/>
      <c r="N12" s="9" t="n"/>
      <c r="O12" s="9" t="n"/>
      <c r="P12" s="11" t="n">
        <v>130.85</v>
      </c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10" t="inlineStr">
        <is>
          <t>CET (20%) — Tariff 67041900</t>
        </is>
      </c>
      <c r="K13" s="9" t="n"/>
      <c r="L13" s="9" t="n"/>
      <c r="M13" s="9" t="n"/>
      <c r="N13" s="9" t="n"/>
      <c r="O13" s="9" t="n"/>
      <c r="P13" s="11" t="n">
        <v>26.17</v>
      </c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10" t="inlineStr">
        <is>
          <t>CSC (6%)</t>
        </is>
      </c>
      <c r="K14" s="9" t="n"/>
      <c r="L14" s="9" t="n"/>
      <c r="M14" s="9" t="n"/>
      <c r="N14" s="9" t="n"/>
      <c r="O14" s="9" t="n"/>
      <c r="P14" s="11" t="n">
        <v>7.85</v>
      </c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  <c r="J15" s="10" t="inlineStr">
        <is>
          <t>VAT (15%) on CIF+CET+CSC</t>
        </is>
      </c>
      <c r="K15" s="9" t="n"/>
      <c r="L15" s="9" t="n"/>
      <c r="M15" s="9" t="n"/>
      <c r="N15" s="9" t="n"/>
      <c r="O15" s="9" t="n"/>
      <c r="P15" s="11" t="n">
        <v>24.73</v>
      </c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8" t="inlineStr">
        <is>
          <t>ESTIMATED TOTAL DUTIES</t>
        </is>
      </c>
      <c r="K16" s="12" t="n"/>
      <c r="L16" s="12" t="n"/>
      <c r="M16" s="12" t="n"/>
      <c r="N16" s="12" t="n"/>
      <c r="O16" s="12" t="n"/>
      <c r="P16" s="13" t="n">
        <v>58.75</v>
      </c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10" t="inlineStr">
        <is>
          <t>Effective Duty Rate</t>
        </is>
      </c>
      <c r="K17" s="9" t="n"/>
      <c r="L17" s="9" t="n"/>
      <c r="M17" s="9" t="n"/>
      <c r="N17" s="9" t="n"/>
      <c r="O17" s="9" t="n"/>
      <c r="P17" s="14" t="n">
        <v>0.4489873901413833</v>
      </c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</row>
    <row r="18"/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inlineStr">
        <is>
          <t>Items on other declaration(s) (3 items)</t>
        </is>
      </c>
      <c r="K19" s="15" t="n"/>
      <c r="L19" s="15" t="n"/>
      <c r="M19" s="15" t="n"/>
      <c r="N19" s="15" t="n"/>
      <c r="O19" s="15" t="n"/>
      <c r="P19" s="16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</row>
    <row r="20">
      <c r="A20" s="15" t="n"/>
      <c r="B20" s="15" t="n"/>
      <c r="C20" s="15" t="n"/>
      <c r="D20" s="15" t="n"/>
      <c r="E20" s="15" t="inlineStr">
        <is>
          <t>WIGS</t>
        </is>
      </c>
      <c r="F20" s="15" t="inlineStr">
        <is>
          <t>67041100</t>
        </is>
      </c>
      <c r="G20" s="15" t="n"/>
      <c r="H20" s="15" t="n"/>
      <c r="I20" s="15" t="n"/>
      <c r="J20" s="15" t="inlineStr">
        <is>
          <t>BLOCKICE Highlight Ombre Lace Front Wig Human Hair Wigs for Black (+2 more) (3 items)</t>
        </is>
      </c>
      <c r="K20" s="15" t="n">
        <v>5</v>
      </c>
      <c r="L20" s="15" t="n"/>
      <c r="M20" s="15" t="n"/>
      <c r="N20" s="15" t="inlineStr">
        <is>
          <t>USD</t>
        </is>
      </c>
      <c r="O20" s="16" t="n">
        <v>179.45</v>
      </c>
      <c r="P20" s="16" t="n">
        <v>538.35</v>
      </c>
      <c r="Q20" s="16" t="n"/>
      <c r="R20" s="16" t="n"/>
      <c r="S20" s="16" t="n"/>
      <c r="T20" s="16" t="n"/>
      <c r="U20" s="16" t="n"/>
      <c r="V20" s="16" t="n"/>
      <c r="W20" s="16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  <c r="AG20" s="15" t="n"/>
      <c r="AH20" s="15" t="n"/>
      <c r="AI20" s="15" t="n"/>
      <c r="AJ20" s="15" t="n"/>
      <c r="AK20" s="15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inlineStr">
        <is>
          <t>AMZ-1</t>
        </is>
      </c>
      <c r="J21" s="17" t="inlineStr">
        <is>
          <t>BLOCKICE Highlight Ombre Lace Front Wig Human Hair Wigs for Black</t>
        </is>
      </c>
      <c r="K21" s="17" t="n">
        <v>1</v>
      </c>
      <c r="L21" s="17" t="n"/>
      <c r="M21" s="17" t="n"/>
      <c r="N21" s="17" t="inlineStr">
        <is>
          <t>USD</t>
        </is>
      </c>
      <c r="O21" s="18" t="n">
        <v>41.99</v>
      </c>
      <c r="P21" s="18" t="n">
        <v>41.99</v>
      </c>
      <c r="Q21" s="18" t="n"/>
      <c r="R21" s="18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inlineStr">
        <is>
          <t>AMZ-4</t>
        </is>
      </c>
      <c r="J22" s="17" t="inlineStr">
        <is>
          <t>Queen Story 26 Inch Lace Front Wigs Human Hair 13 x 4 Straight Human</t>
        </is>
      </c>
      <c r="K22" s="17" t="n">
        <v>1</v>
      </c>
      <c r="L22" s="17" t="n"/>
      <c r="M22" s="17" t="n"/>
      <c r="N22" s="17" t="inlineStr">
        <is>
          <t>USD</t>
        </is>
      </c>
      <c r="O22" s="18" t="n">
        <v>391.39</v>
      </c>
      <c r="P22" s="18" t="n">
        <v>391.39</v>
      </c>
      <c r="Q22" s="18" t="n"/>
      <c r="R22" s="18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inlineStr">
        <is>
          <t>AMZ-2</t>
        </is>
      </c>
      <c r="J23" s="17" t="inlineStr">
        <is>
          <t>Aauerep Deep Wave Lace Front Wigs Human Hair Wigs for Women</t>
        </is>
      </c>
      <c r="K23" s="17" t="n">
        <v>3</v>
      </c>
      <c r="L23" s="17" t="n"/>
      <c r="M23" s="17" t="n"/>
      <c r="N23" s="17" t="inlineStr">
        <is>
          <t>USD</t>
        </is>
      </c>
      <c r="O23" s="18" t="n">
        <v>34.99</v>
      </c>
      <c r="P23" s="18" t="n">
        <v>104.97</v>
      </c>
      <c r="Q23" s="18" t="n"/>
      <c r="R23" s="18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9" t="n"/>
      <c r="J24" s="19" t="inlineStr">
        <is>
          <t>REFERENCE SUBTOTAL</t>
        </is>
      </c>
      <c r="K24" s="19" t="n"/>
      <c r="L24" s="19" t="n"/>
      <c r="M24" s="19" t="n"/>
      <c r="N24" s="19" t="n"/>
      <c r="O24" s="19" t="n"/>
      <c r="P24" s="20" t="n">
        <v>538.35</v>
      </c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inlineStr">
        <is>
          <t>REFERENCE FREIGHT</t>
        </is>
      </c>
      <c r="K25" s="19" t="n"/>
      <c r="L25" s="19" t="n"/>
      <c r="M25" s="19" t="n"/>
      <c r="N25" s="19" t="n"/>
      <c r="O25" s="19" t="n"/>
      <c r="P25" s="20" t="n">
        <v>42</v>
      </c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inlineStr">
        <is>
          <t>REFERENCE INSURANCE</t>
        </is>
      </c>
      <c r="K26" s="19" t="n"/>
      <c r="L26" s="19" t="n"/>
      <c r="M26" s="19" t="n"/>
      <c r="N26" s="19" t="n"/>
      <c r="O26" s="19" t="n"/>
      <c r="P26" s="20" t="n">
        <v>0</v>
      </c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inlineStr">
        <is>
          <t>REFERENCE OTHER COST</t>
        </is>
      </c>
      <c r="K27" s="19" t="n"/>
      <c r="L27" s="19" t="n"/>
      <c r="M27" s="19" t="n"/>
      <c r="N27" s="19" t="n"/>
      <c r="O27" s="19" t="n"/>
      <c r="P27" s="20" t="n">
        <v>0</v>
      </c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9" t="n"/>
      <c r="J28" s="19" t="inlineStr">
        <is>
          <t>REFERENCE DEDUCTION</t>
        </is>
      </c>
      <c r="K28" s="19" t="n"/>
      <c r="L28" s="19" t="n"/>
      <c r="M28" s="19" t="n"/>
      <c r="N28" s="19" t="n"/>
      <c r="O28" s="19" t="n"/>
      <c r="P28" s="20" t="n">
        <v>0</v>
      </c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inlineStr">
        <is>
          <t>REFERENCE ADJUSTMENTS</t>
        </is>
      </c>
      <c r="K29" s="19" t="n"/>
      <c r="L29" s="19" t="n"/>
      <c r="M29" s="19" t="n"/>
      <c r="N29" s="19" t="n"/>
      <c r="O29" s="19" t="n"/>
      <c r="P29" s="20">
        <f>P25+P26+P27-P28</f>
        <v/>
      </c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inlineStr">
        <is>
          <t>REFERENCE NET TOTAL</t>
        </is>
      </c>
      <c r="K30" s="19" t="n"/>
      <c r="L30" s="19" t="n"/>
      <c r="M30" s="19" t="n"/>
      <c r="N30" s="19" t="n"/>
      <c r="O30" s="19" t="n"/>
      <c r="P30" s="20">
        <f>P24+P29</f>
        <v/>
      </c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9" t="n"/>
      <c r="J32" s="19" t="inlineStr">
        <is>
          <t>COMBINED ITEMS TOTAL</t>
        </is>
      </c>
      <c r="K32" s="19" t="n"/>
      <c r="L32" s="19" t="n"/>
      <c r="M32" s="19" t="n"/>
      <c r="N32" s="19" t="n"/>
      <c r="O32" s="19" t="n"/>
      <c r="P32" s="20">
        <f>P3+P24</f>
        <v/>
      </c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inlineStr">
        <is>
          <t>FULL INVOICE FREIGHT</t>
        </is>
      </c>
      <c r="K33" s="19" t="n"/>
      <c r="L33" s="19" t="n"/>
      <c r="M33" s="19" t="n"/>
      <c r="N33" s="19" t="n"/>
      <c r="O33" s="19" t="n"/>
      <c r="P33" s="20">
        <f>T2+P25</f>
        <v/>
      </c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9" t="n"/>
      <c r="J34" s="19" t="inlineStr">
        <is>
          <t>FULL INVOICE INSURANCE</t>
        </is>
      </c>
      <c r="K34" s="19" t="n"/>
      <c r="L34" s="19" t="n"/>
      <c r="M34" s="19" t="n"/>
      <c r="N34" s="19" t="n"/>
      <c r="O34" s="19" t="n"/>
      <c r="P34" s="20">
        <f>U2+P26</f>
        <v/>
      </c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inlineStr">
        <is>
          <t>FULL INVOICE OTHER COST</t>
        </is>
      </c>
      <c r="K35" s="19" t="n"/>
      <c r="L35" s="19" t="n"/>
      <c r="M35" s="19" t="n"/>
      <c r="N35" s="19" t="n"/>
      <c r="O35" s="19" t="n"/>
      <c r="P35" s="20">
        <f>V2+P27</f>
        <v/>
      </c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9" t="n"/>
      <c r="J36" s="19" t="inlineStr">
        <is>
          <t>FULL INVOICE DEDUCTION</t>
        </is>
      </c>
      <c r="K36" s="19" t="n"/>
      <c r="L36" s="19" t="n"/>
      <c r="M36" s="19" t="n"/>
      <c r="N36" s="19" t="n"/>
      <c r="O36" s="19" t="n"/>
      <c r="P36" s="20">
        <f>W2+P28</f>
        <v/>
      </c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inlineStr">
        <is>
          <t>FULL ADJUSTMENTS</t>
        </is>
      </c>
      <c r="K37" s="19" t="n"/>
      <c r="L37" s="19" t="n"/>
      <c r="M37" s="19" t="n"/>
      <c r="N37" s="19" t="n"/>
      <c r="O37" s="19" t="n"/>
      <c r="P37" s="20">
        <f>P33+P34+P35-P36</f>
        <v/>
      </c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9" t="n"/>
      <c r="J38" s="19" t="inlineStr">
        <is>
          <t>COMBINED NET TOTAL</t>
        </is>
      </c>
      <c r="K38" s="19" t="n"/>
      <c r="L38" s="19" t="n"/>
      <c r="M38" s="19" t="n"/>
      <c r="N38" s="19" t="n"/>
      <c r="O38" s="19" t="n"/>
      <c r="P38" s="20">
        <f>P32+P37</f>
        <v/>
      </c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inlineStr">
        <is>
          <t>FULL INVOICE TOTAL</t>
        </is>
      </c>
      <c r="K39" s="19" t="n"/>
      <c r="L39" s="19" t="n"/>
      <c r="M39" s="19" t="n"/>
      <c r="N39" s="19" t="n"/>
      <c r="O39" s="19" t="n"/>
      <c r="P39" s="20" t="n">
        <v>613.51</v>
      </c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9" t="n"/>
      <c r="J40" s="19" t="inlineStr">
        <is>
          <t>COMBINED VARIANCE CHECK</t>
        </is>
      </c>
      <c r="K40" s="19" t="n"/>
      <c r="L40" s="19" t="n"/>
      <c r="M40" s="19" t="n"/>
      <c r="N40" s="19" t="n"/>
      <c r="O40" s="19" t="n"/>
      <c r="P40" s="20">
        <f>P39-P38</f>
        <v/>
      </c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2026-04-26T18:11:28Z</dcterms:created>
  <dcterms:modified xmlns:dcterms="http://purl.org/dc/terms/" xmlns:xsi="http://www.w3.org/2001/XMLSchema-instance" xsi:type="dcterms:W3CDTF">2026-04-26T18:11:28Z</dcterms:modified>
</cp:coreProperties>
</file>