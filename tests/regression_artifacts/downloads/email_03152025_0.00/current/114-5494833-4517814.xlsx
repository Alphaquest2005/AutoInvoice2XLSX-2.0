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114-5494833-4517814</t>
        </is>
      </c>
      <c r="D2" s="2" t="inlineStr">
        <is>
          <t>2024-07-15</t>
        </is>
      </c>
      <c r="E2" s="2" t="inlineStr">
        <is>
          <t>ALUMINUM ARTICLES</t>
        </is>
      </c>
      <c r="F2" s="2" t="inlineStr">
        <is>
          <t>76169990</t>
        </is>
      </c>
      <c r="G2" s="2" t="inlineStr"/>
      <c r="H2" s="2" t="inlineStr"/>
      <c r="I2" s="2" t="inlineStr">
        <is>
          <t>76169990</t>
        </is>
      </c>
      <c r="J2" s="2" t="inlineStr">
        <is>
          <t>Thinp 8 Pcs Mic Stand Adapter,Aluminum Alloy Microphone Stand Screw Stand Ada...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5.59</v>
      </c>
      <c r="P2" s="3" t="n">
        <v>5.59</v>
      </c>
      <c r="Q2" s="3">
        <f>O2*K2</f>
        <v/>
      </c>
      <c r="R2" s="3">
        <f>P2-Q2</f>
        <v/>
      </c>
      <c r="S2" s="3" t="n">
        <v>59.93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76169990</t>
        </is>
      </c>
    </row>
    <row r="3">
      <c r="A3" s="4" t="n"/>
      <c r="B3" s="4" t="n"/>
      <c r="C3" s="4" t="n"/>
      <c r="D3" s="4" t="n"/>
      <c r="E3" s="4" t="n"/>
      <c r="F3" s="4" t="inlineStr">
        <is>
          <t>76169990</t>
        </is>
      </c>
      <c r="G3" s="4" t="n"/>
      <c r="H3" s="4" t="n"/>
      <c r="I3" s="4" t="inlineStr">
        <is>
          <t>AMZ-1</t>
        </is>
      </c>
      <c r="J3" s="4" t="inlineStr">
        <is>
          <t>Thinp 8 Pcs Mic Stand Adapter,Aluminum Alloy Microphone Stand Screw Stand Ada...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5.59</v>
      </c>
      <c r="P3" s="5" t="n">
        <v>5.59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114-5494833-4517814</t>
        </is>
      </c>
      <c r="D4" s="2" t="inlineStr">
        <is>
          <t>2024-07-15</t>
        </is>
      </c>
      <c r="E4" s="2" t="inlineStr">
        <is>
          <t>Fans</t>
        </is>
      </c>
      <c r="F4" s="2" t="inlineStr">
        <is>
          <t>84145900</t>
        </is>
      </c>
      <c r="G4" s="2" t="inlineStr"/>
      <c r="H4" s="2" t="inlineStr"/>
      <c r="I4" s="2" t="inlineStr">
        <is>
          <t>84145900</t>
        </is>
      </c>
      <c r="J4" s="2" t="inlineStr">
        <is>
          <t>QUETTERLEE Replacement Internal Cooling Fan for Sony PS4 Fan ps4 CUH-1000 CUH...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14.99</v>
      </c>
      <c r="P4" s="3" t="n">
        <v>14.99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84145900</t>
        </is>
      </c>
    </row>
    <row r="5">
      <c r="A5" s="4" t="n"/>
      <c r="B5" s="4" t="n"/>
      <c r="C5" s="4" t="n"/>
      <c r="D5" s="4" t="n"/>
      <c r="E5" s="4" t="n"/>
      <c r="F5" s="4" t="inlineStr">
        <is>
          <t>84145900</t>
        </is>
      </c>
      <c r="G5" s="4" t="n"/>
      <c r="H5" s="4" t="n"/>
      <c r="I5" s="4" t="inlineStr">
        <is>
          <t>AMZ-2</t>
        </is>
      </c>
      <c r="J5" s="4" t="inlineStr">
        <is>
          <t>QUETTERLEE Replacement Internal Cooling Fan for Sony PS4 Fan ps4 CUH-1000 CUH...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14.99</v>
      </c>
      <c r="P5" s="5" t="n">
        <v>14.99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2" t="n"/>
      <c r="B6" s="2" t="inlineStr"/>
      <c r="C6" s="2" t="inlineStr">
        <is>
          <t>114-5494833-4517814</t>
        </is>
      </c>
      <c r="D6" s="2" t="inlineStr">
        <is>
          <t>2024-07-15</t>
        </is>
      </c>
      <c r="E6" s="2" t="inlineStr">
        <is>
          <t>Footwear</t>
        </is>
      </c>
      <c r="F6" s="2" t="inlineStr">
        <is>
          <t>64031900</t>
        </is>
      </c>
      <c r="G6" s="2" t="inlineStr"/>
      <c r="H6" s="2" t="inlineStr"/>
      <c r="I6" s="2" t="inlineStr">
        <is>
          <t>64031900</t>
        </is>
      </c>
      <c r="J6" s="2" t="inlineStr">
        <is>
          <t>Element Men's Topaz C3 Skate Shoe, Grey, 12 (1 items)</t>
        </is>
      </c>
      <c r="K6" s="2" t="n">
        <v>1</v>
      </c>
      <c r="L6" s="2" t="n"/>
      <c r="M6" s="2" t="inlineStr"/>
      <c r="N6" s="2" t="inlineStr">
        <is>
          <t>USD</t>
        </is>
      </c>
      <c r="O6" s="3" t="n">
        <v>31</v>
      </c>
      <c r="P6" s="3" t="n">
        <v>31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64031900</t>
        </is>
      </c>
    </row>
    <row r="7">
      <c r="A7" s="4" t="n"/>
      <c r="B7" s="4" t="n"/>
      <c r="C7" s="4" t="n"/>
      <c r="D7" s="4" t="n"/>
      <c r="E7" s="4" t="n"/>
      <c r="F7" s="4" t="inlineStr">
        <is>
          <t>64031900</t>
        </is>
      </c>
      <c r="G7" s="4" t="n"/>
      <c r="H7" s="4" t="n"/>
      <c r="I7" s="4" t="inlineStr">
        <is>
          <t>AMZ-3</t>
        </is>
      </c>
      <c r="J7" s="4" t="inlineStr">
        <is>
          <t>Element Men's Topaz C3 Skate Shoe, Grey, 12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31</v>
      </c>
      <c r="P7" s="5" t="n">
        <v>31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(GROUPED)</t>
        </is>
      </c>
      <c r="K8" s="6" t="n"/>
      <c r="L8" s="6" t="n"/>
      <c r="M8" s="6" t="n"/>
      <c r="N8" s="6" t="n"/>
      <c r="O8" s="6" t="n"/>
      <c r="P8" s="7">
        <f>P2+P4+P6</f>
        <v/>
      </c>
      <c r="Q8" s="7">
        <f>Q2+Q4+Q6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SUBTOTAL (DETAILS)</t>
        </is>
      </c>
      <c r="K9" s="6" t="n"/>
      <c r="L9" s="6" t="n"/>
      <c r="M9" s="6" t="n"/>
      <c r="N9" s="6" t="n"/>
      <c r="O9" s="6" t="n"/>
      <c r="P9" s="7">
        <f>SUM(P2:P7)-P8</f>
        <v/>
      </c>
      <c r="Q9" s="7">
        <f>SUM(Q2:Q7)-Q8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GROUP VERIFICATION</t>
        </is>
      </c>
      <c r="K10" s="8" t="n"/>
      <c r="L10" s="8" t="n"/>
      <c r="M10" s="8" t="n"/>
      <c r="N10" s="8" t="n"/>
      <c r="O10" s="8" t="n"/>
      <c r="P10" s="9">
        <f>P8-P9</f>
        <v/>
      </c>
      <c r="Q10" s="9">
        <f>Q8-Q9</f>
        <v/>
      </c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/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INTERNAL FREIGHT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INSURANCE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OTHER COST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DEDUCTION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ADJUSTMENTS</t>
        </is>
      </c>
      <c r="K16" s="6" t="n"/>
      <c r="L16" s="6" t="n"/>
      <c r="M16" s="6" t="n"/>
      <c r="N16" s="6" t="n"/>
      <c r="O16" s="6" t="n"/>
      <c r="P16" s="7">
        <f>(T2+U2+V2-W2)</f>
        <v/>
      </c>
      <c r="Q16" s="7">
        <f>(T2+U2+V2-W2)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NET TOTAL</t>
        </is>
      </c>
      <c r="K18" s="6" t="n"/>
      <c r="L18" s="6" t="n"/>
      <c r="M18" s="6" t="n"/>
      <c r="N18" s="6" t="n"/>
      <c r="O18" s="6" t="n"/>
      <c r="P18" s="7">
        <f>P8+P16</f>
        <v/>
      </c>
      <c r="Q18" s="7">
        <f>Q8+Q16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INVOICE TOTAL</t>
        </is>
      </c>
      <c r="K19" s="6" t="n"/>
      <c r="L19" s="6" t="n"/>
      <c r="M19" s="6" t="n"/>
      <c r="N19" s="6" t="n"/>
      <c r="O19" s="6" t="n"/>
      <c r="P19" s="7">
        <f>S2</f>
        <v/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/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inlineStr">
        <is>
          <t>VARIANCE CHECK</t>
        </is>
      </c>
      <c r="K21" s="10" t="n"/>
      <c r="L21" s="10" t="n"/>
      <c r="M21" s="10" t="n"/>
      <c r="N21" s="10" t="n"/>
      <c r="O21" s="10" t="n"/>
      <c r="P21" s="11">
        <f>S2-P18</f>
        <v/>
      </c>
      <c r="Q21" s="11">
        <f>S2-Q18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</row>
    <row r="22"/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inlineStr">
        <is>
          <t>DUTY ESTIMATION (Classification Cross-Check)</t>
        </is>
      </c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CIF (USD) = InvTotal + Freight + Insurance</t>
        </is>
      </c>
      <c r="K24" s="13" t="n"/>
      <c r="L24" s="13" t="n"/>
      <c r="M24" s="13" t="n"/>
      <c r="N24" s="13" t="n"/>
      <c r="O24" s="13" t="n"/>
      <c r="P24" s="15" t="n">
        <v>59.93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CIF (XCD) = CIF × 2.7169</t>
        </is>
      </c>
      <c r="K25" s="13" t="n"/>
      <c r="L25" s="13" t="n"/>
      <c r="M25" s="13" t="n"/>
      <c r="N25" s="13" t="n"/>
      <c r="O25" s="13" t="n"/>
      <c r="P25" s="15" t="n">
        <v>162.82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CET (weighted avg 8.0%)</t>
        </is>
      </c>
      <c r="K26" s="13" t="n"/>
      <c r="L26" s="13" t="n"/>
      <c r="M26" s="13" t="n"/>
      <c r="N26" s="13" t="n"/>
      <c r="O26" s="13" t="n"/>
      <c r="P26" s="15" t="n">
        <v>13.03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 xml:space="preserve">  └ 64031900: 10% CET (60% of value)</t>
        </is>
      </c>
      <c r="K27" s="13" t="n"/>
      <c r="L27" s="13" t="n"/>
      <c r="M27" s="13" t="n"/>
      <c r="N27" s="13" t="n"/>
      <c r="O27" s="13" t="n"/>
      <c r="P27" s="15" t="n">
        <v>9.789999999999999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 xml:space="preserve">  └ 76169990: 5% CET (11% of value)</t>
        </is>
      </c>
      <c r="K28" s="13" t="n"/>
      <c r="L28" s="13" t="n"/>
      <c r="M28" s="13" t="n"/>
      <c r="N28" s="13" t="n"/>
      <c r="O28" s="13" t="n"/>
      <c r="P28" s="15" t="n">
        <v>0.88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 xml:space="preserve">  └ 84145900: 5% CET (29% of value)</t>
        </is>
      </c>
      <c r="K29" s="13" t="n"/>
      <c r="L29" s="13" t="n"/>
      <c r="M29" s="13" t="n"/>
      <c r="N29" s="13" t="n"/>
      <c r="O29" s="13" t="n"/>
      <c r="P29" s="15" t="n">
        <v>2.37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CSC (6%)</t>
        </is>
      </c>
      <c r="K30" s="13" t="n"/>
      <c r="L30" s="13" t="n"/>
      <c r="M30" s="13" t="n"/>
      <c r="N30" s="13" t="n"/>
      <c r="O30" s="13" t="n"/>
      <c r="P30" s="15" t="n">
        <v>9.77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VAT (15%) on CIF+CET+CSC</t>
        </is>
      </c>
      <c r="K31" s="13" t="n"/>
      <c r="L31" s="13" t="n"/>
      <c r="M31" s="13" t="n"/>
      <c r="N31" s="13" t="n"/>
      <c r="O31" s="13" t="n"/>
      <c r="P31" s="15" t="n">
        <v>27.84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2" t="inlineStr">
        <is>
          <t>ESTIMATED TOTAL DUTIES</t>
        </is>
      </c>
      <c r="K32" s="16" t="n"/>
      <c r="L32" s="16" t="n"/>
      <c r="M32" s="16" t="n"/>
      <c r="N32" s="16" t="n"/>
      <c r="O32" s="16" t="n"/>
      <c r="P32" s="17" t="n">
        <v>50.64</v>
      </c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Effective Duty Rate</t>
        </is>
      </c>
      <c r="K33" s="13" t="n"/>
      <c r="L33" s="13" t="n"/>
      <c r="M33" s="13" t="n"/>
      <c r="N33" s="13" t="n"/>
      <c r="O33" s="13" t="n"/>
      <c r="P33" s="18" t="n">
        <v>0.3110183024198502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2026-04-26T18:12:39Z</dcterms:created>
  <dcterms:modified xmlns:dcterms="http://purl.org/dc/terms/" xmlns:xsi="http://www.w3.org/2001/XMLSchema-instance" xsi:type="dcterms:W3CDTF">2026-04-26T18:12:39Z</dcterms:modified>
</cp:coreProperties>
</file>