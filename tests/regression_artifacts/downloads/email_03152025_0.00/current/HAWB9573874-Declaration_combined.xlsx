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Invoices" sheetId="1" state="visible" r:id="rId1"/>
    <sheet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0" fillId="6" borderId="0" pivotButton="0" quotePrefix="0" xfId="0"/>
    <xf numFmtId="0" fontId="0" fillId="2" borderId="0" pivotButton="0" quotePrefix="0" xfId="0"/>
    <xf numFmtId="0" fontId="9" fillId="2" borderId="0" pivotButton="0" quotePrefix="0" xfId="0"/>
    <xf numFmtId="0" fontId="10" fillId="0" borderId="0" pivotButton="0" quotePrefix="0" xfId="0"/>
    <xf numFmtId="166" fontId="0" fillId="0" borderId="0" pivotButton="0" quotePrefix="0" xfId="0"/>
    <xf numFmtId="166" fontId="11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114-5494833-4517814</t>
        </is>
      </c>
      <c r="D2" s="2" t="n"/>
      <c r="E2" s="2" t="inlineStr">
        <is>
          <t>Unclassifiable / Non-physical goods</t>
        </is>
      </c>
      <c r="F2" s="2" t="inlineStr">
        <is>
          <t>99999999</t>
        </is>
      </c>
      <c r="G2" s="2" t="n"/>
      <c r="H2" s="2" t="n"/>
      <c r="I2" s="2" t="inlineStr">
        <is>
          <t>99999999</t>
        </is>
      </c>
      <c r="J2" s="2" t="inlineStr">
        <is>
          <t>Aug 24, 9:34 AM ~ Morne Fendue St. Patrick, St. Patrick Grenada Amazon.com - Order 114-5494833-4517814 Estimated tax to be collected: (1 items)</t>
        </is>
      </c>
      <c r="K2" s="2" t="n">
        <v>1</v>
      </c>
      <c r="L2" s="2" t="n"/>
      <c r="M2" s="2" t="n"/>
      <c r="N2" s="2" t="inlineStr">
        <is>
          <t>USD</t>
        </is>
      </c>
      <c r="O2" s="3" t="n">
        <v>0</v>
      </c>
      <c r="P2" s="3" t="n">
        <v>0</v>
      </c>
      <c r="Q2" s="3">
        <f>O2*K2</f>
        <v/>
      </c>
      <c r="R2" s="3">
        <f>P2-Q2</f>
        <v/>
      </c>
      <c r="S2" s="3" t="n">
        <v>51.58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99999999</t>
        </is>
      </c>
    </row>
    <row r="3">
      <c r="A3" s="4" t="n"/>
      <c r="B3" s="4" t="n"/>
      <c r="C3" s="4" t="n"/>
      <c r="D3" s="4" t="n"/>
      <c r="E3" s="4" t="n"/>
      <c r="F3" s="4" t="inlineStr">
        <is>
          <t>99999999</t>
        </is>
      </c>
      <c r="G3" s="4" t="n"/>
      <c r="H3" s="4" t="n"/>
      <c r="I3" s="4" t="inlineStr">
        <is>
          <t>TEMU-1</t>
        </is>
      </c>
      <c r="J3" s="4" t="inlineStr">
        <is>
          <t>Aug 24, 9:34 AM ~ Morne Fendue St. Patrick, St. Patrick Grenada Amazon.com - Order 114-5494833-4517814 Estimated tax to be collected:</t>
        </is>
      </c>
      <c r="K3" s="4" t="n">
        <v>1</v>
      </c>
      <c r="L3" s="4" t="n"/>
      <c r="M3" s="4" t="n"/>
      <c r="N3" s="4" t="inlineStr">
        <is>
          <t>USD</t>
        </is>
      </c>
      <c r="O3" s="5" t="n">
        <v>0</v>
      </c>
      <c r="P3" s="5" t="n">
        <v>0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n"/>
      <c r="C4" s="2" t="inlineStr">
        <is>
          <t>114-5494833-4517814</t>
        </is>
      </c>
      <c r="D4" s="2" t="n"/>
      <c r="E4" s="2" t="inlineStr">
        <is>
          <t>Unclassifiable / Non-physical goods</t>
        </is>
      </c>
      <c r="F4" s="2" t="inlineStr">
        <is>
          <t>49090090</t>
        </is>
      </c>
      <c r="G4" s="2" t="n"/>
      <c r="H4" s="2" t="n"/>
      <c r="I4" s="2" t="inlineStr">
        <is>
          <t>49090090</t>
        </is>
      </c>
      <c r="J4" s="2" t="inlineStr">
        <is>
          <t>Gift Card Amount: - (1 items)</t>
        </is>
      </c>
      <c r="K4" s="2" t="n">
        <v>1</v>
      </c>
      <c r="L4" s="2" t="n"/>
      <c r="M4" s="2" t="n"/>
      <c r="N4" s="2" t="inlineStr">
        <is>
          <t>USD</t>
        </is>
      </c>
      <c r="O4" s="3" t="n">
        <v>51.58</v>
      </c>
      <c r="P4" s="3" t="n">
        <v>51.58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49090090</t>
        </is>
      </c>
    </row>
    <row r="5">
      <c r="A5" s="4" t="n"/>
      <c r="B5" s="4" t="n"/>
      <c r="C5" s="4" t="n"/>
      <c r="D5" s="4" t="n"/>
      <c r="E5" s="4" t="n"/>
      <c r="F5" s="4" t="inlineStr">
        <is>
          <t>49090090</t>
        </is>
      </c>
      <c r="G5" s="4" t="n"/>
      <c r="H5" s="4" t="n"/>
      <c r="I5" s="4" t="inlineStr">
        <is>
          <t>TEMU-2</t>
        </is>
      </c>
      <c r="J5" s="4" t="inlineStr">
        <is>
          <t>Gift Card Amount: -</t>
        </is>
      </c>
      <c r="K5" s="4" t="n">
        <v>1</v>
      </c>
      <c r="L5" s="4" t="n"/>
      <c r="M5" s="4" t="n"/>
      <c r="N5" s="4" t="inlineStr">
        <is>
          <t>USD</t>
        </is>
      </c>
      <c r="O5" s="5" t="n">
        <v>51.58</v>
      </c>
      <c r="P5" s="5" t="n">
        <v>51.58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n"/>
      <c r="C6" s="2" t="inlineStr">
        <is>
          <t>114-5494833-4517814</t>
        </is>
      </c>
      <c r="D6" s="2" t="n"/>
      <c r="E6" s="2" t="inlineStr">
        <is>
          <t>Unclassifiable / Non-physical goods</t>
        </is>
      </c>
      <c r="F6" s="2" t="inlineStr">
        <is>
          <t>00000000</t>
        </is>
      </c>
      <c r="G6" s="2" t="n"/>
      <c r="H6" s="2" t="n"/>
      <c r="I6" s="2" t="inlineStr">
        <is>
          <t>00000000</t>
        </is>
      </c>
      <c r="J6" s="2" t="inlineStr">
        <is>
          <t>Grand Total: (1 items)</t>
        </is>
      </c>
      <c r="K6" s="2" t="n">
        <v>1</v>
      </c>
      <c r="L6" s="2" t="n"/>
      <c r="M6" s="2" t="n"/>
      <c r="N6" s="2" t="inlineStr">
        <is>
          <t>USD</t>
        </is>
      </c>
      <c r="O6" s="3" t="n">
        <v>0</v>
      </c>
      <c r="P6" s="3" t="n">
        <v>0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00000000</t>
        </is>
      </c>
    </row>
    <row r="7">
      <c r="A7" s="4" t="n"/>
      <c r="B7" s="4" t="n"/>
      <c r="C7" s="4" t="n"/>
      <c r="D7" s="4" t="n"/>
      <c r="E7" s="4" t="n"/>
      <c r="F7" s="4" t="inlineStr">
        <is>
          <t>00000000</t>
        </is>
      </c>
      <c r="G7" s="4" t="n"/>
      <c r="H7" s="4" t="n"/>
      <c r="I7" s="4" t="inlineStr">
        <is>
          <t>TEMU-3</t>
        </is>
      </c>
      <c r="J7" s="4" t="inlineStr">
        <is>
          <t>Grand Total:</t>
        </is>
      </c>
      <c r="K7" s="4" t="n">
        <v>1</v>
      </c>
      <c r="L7" s="4" t="n"/>
      <c r="M7" s="4" t="n"/>
      <c r="N7" s="4" t="inlineStr">
        <is>
          <t>USD</t>
        </is>
      </c>
      <c r="O7" s="5" t="n">
        <v>0</v>
      </c>
      <c r="P7" s="5" t="n">
        <v>0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(GROUPED)</t>
        </is>
      </c>
      <c r="K8" s="6" t="n"/>
      <c r="L8" s="6" t="n"/>
      <c r="M8" s="6" t="n"/>
      <c r="N8" s="6" t="n"/>
      <c r="O8" s="6" t="n"/>
      <c r="P8" s="7">
        <f>P2+P4+P6</f>
        <v/>
      </c>
      <c r="Q8" s="7">
        <f>Q2+Q4+Q6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(DETAILS)</t>
        </is>
      </c>
      <c r="K9" s="6" t="n"/>
      <c r="L9" s="6" t="n"/>
      <c r="M9" s="6" t="n"/>
      <c r="N9" s="6" t="n"/>
      <c r="O9" s="6" t="n"/>
      <c r="P9" s="7">
        <f>SUM(P2:P7)-P8</f>
        <v/>
      </c>
      <c r="Q9" s="7">
        <f>SUM(Q2:Q7)-Q8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GROUP VERIFICATION</t>
        </is>
      </c>
      <c r="K10" s="8" t="n"/>
      <c r="L10" s="8" t="n"/>
      <c r="M10" s="8" t="n"/>
      <c r="N10" s="8" t="n"/>
      <c r="O10" s="8" t="n"/>
      <c r="P10" s="9">
        <f>P8-P9</f>
        <v/>
      </c>
      <c r="Q10" s="9">
        <f>Q8-Q9</f>
        <v/>
      </c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/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INTERNAL FREIGHT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INSURANCE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OTHER COST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DEDUCTION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ADJUSTMENTS</t>
        </is>
      </c>
      <c r="K16" s="6" t="n"/>
      <c r="L16" s="6" t="n"/>
      <c r="M16" s="6" t="n"/>
      <c r="N16" s="6" t="n"/>
      <c r="O16" s="6" t="n"/>
      <c r="P16" s="7">
        <f>(T2+U2+V2-W2)</f>
        <v/>
      </c>
      <c r="Q16" s="7">
        <f>(T2+U2+V2-W2)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NET TOTAL</t>
        </is>
      </c>
      <c r="K18" s="6" t="n"/>
      <c r="L18" s="6" t="n"/>
      <c r="M18" s="6" t="n"/>
      <c r="N18" s="6" t="n"/>
      <c r="O18" s="6" t="n"/>
      <c r="P18" s="7">
        <f>P8+P16</f>
        <v/>
      </c>
      <c r="Q18" s="7">
        <f>Q8+Q16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INVOICE TOTAL</t>
        </is>
      </c>
      <c r="K19" s="6" t="n"/>
      <c r="L19" s="6" t="n"/>
      <c r="M19" s="6" t="n"/>
      <c r="N19" s="6" t="n"/>
      <c r="O19" s="6" t="n"/>
      <c r="P19" s="7">
        <f>S2</f>
        <v/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inlineStr">
        <is>
          <t>VARIANCE CHECK</t>
        </is>
      </c>
      <c r="K21" s="10" t="n"/>
      <c r="L21" s="10" t="n"/>
      <c r="M21" s="10" t="n"/>
      <c r="N21" s="10" t="n"/>
      <c r="O21" s="10" t="n"/>
      <c r="P21" s="11">
        <f>S2-P18</f>
        <v/>
      </c>
      <c r="Q21" s="11">
        <f>S2-Q18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/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3" t="inlineStr">
        <is>
          <t>INVOICE NOTES: Invoice total uncertain</t>
        </is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/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inlineStr">
        <is>
          <t>DUTY ESTIMATION (Classification Cross-Check)</t>
        </is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CIF (USD) = InvTotal + Freight + Insurance</t>
        </is>
      </c>
      <c r="K26" s="15" t="n"/>
      <c r="L26" s="15" t="n"/>
      <c r="M26" s="15" t="n"/>
      <c r="N26" s="15" t="n"/>
      <c r="O26" s="15" t="n"/>
      <c r="P26" s="17" t="n">
        <v>51.58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CIF (XCD) = CIF × 2.7169</t>
        </is>
      </c>
      <c r="K27" s="15" t="n"/>
      <c r="L27" s="15" t="n"/>
      <c r="M27" s="15" t="n"/>
      <c r="N27" s="15" t="n"/>
      <c r="O27" s="15" t="n"/>
      <c r="P27" s="17" t="n">
        <v>140.14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CET (weighted avg 20.0%)</t>
        </is>
      </c>
      <c r="K28" s="15" t="n"/>
      <c r="L28" s="15" t="n"/>
      <c r="M28" s="15" t="n"/>
      <c r="N28" s="15" t="n"/>
      <c r="O28" s="15" t="n"/>
      <c r="P28" s="17" t="n">
        <v>28.03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 xml:space="preserve">  └ 00000000: 20% CET (0% of value)</t>
        </is>
      </c>
      <c r="K29" s="15" t="n"/>
      <c r="L29" s="15" t="n"/>
      <c r="M29" s="15" t="n"/>
      <c r="N29" s="15" t="n"/>
      <c r="O29" s="15" t="n"/>
      <c r="P29" s="17" t="n">
        <v>0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 xml:space="preserve">  └ 49090090: 20% CET (100% of value)</t>
        </is>
      </c>
      <c r="K30" s="15" t="n"/>
      <c r="L30" s="15" t="n"/>
      <c r="M30" s="15" t="n"/>
      <c r="N30" s="15" t="n"/>
      <c r="O30" s="15" t="n"/>
      <c r="P30" s="17" t="n">
        <v>28.03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 xml:space="preserve">  └ 99999999: 20% CET (0% of value)</t>
        </is>
      </c>
      <c r="K31" s="15" t="n"/>
      <c r="L31" s="15" t="n"/>
      <c r="M31" s="15" t="n"/>
      <c r="N31" s="15" t="n"/>
      <c r="O31" s="15" t="n"/>
      <c r="P31" s="17" t="n">
        <v>0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>CSC (6%)</t>
        </is>
      </c>
      <c r="K32" s="15" t="n"/>
      <c r="L32" s="15" t="n"/>
      <c r="M32" s="15" t="n"/>
      <c r="N32" s="15" t="n"/>
      <c r="O32" s="15" t="n"/>
      <c r="P32" s="17" t="n">
        <v>8.41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>VAT (15%) on CIF+CET+CSC</t>
        </is>
      </c>
      <c r="K33" s="15" t="n"/>
      <c r="L33" s="15" t="n"/>
      <c r="M33" s="15" t="n"/>
      <c r="N33" s="15" t="n"/>
      <c r="O33" s="15" t="n"/>
      <c r="P33" s="17" t="n">
        <v>26.49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4" t="inlineStr">
        <is>
          <t>ESTIMATED TOTAL DUTIES</t>
        </is>
      </c>
      <c r="K34" s="18" t="n"/>
      <c r="L34" s="18" t="n"/>
      <c r="M34" s="18" t="n"/>
      <c r="N34" s="18" t="n"/>
      <c r="O34" s="18" t="n"/>
      <c r="P34" s="19" t="n">
        <v>62.93</v>
      </c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>Effective Duty Rate</t>
        </is>
      </c>
      <c r="K35" s="15" t="n"/>
      <c r="L35" s="15" t="n"/>
      <c r="M35" s="15" t="n"/>
      <c r="N35" s="15" t="n"/>
      <c r="O35" s="15" t="n"/>
      <c r="P35" s="20" t="n">
        <v>0.4490509490509491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</row>
    <row r="37">
      <c r="A37" s="2" t="inlineStr">
        <is>
          <t>4000-000</t>
        </is>
      </c>
      <c r="B37" s="2" t="n"/>
      <c r="C37" s="2" t="inlineStr">
        <is>
          <t>114-5494833-4517814</t>
        </is>
      </c>
      <c r="D37" s="2" t="inlineStr">
        <is>
          <t>2024-07-15</t>
        </is>
      </c>
      <c r="E37" s="2" t="inlineStr">
        <is>
          <t>Parts</t>
        </is>
      </c>
      <c r="F37" s="2" t="inlineStr">
        <is>
          <t>85189000</t>
        </is>
      </c>
      <c r="G37" s="2" t="n"/>
      <c r="H37" s="2" t="n"/>
      <c r="I37" s="2" t="inlineStr">
        <is>
          <t>85189000</t>
        </is>
      </c>
      <c r="J37" s="2" t="inlineStr">
        <is>
          <t>Thinp 8 Pcs Mic Stand Adapter,Aluminum Alloy Microphone Stand Screw Stand Ada... (1 items)</t>
        </is>
      </c>
      <c r="K37" s="2" t="n">
        <v>1</v>
      </c>
      <c r="L37" s="2" t="n"/>
      <c r="M37" s="2" t="n"/>
      <c r="N37" s="2" t="inlineStr">
        <is>
          <t>USD</t>
        </is>
      </c>
      <c r="O37" s="3" t="n">
        <v>17.19</v>
      </c>
      <c r="P37" s="3" t="n">
        <v>17.19</v>
      </c>
      <c r="Q37" s="3">
        <f>O37*K37</f>
        <v/>
      </c>
      <c r="R37" s="3">
        <f>P37-Q37</f>
        <v/>
      </c>
      <c r="S37" s="3" t="n">
        <v>0</v>
      </c>
      <c r="T37" s="3" t="n">
        <v>0</v>
      </c>
      <c r="U37" s="3" t="n">
        <v>-51.58</v>
      </c>
      <c r="V37" s="3" t="n">
        <v>0</v>
      </c>
      <c r="W37" s="3" t="n">
        <v>0</v>
      </c>
      <c r="X37" s="2" t="n"/>
      <c r="Y37" s="2" t="n"/>
      <c r="Z37" s="2" t="inlineStr">
        <is>
          <t>AMAZON</t>
        </is>
      </c>
      <c r="AA37" s="2" t="inlineStr">
        <is>
          <t>Amazon.com</t>
        </is>
      </c>
      <c r="AB37" s="2" t="inlineStr">
        <is>
          <t>410 Terry Avenue North, Seattle, WA 98109</t>
        </is>
      </c>
      <c r="AC37" s="2" t="inlineStr">
        <is>
          <t>US</t>
        </is>
      </c>
      <c r="AD37" s="2" t="n"/>
      <c r="AE37" s="2" t="n"/>
      <c r="AF37" s="2" t="n"/>
      <c r="AG37" s="2" t="n"/>
      <c r="AH37" s="2" t="n"/>
      <c r="AI37" s="2" t="n"/>
      <c r="AJ37" s="2" t="n"/>
      <c r="AK37" s="2" t="inlineStr">
        <is>
          <t>85189000</t>
        </is>
      </c>
    </row>
    <row r="38">
      <c r="A38" s="4" t="n"/>
      <c r="B38" s="4" t="n"/>
      <c r="C38" s="4" t="n"/>
      <c r="D38" s="4" t="n"/>
      <c r="E38" s="4" t="n"/>
      <c r="F38" s="4" t="inlineStr">
        <is>
          <t>85189000</t>
        </is>
      </c>
      <c r="G38" s="4" t="n"/>
      <c r="H38" s="4" t="n"/>
      <c r="I38" s="4" t="inlineStr">
        <is>
          <t>AMZ-1</t>
        </is>
      </c>
      <c r="J38" s="4" t="inlineStr">
        <is>
          <t>Thinp 8 Pcs Mic Stand Adapter,Aluminum Alloy Microphone Stand Screw Stand Ada...</t>
        </is>
      </c>
      <c r="K38" s="4" t="n">
        <v>1</v>
      </c>
      <c r="L38" s="4" t="n"/>
      <c r="M38" s="4" t="n"/>
      <c r="N38" s="4" t="inlineStr">
        <is>
          <t>USD</t>
        </is>
      </c>
      <c r="O38" s="5" t="n">
        <v>17.19</v>
      </c>
      <c r="P38" s="5" t="n">
        <v>17.19</v>
      </c>
      <c r="Q38" s="5">
        <f>O38*K38</f>
        <v/>
      </c>
      <c r="R38" s="5">
        <f>P38-Q38</f>
        <v/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</row>
    <row r="39">
      <c r="A39" s="2" t="n"/>
      <c r="B39" s="2" t="n"/>
      <c r="C39" s="2" t="inlineStr">
        <is>
          <t>114-5494833-4517814</t>
        </is>
      </c>
      <c r="D39" s="2" t="inlineStr">
        <is>
          <t>2024-07-15</t>
        </is>
      </c>
      <c r="E39" s="2" t="inlineStr">
        <is>
          <t>Fans</t>
        </is>
      </c>
      <c r="F39" s="2" t="inlineStr">
        <is>
          <t>84145900</t>
        </is>
      </c>
      <c r="G39" s="2" t="n"/>
      <c r="H39" s="2" t="n"/>
      <c r="I39" s="2" t="inlineStr">
        <is>
          <t>84145900</t>
        </is>
      </c>
      <c r="J39" s="2" t="inlineStr">
        <is>
          <t>QUETTERLEE Replacement Internal Cooling Fan for Sony PS4 Fan ps4 CUH-1000 CUH... (1 items)</t>
        </is>
      </c>
      <c r="K39" s="2" t="n">
        <v>1</v>
      </c>
      <c r="L39" s="2" t="n"/>
      <c r="M39" s="2" t="n"/>
      <c r="N39" s="2" t="inlineStr">
        <is>
          <t>USD</t>
        </is>
      </c>
      <c r="O39" s="3" t="n">
        <v>17.19</v>
      </c>
      <c r="P39" s="3" t="n">
        <v>17.19</v>
      </c>
      <c r="Q39" s="3">
        <f>O39*K39</f>
        <v/>
      </c>
      <c r="R39" s="3">
        <f>P39-Q39</f>
        <v/>
      </c>
      <c r="S39" s="3" t="n"/>
      <c r="T39" s="3" t="n"/>
      <c r="U39" s="3" t="n"/>
      <c r="V39" s="3" t="n"/>
      <c r="W39" s="3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inlineStr">
        <is>
          <t>84145900</t>
        </is>
      </c>
    </row>
    <row r="40">
      <c r="A40" s="4" t="n"/>
      <c r="B40" s="4" t="n"/>
      <c r="C40" s="4" t="n"/>
      <c r="D40" s="4" t="n"/>
      <c r="E40" s="4" t="n"/>
      <c r="F40" s="4" t="inlineStr">
        <is>
          <t>84145900</t>
        </is>
      </c>
      <c r="G40" s="4" t="n"/>
      <c r="H40" s="4" t="n"/>
      <c r="I40" s="4" t="inlineStr">
        <is>
          <t>AMZ-2</t>
        </is>
      </c>
      <c r="J40" s="4" t="inlineStr">
        <is>
          <t>QUETTERLEE Replacement Internal Cooling Fan for Sony PS4 Fan ps4 CUH-1000 CUH...</t>
        </is>
      </c>
      <c r="K40" s="4" t="n">
        <v>1</v>
      </c>
      <c r="L40" s="4" t="n"/>
      <c r="M40" s="4" t="n"/>
      <c r="N40" s="4" t="inlineStr">
        <is>
          <t>USD</t>
        </is>
      </c>
      <c r="O40" s="5" t="n">
        <v>17.19</v>
      </c>
      <c r="P40" s="5" t="n">
        <v>17.19</v>
      </c>
      <c r="Q40" s="5">
        <f>O40*K40</f>
        <v/>
      </c>
      <c r="R40" s="5">
        <f>P40-Q40</f>
        <v/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</row>
    <row r="41">
      <c r="A41" s="2" t="n"/>
      <c r="B41" s="2" t="n"/>
      <c r="C41" s="2" t="inlineStr">
        <is>
          <t>114-5494833-4517814</t>
        </is>
      </c>
      <c r="D41" s="2" t="inlineStr">
        <is>
          <t>2024-07-15</t>
        </is>
      </c>
      <c r="E41" s="2" t="inlineStr">
        <is>
          <t>Footwear</t>
        </is>
      </c>
      <c r="F41" s="2" t="inlineStr">
        <is>
          <t>64031900</t>
        </is>
      </c>
      <c r="G41" s="2" t="n"/>
      <c r="H41" s="2" t="n"/>
      <c r="I41" s="2" t="inlineStr">
        <is>
          <t>64031900</t>
        </is>
      </c>
      <c r="J41" s="2" t="inlineStr">
        <is>
          <t>Element Men's Topaz C3 Skate Shoe, Grey, 12 Reginald Andall DORAL, FL 33192-2147 (1 items)</t>
        </is>
      </c>
      <c r="K41" s="2" t="n">
        <v>1</v>
      </c>
      <c r="L41" s="2" t="n"/>
      <c r="M41" s="2" t="n"/>
      <c r="N41" s="2" t="inlineStr">
        <is>
          <t>USD</t>
        </is>
      </c>
      <c r="O41" s="3" t="n">
        <v>17.2</v>
      </c>
      <c r="P41" s="3" t="n">
        <v>17.2</v>
      </c>
      <c r="Q41" s="3">
        <f>O41*K41</f>
        <v/>
      </c>
      <c r="R41" s="3">
        <f>P41-Q41</f>
        <v/>
      </c>
      <c r="S41" s="3" t="n"/>
      <c r="T41" s="3" t="n"/>
      <c r="U41" s="3" t="n"/>
      <c r="V41" s="3" t="n"/>
      <c r="W41" s="3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inlineStr">
        <is>
          <t>64031900</t>
        </is>
      </c>
    </row>
    <row r="42">
      <c r="A42" s="4" t="n"/>
      <c r="B42" s="4" t="n"/>
      <c r="C42" s="4" t="n"/>
      <c r="D42" s="4" t="n"/>
      <c r="E42" s="4" t="n"/>
      <c r="F42" s="4" t="inlineStr">
        <is>
          <t>64031900</t>
        </is>
      </c>
      <c r="G42" s="4" t="n"/>
      <c r="H42" s="4" t="n"/>
      <c r="I42" s="4" t="inlineStr">
        <is>
          <t>AMZ-3</t>
        </is>
      </c>
      <c r="J42" s="4" t="inlineStr">
        <is>
          <t>Element Men's Topaz C3 Skate Shoe, Grey, 12 Reginald Andall DORAL, FL 33192-2147</t>
        </is>
      </c>
      <c r="K42" s="4" t="n">
        <v>1</v>
      </c>
      <c r="L42" s="4" t="n"/>
      <c r="M42" s="4" t="n"/>
      <c r="N42" s="4" t="inlineStr">
        <is>
          <t>USD</t>
        </is>
      </c>
      <c r="O42" s="5" t="n">
        <v>17.2</v>
      </c>
      <c r="P42" s="5" t="n">
        <v>17.2</v>
      </c>
      <c r="Q42" s="5">
        <f>O42*K42</f>
        <v/>
      </c>
      <c r="R42" s="5">
        <f>P42-Q42</f>
        <v/>
      </c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inlineStr">
        <is>
          <t>SUBTOTAL (GROUPED)</t>
        </is>
      </c>
      <c r="K43" s="6" t="n"/>
      <c r="L43" s="6" t="n"/>
      <c r="M43" s="6" t="n"/>
      <c r="N43" s="6" t="n"/>
      <c r="O43" s="6" t="n"/>
      <c r="P43" s="7">
        <f>P37+P39+P41</f>
        <v/>
      </c>
      <c r="Q43" s="7">
        <f>Q37+Q39+Q41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inlineStr">
        <is>
          <t>SUBTOTAL (DETAILS)</t>
        </is>
      </c>
      <c r="K44" s="6" t="n"/>
      <c r="L44" s="6" t="n"/>
      <c r="M44" s="6" t="n"/>
      <c r="N44" s="6" t="n"/>
      <c r="O44" s="6" t="n"/>
      <c r="P44" s="7">
        <f>SUM(P37:P42)-P43</f>
        <v/>
      </c>
      <c r="Q44" s="7">
        <f>SUM(Q37:Q42)-Q43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inlineStr">
        <is>
          <t>GROUP VERIFICATION</t>
        </is>
      </c>
      <c r="K45" s="8" t="n"/>
      <c r="L45" s="8" t="n"/>
      <c r="M45" s="8" t="n"/>
      <c r="N45" s="8" t="n"/>
      <c r="O45" s="8" t="n"/>
      <c r="P45" s="9">
        <f>P43-P44</f>
        <v/>
      </c>
      <c r="Q45" s="9">
        <f>Q43-Q44</f>
        <v/>
      </c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</row>
    <row r="46"/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inlineStr">
        <is>
          <t>TOTAL INTERNAL FREIGHT</t>
        </is>
      </c>
      <c r="K47" s="6" t="n"/>
      <c r="L47" s="6" t="n"/>
      <c r="M47" s="6" t="n"/>
      <c r="N47" s="6" t="n"/>
      <c r="O47" s="6" t="n"/>
      <c r="P47" s="7" t="n">
        <v>0</v>
      </c>
      <c r="Q47" s="7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inlineStr">
        <is>
          <t>TOTAL INSURANCE</t>
        </is>
      </c>
      <c r="K48" s="6" t="n"/>
      <c r="L48" s="6" t="n"/>
      <c r="M48" s="6" t="n"/>
      <c r="N48" s="6" t="n"/>
      <c r="O48" s="6" t="n"/>
      <c r="P48" s="7" t="n">
        <v>-51.58</v>
      </c>
      <c r="Q48" s="7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inlineStr">
        <is>
          <t>TOTAL OTHER COST</t>
        </is>
      </c>
      <c r="K49" s="6" t="n"/>
      <c r="L49" s="6" t="n"/>
      <c r="M49" s="6" t="n"/>
      <c r="N49" s="6" t="n"/>
      <c r="O49" s="6" t="n"/>
      <c r="P49" s="7" t="n">
        <v>0</v>
      </c>
      <c r="Q49" s="7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inlineStr">
        <is>
          <t>TOTAL DEDUCTION</t>
        </is>
      </c>
      <c r="K50" s="6" t="n"/>
      <c r="L50" s="6" t="n"/>
      <c r="M50" s="6" t="n"/>
      <c r="N50" s="6" t="n"/>
      <c r="O50" s="6" t="n"/>
      <c r="P50" s="7" t="n">
        <v>0</v>
      </c>
      <c r="Q50" s="7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inlineStr">
        <is>
          <t>ADJUSTMENTS</t>
        </is>
      </c>
      <c r="K51" s="6" t="n"/>
      <c r="L51" s="6" t="n"/>
      <c r="M51" s="6" t="n"/>
      <c r="N51" s="6" t="n"/>
      <c r="O51" s="6" t="n"/>
      <c r="P51" s="7">
        <f>(T37+U37+V37-W37)</f>
        <v/>
      </c>
      <c r="Q51" s="7">
        <f>(T37+U37+V37-W37)</f>
        <v/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</row>
    <row r="52"/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inlineStr">
        <is>
          <t>NET TOTAL</t>
        </is>
      </c>
      <c r="K53" s="6" t="n"/>
      <c r="L53" s="6" t="n"/>
      <c r="M53" s="6" t="n"/>
      <c r="N53" s="6" t="n"/>
      <c r="O53" s="6" t="n"/>
      <c r="P53" s="7">
        <f>P43+P51</f>
        <v/>
      </c>
      <c r="Q53" s="7">
        <f>Q43+Q51</f>
        <v/>
      </c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inlineStr">
        <is>
          <t>INVOICE TOTAL</t>
        </is>
      </c>
      <c r="K54" s="6" t="n"/>
      <c r="L54" s="6" t="n"/>
      <c r="M54" s="6" t="n"/>
      <c r="N54" s="6" t="n"/>
      <c r="O54" s="6" t="n"/>
      <c r="P54" s="7">
        <f>S37</f>
        <v/>
      </c>
      <c r="Q54" s="7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/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inlineStr">
        <is>
          <t>VARIANCE CHECK</t>
        </is>
      </c>
      <c r="K56" s="10" t="n"/>
      <c r="L56" s="10" t="n"/>
      <c r="M56" s="10" t="n"/>
      <c r="N56" s="10" t="n"/>
      <c r="O56" s="10" t="n"/>
      <c r="P56" s="11">
        <f>S37-P53</f>
        <v/>
      </c>
      <c r="Q56" s="11">
        <f>S37-Q53</f>
        <v/>
      </c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</row>
    <row r="57"/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3" t="inlineStr">
        <is>
          <t>INVOICE NOTES: Invoice total uncertain</t>
        </is>
      </c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</row>
    <row r="59"/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inlineStr">
        <is>
          <t>DUTY ESTIMATION (Classification Cross-Check)</t>
        </is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6" t="inlineStr">
        <is>
          <t>CIF (USD) = InvTotal + Freight + Insurance</t>
        </is>
      </c>
      <c r="K61" s="15" t="n"/>
      <c r="L61" s="15" t="n"/>
      <c r="M61" s="15" t="n"/>
      <c r="N61" s="15" t="n"/>
      <c r="O61" s="15" t="n"/>
      <c r="P61" s="17" t="n">
        <v>0</v>
      </c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6" t="inlineStr">
        <is>
          <t>CIF (XCD) = CIF × 2.7169</t>
        </is>
      </c>
      <c r="K62" s="15" t="n"/>
      <c r="L62" s="15" t="n"/>
      <c r="M62" s="15" t="n"/>
      <c r="N62" s="15" t="n"/>
      <c r="O62" s="15" t="n"/>
      <c r="P62" s="17" t="n">
        <v>0</v>
      </c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6" t="inlineStr">
        <is>
          <t>CET (weighted avg 11.7%)</t>
        </is>
      </c>
      <c r="K63" s="15" t="n"/>
      <c r="L63" s="15" t="n"/>
      <c r="M63" s="15" t="n"/>
      <c r="N63" s="15" t="n"/>
      <c r="O63" s="15" t="n"/>
      <c r="P63" s="17" t="n">
        <v>0</v>
      </c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6" t="inlineStr">
        <is>
          <t xml:space="preserve">  └ 64031900: 10% CET (33% of value)</t>
        </is>
      </c>
      <c r="K64" s="15" t="n"/>
      <c r="L64" s="15" t="n"/>
      <c r="M64" s="15" t="n"/>
      <c r="N64" s="15" t="n"/>
      <c r="O64" s="15" t="n"/>
      <c r="P64" s="17" t="n">
        <v>0</v>
      </c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6" t="inlineStr">
        <is>
          <t xml:space="preserve">  └ 84145900: 5% CET (33% of value)</t>
        </is>
      </c>
      <c r="K65" s="15" t="n"/>
      <c r="L65" s="15" t="n"/>
      <c r="M65" s="15" t="n"/>
      <c r="N65" s="15" t="n"/>
      <c r="O65" s="15" t="n"/>
      <c r="P65" s="17" t="n">
        <v>0</v>
      </c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6" t="inlineStr">
        <is>
          <t xml:space="preserve">  └ 85189000: 20% CET (33% of value)</t>
        </is>
      </c>
      <c r="K66" s="15" t="n"/>
      <c r="L66" s="15" t="n"/>
      <c r="M66" s="15" t="n"/>
      <c r="N66" s="15" t="n"/>
      <c r="O66" s="15" t="n"/>
      <c r="P66" s="17" t="n">
        <v>0</v>
      </c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6" t="inlineStr">
        <is>
          <t>CSC (6%)</t>
        </is>
      </c>
      <c r="K67" s="15" t="n"/>
      <c r="L67" s="15" t="n"/>
      <c r="M67" s="15" t="n"/>
      <c r="N67" s="15" t="n"/>
      <c r="O67" s="15" t="n"/>
      <c r="P67" s="17" t="n">
        <v>0</v>
      </c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6" t="inlineStr">
        <is>
          <t>VAT (15%) on CIF+CET+CSC</t>
        </is>
      </c>
      <c r="K68" s="15" t="n"/>
      <c r="L68" s="15" t="n"/>
      <c r="M68" s="15" t="n"/>
      <c r="N68" s="15" t="n"/>
      <c r="O68" s="15" t="n"/>
      <c r="P68" s="17" t="n">
        <v>0</v>
      </c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4" t="inlineStr">
        <is>
          <t>ESTIMATED TOTAL DUTIES</t>
        </is>
      </c>
      <c r="K69" s="18" t="n"/>
      <c r="L69" s="18" t="n"/>
      <c r="M69" s="18" t="n"/>
      <c r="N69" s="18" t="n"/>
      <c r="O69" s="18" t="n"/>
      <c r="P69" s="19" t="n">
        <v>0</v>
      </c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6" t="inlineStr">
        <is>
          <t>Effective Duty Rate</t>
        </is>
      </c>
      <c r="K70" s="15" t="n"/>
      <c r="L70" s="15" t="n"/>
      <c r="M70" s="15" t="n"/>
      <c r="N70" s="15" t="n"/>
      <c r="O70" s="15" t="n"/>
      <c r="P70" s="20" t="n">
        <v>0</v>
      </c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</row>
    <row r="71"/>
    <row r="72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3" t="inlineStr">
        <is>
          <t>═══ COMBINED GRAND SUMMARY ═══</t>
        </is>
      </c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</row>
    <row r="74">
      <c r="L74" s="24" t="inlineStr">
        <is>
          <t>Invoice 114-5494833-4517814</t>
        </is>
      </c>
      <c r="P74" s="25" t="n">
        <v>397.64</v>
      </c>
      <c r="Q74" s="26" t="n">
        <v>-346.06</v>
      </c>
    </row>
    <row r="75">
      <c r="L75" s="24" t="inlineStr">
        <is>
          <t>Invoice 114-5494833-4517814</t>
        </is>
      </c>
      <c r="P75" s="25" t="n">
        <v>0</v>
      </c>
    </row>
    <row r="76"/>
    <row r="77">
      <c r="L77" s="27" t="inlineStr">
        <is>
          <t>GRAND TOTAL</t>
        </is>
      </c>
      <c r="P77" s="28" t="n">
        <v>397.64</v>
      </c>
    </row>
    <row r="78">
      <c r="L78" s="29" t="inlineStr">
        <is>
          <t>GRAND VARIANCE CHECK</t>
        </is>
      </c>
      <c r="P78" s="26" t="n">
        <v>-346.06</v>
      </c>
    </row>
    <row r="79">
      <c r="L79" s="30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31" t="inlineStr">
        <is>
          <t>PDF File</t>
        </is>
      </c>
      <c r="B1" s="31" t="inlineStr">
        <is>
          <t>Quality Score</t>
        </is>
      </c>
      <c r="C1" s="31" t="inlineStr">
        <is>
          <t>Rating</t>
        </is>
      </c>
      <c r="D1" s="31" t="inlineStr">
        <is>
          <t>Details</t>
        </is>
      </c>
      <c r="E1" s="31" t="inlineStr">
        <is>
          <t>OCR Text (first 2000 chars)</t>
        </is>
      </c>
    </row>
    <row r="2">
      <c r="A2" s="32" t="inlineStr">
        <is>
          <t>114-5494833-4517814.pdf</t>
        </is>
      </c>
      <c r="B2" s="32" t="inlineStr">
        <is>
          <t>55/100</t>
        </is>
      </c>
      <c r="C2" s="32" t="inlineStr">
        <is>
          <t>FAIR</t>
        </is>
      </c>
      <c r="D2" s="32" t="inlineStr">
        <is>
          <t>Text: 702 chars; Prices: 3 ($-sign), 1 (decimal); Total: MISSING; Invoice#: MISSING; Real items: 1/3; Structure words: 5/12</t>
        </is>
      </c>
      <c r="E2" s="33" t="inlineStr">
        <is>
          <t>Aug 24, 9:34 AM
~ Morne Fendue
St. Patrick, St. Patrick
Grenada
Amazon.com - Order 114-5494833-4517814
Estimated tax to be collected: $0.00
Gift Card Amount: -$51.58
Grand Total: $0.00
To view the status of your order, return to Order Summary.
Have an issue with your gift card? Read about common issues or contact us.
Conditions of Use | Privacy Notice © 1996-2024, Amazon.com, Inc. or its affiliates
Back to top
English
United States
Help
Conditions of Use  Privacy Notice  Consumer Health Data Privacy Disclosure  Your Ads Privacy Choices
© 1996-2024, Amazon.com, Inc. or its affiliates
https://www.amazon.com/gp/css/summary/print.html?orderID=114-5494833-4517814&amp;ref=ppx_yo2ov_dt_b_invoice
2/2</t>
        </is>
      </c>
    </row>
    <row r="3">
      <c r="A3" s="34" t="inlineStr">
        <is>
          <t>HAWB9573874-Manifest_Invoice.pdf</t>
        </is>
      </c>
      <c r="B3" s="34" t="inlineStr">
        <is>
          <t>80/100</t>
        </is>
      </c>
      <c r="C3" s="34" t="inlineStr">
        <is>
          <t>GOOD</t>
        </is>
      </c>
      <c r="D3" s="34" t="inlineStr">
        <is>
          <t>Text: 2318 chars; Prices: 8 ($-sign), 3 (decimal); Total: MISSING; Invoice#: 114-5494833-4517814; Real items: 3/3; Structure words: 8/12</t>
        </is>
      </c>
      <c r="E3" s="35" t="inlineStr">
        <is>
          <t>Jul 24, 9:34 AM
Amazon.com
Amazon.com - Order 114-5494833-4517814
Final Details for Order #114-5494833-4517814
Print this page for your records.
Order Placed: July 15, 2024
Amazon.com order number: 114-5494833-4517814
Order Total: $0.00
Shipped on July 16, 2024
Items Ordered
1 of: Thinp 8 Pcs Mic Stand Adapter,Aluminum Alloy Microphone Stand Screw Stand Adapter for Camera Tripod 5/8 Female to 3/8 Male 3/8 Female to 5/8 Male 5/8 Female to 1/4 Male 1/4 Female to 5/8 Male
Sold by: shuoxun (seller profile
Supplied by: shuoxun (seller profile
Condition: New
1 of: QUETTERLEE Replacement Internal Cooling Fan for Sony PS4 Fan ps4 CUH-1000 CUH-1001A CUH-11XX CUH-1000AB01 CUH-1000AB02 1115A 1115B 500GB KSB0912HE Note: This Item can not fit for PS4 CUH-1200 Series
Sold by: QUETTERLEE (seller profile) | Product question? Ask Seller
Supplied by: QUETTERLEE (seller profile
Condition: New
Shipping Address:
Reginald Andall
10813 NW 30TH ST STE 115 GRE 1132
DORAL, FL 33192-2147
United States
Shipping Speed:
FREE Shipping
Shipped on July 16, 2024
Items Ordered
1 of: Element Men's Topaz C3 Skate Shoe, Grey, 12
Sold by: Amazon.com Services, Inc
Supplied by: Other
Condition: New
Shipping Address:
Reginald Andall
10813 NW 30TH ST STE 115 GRE 1132
DORAL, FL 33192-2147
United States
Shipping Speed:
FREE Shipping
Payment information
Payment Method:
Amazon gift card balance
Item(s) Subtotal: $51.58
Shipping &amp; Handling: $8.35
Free Shipping: -$8.35
Billing address
Preston Andall
Total before tax: $51.58
https://www.amazon.com/gp/css/summary/print.html?orderID=114-5494833-4517814&amp;ref=ppx_yo2ov_dt_b_invoice
1/2
Aug 24, 9:34 AM
~ Morne Fendue
St. Patrick, St. Patrick
Grenada
Amazon.com - Order 114-5494833-4517814
Estimated tax to be collected: $0.00
Gift Card Amount: -$51.58
Grand Total: $0.00
To view the status of your order, return to Order Summary.
Have an issue with your gift card? Read about common issues or contact us.
Conditions of Use | Privacy Notice © 1996-2024, Amazon.co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2026-04-24T05:47:02Z</dcterms:created>
  <dcterms:modified xsi:type="dcterms:W3CDTF">2026-04-24T05:47:13Z</dcterms:modified>
</cp:coreProperties>
</file>