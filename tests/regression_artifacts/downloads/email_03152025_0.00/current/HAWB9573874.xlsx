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  <xf numFmtId="0" fontId="8" fillId="5" borderId="1" pivotButton="0" quotePrefix="0" xfId="0"/>
    <xf numFmtId="4" fontId="8" fillId="5" borderId="1" pivotButton="0" quotePrefix="0" xfId="0"/>
    <xf numFmtId="0" fontId="9" fillId="0" borderId="1" pivotButton="0" quotePrefix="0" xfId="0"/>
    <xf numFmtId="4" fontId="9" fillId="0" borderId="1" pivotButton="0" quotePrefix="0" xfId="0"/>
    <xf numFmtId="0" fontId="8" fillId="0" borderId="1" pivotButton="0" quotePrefix="0" xfId="0"/>
    <xf numFmtId="4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114-5494833-4517814</t>
        </is>
      </c>
      <c r="D2" s="2" t="inlineStr">
        <is>
          <t>2024-07-15</t>
        </is>
      </c>
      <c r="E2" s="2" t="inlineStr">
        <is>
          <t>ALUMINUM ARTICLES</t>
        </is>
      </c>
      <c r="F2" s="2" t="inlineStr">
        <is>
          <t>76169990</t>
        </is>
      </c>
      <c r="G2" s="2" t="inlineStr"/>
      <c r="H2" s="2" t="inlineStr"/>
      <c r="I2" s="2" t="inlineStr">
        <is>
          <t>76169990</t>
        </is>
      </c>
      <c r="J2" s="2" t="inlineStr">
        <is>
          <t>Thinp 8 Pcs Mic Stand Adapter,Aluminum Alloy Microphone Stand Screw Stand Ada...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5.59</v>
      </c>
      <c r="P2" s="3" t="n">
        <v>5.59</v>
      </c>
      <c r="Q2" s="3">
        <f>O2*K2</f>
        <v/>
      </c>
      <c r="R2" s="3">
        <f>P2-Q2</f>
        <v/>
      </c>
      <c r="S2" s="3" t="n">
        <v>39.59</v>
      </c>
      <c r="T2" s="3" t="n">
        <v>3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76169990</t>
        </is>
      </c>
    </row>
    <row r="3">
      <c r="A3" s="4" t="n"/>
      <c r="B3" s="4" t="n"/>
      <c r="C3" s="4" t="n"/>
      <c r="D3" s="4" t="n"/>
      <c r="E3" s="4" t="n"/>
      <c r="F3" s="4" t="inlineStr">
        <is>
          <t>76169990</t>
        </is>
      </c>
      <c r="G3" s="4" t="n"/>
      <c r="H3" s="4" t="n"/>
      <c r="I3" s="4" t="inlineStr">
        <is>
          <t>AMZ-1</t>
        </is>
      </c>
      <c r="J3" s="4" t="inlineStr">
        <is>
          <t>Thinp 8 Pcs Mic Stand Adapter,Aluminum Alloy Microphone Stand Screw Stand Ada...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5.59</v>
      </c>
      <c r="P3" s="5" t="n">
        <v>5.59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inlineStr"/>
      <c r="C4" s="2" t="inlineStr">
        <is>
          <t>114-5494833-4517814</t>
        </is>
      </c>
      <c r="D4" s="2" t="inlineStr">
        <is>
          <t>2024-07-15</t>
        </is>
      </c>
      <c r="E4" s="2" t="inlineStr">
        <is>
          <t>Footwear</t>
        </is>
      </c>
      <c r="F4" s="2" t="inlineStr">
        <is>
          <t>64031900</t>
        </is>
      </c>
      <c r="G4" s="2" t="inlineStr"/>
      <c r="H4" s="2" t="inlineStr"/>
      <c r="I4" s="2" t="inlineStr">
        <is>
          <t>64031900</t>
        </is>
      </c>
      <c r="J4" s="2" t="inlineStr">
        <is>
          <t>Element Men's Topaz C3 Skate Shoe, Grey, 12 (1 items)</t>
        </is>
      </c>
      <c r="K4" s="2" t="n">
        <v>1</v>
      </c>
      <c r="L4" s="2" t="n"/>
      <c r="M4" s="2" t="inlineStr"/>
      <c r="N4" s="2" t="inlineStr">
        <is>
          <t>USD</t>
        </is>
      </c>
      <c r="O4" s="3" t="n">
        <v>31</v>
      </c>
      <c r="P4" s="3" t="n">
        <v>31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64031900</t>
        </is>
      </c>
    </row>
    <row r="5">
      <c r="A5" s="4" t="n"/>
      <c r="B5" s="4" t="n"/>
      <c r="C5" s="4" t="n"/>
      <c r="D5" s="4" t="n"/>
      <c r="E5" s="4" t="n"/>
      <c r="F5" s="4" t="inlineStr">
        <is>
          <t>64031900</t>
        </is>
      </c>
      <c r="G5" s="4" t="n"/>
      <c r="H5" s="4" t="n"/>
      <c r="I5" s="4" t="inlineStr">
        <is>
          <t>AMZ-3</t>
        </is>
      </c>
      <c r="J5" s="4" t="inlineStr">
        <is>
          <t>Element Men's Topaz C3 Skate Shoe, Grey, 12</t>
        </is>
      </c>
      <c r="K5" s="4" t="n">
        <v>1</v>
      </c>
      <c r="L5" s="4" t="n"/>
      <c r="M5" s="4" t="inlineStr"/>
      <c r="N5" s="4" t="inlineStr">
        <is>
          <t>USD</t>
        </is>
      </c>
      <c r="O5" s="5" t="n">
        <v>31</v>
      </c>
      <c r="P5" s="5" t="n">
        <v>31</v>
      </c>
      <c r="Q5" s="5">
        <f>O5*K5</f>
        <v/>
      </c>
      <c r="R5" s="5">
        <f>P5-Q5</f>
        <v/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inlineStr">
        <is>
          <t>SUBTOTAL (GROUPED)</t>
        </is>
      </c>
      <c r="K6" s="6" t="n"/>
      <c r="L6" s="6" t="n"/>
      <c r="M6" s="6" t="n"/>
      <c r="N6" s="6" t="n"/>
      <c r="O6" s="6" t="n"/>
      <c r="P6" s="7">
        <f>P2+P4</f>
        <v/>
      </c>
      <c r="Q6" s="7">
        <f>Q2+Q4</f>
        <v/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inlineStr">
        <is>
          <t>SUBTOTAL (DETAILS)</t>
        </is>
      </c>
      <c r="K7" s="6" t="n"/>
      <c r="L7" s="6" t="n"/>
      <c r="M7" s="6" t="n"/>
      <c r="N7" s="6" t="n"/>
      <c r="O7" s="6" t="n"/>
      <c r="P7" s="7">
        <f>SUM(P2:P5)-P6</f>
        <v/>
      </c>
      <c r="Q7" s="7">
        <f>SUM(Q2:Q5)-Q6</f>
        <v/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inlineStr">
        <is>
          <t>GROUP VERIFICATION</t>
        </is>
      </c>
      <c r="K8" s="8" t="n"/>
      <c r="L8" s="8" t="n"/>
      <c r="M8" s="8" t="n"/>
      <c r="N8" s="8" t="n"/>
      <c r="O8" s="8" t="n"/>
      <c r="P8" s="9">
        <f>P6-P7</f>
        <v/>
      </c>
      <c r="Q8" s="9">
        <f>Q6-Q7</f>
        <v/>
      </c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/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TOTAL INTERNAL FREIGHT</t>
        </is>
      </c>
      <c r="K10" s="6" t="n"/>
      <c r="L10" s="6" t="n"/>
      <c r="M10" s="6" t="n"/>
      <c r="N10" s="6" t="n"/>
      <c r="O10" s="6" t="n"/>
      <c r="P10" s="7" t="n">
        <v>3</v>
      </c>
      <c r="Q10" s="7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INSURANCE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OTHER COST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DEDUCTION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ADJUSTMENTS</t>
        </is>
      </c>
      <c r="K14" s="6" t="n"/>
      <c r="L14" s="6" t="n"/>
      <c r="M14" s="6" t="n"/>
      <c r="N14" s="6" t="n"/>
      <c r="O14" s="6" t="n"/>
      <c r="P14" s="7">
        <f>(T2+U2+V2-W2)</f>
        <v/>
      </c>
      <c r="Q14" s="7">
        <f>(T2+U2+V2-W2)</f>
        <v/>
      </c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/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NET TOTAL</t>
        </is>
      </c>
      <c r="K16" s="6" t="n"/>
      <c r="L16" s="6" t="n"/>
      <c r="M16" s="6" t="n"/>
      <c r="N16" s="6" t="n"/>
      <c r="O16" s="6" t="n"/>
      <c r="P16" s="7">
        <f>P6+P14</f>
        <v/>
      </c>
      <c r="Q16" s="7">
        <f>Q6+Q14</f>
        <v/>
      </c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INVOICE TOTAL</t>
        </is>
      </c>
      <c r="K17" s="6" t="n"/>
      <c r="L17" s="6" t="n"/>
      <c r="M17" s="6" t="n"/>
      <c r="N17" s="6" t="n"/>
      <c r="O17" s="6" t="n"/>
      <c r="P17" s="7">
        <f>S2</f>
        <v/>
      </c>
      <c r="Q17" s="7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/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inlineStr">
        <is>
          <t>VARIANCE CHECK</t>
        </is>
      </c>
      <c r="K19" s="10" t="n"/>
      <c r="L19" s="10" t="n"/>
      <c r="M19" s="10" t="n"/>
      <c r="N19" s="10" t="n"/>
      <c r="O19" s="10" t="n"/>
      <c r="P19" s="11">
        <f>S2-P16</f>
        <v/>
      </c>
      <c r="Q19" s="11">
        <f>S2-Q16</f>
        <v/>
      </c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</row>
    <row r="20"/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inlineStr">
        <is>
          <t>DUTY ESTIMATION (Classification Cross-Check)</t>
        </is>
      </c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4" t="inlineStr">
        <is>
          <t>CIF (USD) = InvTotal + Freight + Insurance</t>
        </is>
      </c>
      <c r="K22" s="13" t="n"/>
      <c r="L22" s="13" t="n"/>
      <c r="M22" s="13" t="n"/>
      <c r="N22" s="13" t="n"/>
      <c r="O22" s="13" t="n"/>
      <c r="P22" s="15" t="n">
        <v>42.59</v>
      </c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inlineStr">
        <is>
          <t>CIF (XCD) = CIF × 2.7169</t>
        </is>
      </c>
      <c r="K23" s="13" t="n"/>
      <c r="L23" s="13" t="n"/>
      <c r="M23" s="13" t="n"/>
      <c r="N23" s="13" t="n"/>
      <c r="O23" s="13" t="n"/>
      <c r="P23" s="15" t="n">
        <v>115.71</v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inlineStr">
        <is>
          <t>CET (weighted avg 9.2%)</t>
        </is>
      </c>
      <c r="K24" s="13" t="n"/>
      <c r="L24" s="13" t="n"/>
      <c r="M24" s="13" t="n"/>
      <c r="N24" s="13" t="n"/>
      <c r="O24" s="13" t="n"/>
      <c r="P24" s="15" t="n">
        <v>10.69</v>
      </c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inlineStr">
        <is>
          <t xml:space="preserve">  └ 64031900: 10% CET (85% of value)</t>
        </is>
      </c>
      <c r="K25" s="13" t="n"/>
      <c r="L25" s="13" t="n"/>
      <c r="M25" s="13" t="n"/>
      <c r="N25" s="13" t="n"/>
      <c r="O25" s="13" t="n"/>
      <c r="P25" s="15" t="n">
        <v>9.800000000000001</v>
      </c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 xml:space="preserve">  └ 76169990: 5% CET (15% of value)</t>
        </is>
      </c>
      <c r="K26" s="13" t="n"/>
      <c r="L26" s="13" t="n"/>
      <c r="M26" s="13" t="n"/>
      <c r="N26" s="13" t="n"/>
      <c r="O26" s="13" t="n"/>
      <c r="P26" s="15" t="n">
        <v>0.88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>CSC (6%)</t>
        </is>
      </c>
      <c r="K27" s="13" t="n"/>
      <c r="L27" s="13" t="n"/>
      <c r="M27" s="13" t="n"/>
      <c r="N27" s="13" t="n"/>
      <c r="O27" s="13" t="n"/>
      <c r="P27" s="15" t="n">
        <v>6.94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4" t="inlineStr">
        <is>
          <t>VAT (15%) on CIF+CET+CSC</t>
        </is>
      </c>
      <c r="K28" s="13" t="n"/>
      <c r="L28" s="13" t="n"/>
      <c r="M28" s="13" t="n"/>
      <c r="N28" s="13" t="n"/>
      <c r="O28" s="13" t="n"/>
      <c r="P28" s="15" t="n">
        <v>20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2" t="inlineStr">
        <is>
          <t>ESTIMATED TOTAL DUTIES</t>
        </is>
      </c>
      <c r="K29" s="16" t="n"/>
      <c r="L29" s="16" t="n"/>
      <c r="M29" s="16" t="n"/>
      <c r="N29" s="16" t="n"/>
      <c r="O29" s="16" t="n"/>
      <c r="P29" s="17" t="n">
        <v>37.63</v>
      </c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4" t="inlineStr">
        <is>
          <t>Effective Duty Rate</t>
        </is>
      </c>
      <c r="K30" s="13" t="n"/>
      <c r="L30" s="13" t="n"/>
      <c r="M30" s="13" t="n"/>
      <c r="N30" s="13" t="n"/>
      <c r="O30" s="13" t="n"/>
      <c r="P30" s="18" t="n">
        <v>0.3252095756632962</v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</row>
    <row r="31"/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inlineStr">
        <is>
          <t>Items on other declaration(s) (1 items)</t>
        </is>
      </c>
      <c r="K32" s="19" t="n"/>
      <c r="L32" s="19" t="n"/>
      <c r="M32" s="19" t="n"/>
      <c r="N32" s="19" t="n"/>
      <c r="O32" s="19" t="n"/>
      <c r="P32" s="20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</row>
    <row r="33">
      <c r="A33" s="19" t="n"/>
      <c r="B33" s="19" t="n"/>
      <c r="C33" s="19" t="n"/>
      <c r="D33" s="19" t="n"/>
      <c r="E33" s="19" t="inlineStr">
        <is>
          <t>Fans</t>
        </is>
      </c>
      <c r="F33" s="19" t="inlineStr">
        <is>
          <t>84145900</t>
        </is>
      </c>
      <c r="G33" s="19" t="n"/>
      <c r="H33" s="19" t="n"/>
      <c r="I33" s="19" t="n"/>
      <c r="J33" s="19" t="inlineStr">
        <is>
          <t>QUETTERLEE Replacement Internal Cooling Fan for Sony PS4 Fan ps4 CUH-1000 CUH... (1 items)</t>
        </is>
      </c>
      <c r="K33" s="19" t="n">
        <v>1</v>
      </c>
      <c r="L33" s="19" t="n"/>
      <c r="M33" s="19" t="n"/>
      <c r="N33" s="19" t="inlineStr">
        <is>
          <t>USD</t>
        </is>
      </c>
      <c r="O33" s="20" t="n">
        <v>14.99</v>
      </c>
      <c r="P33" s="20" t="n">
        <v>14.99</v>
      </c>
      <c r="Q33" s="20" t="n"/>
      <c r="R33" s="20" t="n"/>
      <c r="S33" s="20" t="n"/>
      <c r="T33" s="20" t="n"/>
      <c r="U33" s="20" t="n"/>
      <c r="V33" s="20" t="n"/>
      <c r="W33" s="20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inlineStr">
        <is>
          <t>AMZ-2</t>
        </is>
      </c>
      <c r="J34" s="21" t="inlineStr">
        <is>
          <t>QUETTERLEE Replacement Internal Cooling Fan for Sony PS4 Fan ps4 CUH-1000 CUH...</t>
        </is>
      </c>
      <c r="K34" s="21" t="n">
        <v>1</v>
      </c>
      <c r="L34" s="21" t="n"/>
      <c r="M34" s="21" t="n"/>
      <c r="N34" s="21" t="inlineStr">
        <is>
          <t>USD</t>
        </is>
      </c>
      <c r="O34" s="22" t="n">
        <v>14.99</v>
      </c>
      <c r="P34" s="22" t="n">
        <v>14.99</v>
      </c>
      <c r="Q34" s="22" t="n"/>
      <c r="R34" s="22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inlineStr">
        <is>
          <t>REFERENCE SUBTOTAL</t>
        </is>
      </c>
      <c r="K35" s="23" t="n"/>
      <c r="L35" s="23" t="n"/>
      <c r="M35" s="23" t="n"/>
      <c r="N35" s="23" t="n"/>
      <c r="O35" s="23" t="n"/>
      <c r="P35" s="24" t="n">
        <v>14.99</v>
      </c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inlineStr">
        <is>
          <t>REFERENCE FREIGHT</t>
        </is>
      </c>
      <c r="K36" s="23" t="n"/>
      <c r="L36" s="23" t="n"/>
      <c r="M36" s="23" t="n"/>
      <c r="N36" s="23" t="n"/>
      <c r="O36" s="23" t="n"/>
      <c r="P36" s="24" t="n">
        <v>7</v>
      </c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inlineStr">
        <is>
          <t>REFERENCE INSURANCE</t>
        </is>
      </c>
      <c r="K37" s="23" t="n"/>
      <c r="L37" s="23" t="n"/>
      <c r="M37" s="23" t="n"/>
      <c r="N37" s="23" t="n"/>
      <c r="O37" s="23" t="n"/>
      <c r="P37" s="24" t="n">
        <v>0</v>
      </c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inlineStr">
        <is>
          <t>REFERENCE OTHER COST</t>
        </is>
      </c>
      <c r="K38" s="23" t="n"/>
      <c r="L38" s="23" t="n"/>
      <c r="M38" s="23" t="n"/>
      <c r="N38" s="23" t="n"/>
      <c r="O38" s="23" t="n"/>
      <c r="P38" s="24" t="n">
        <v>0</v>
      </c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inlineStr">
        <is>
          <t>REFERENCE DEDUCTION</t>
        </is>
      </c>
      <c r="K39" s="23" t="n"/>
      <c r="L39" s="23" t="n"/>
      <c r="M39" s="23" t="n"/>
      <c r="N39" s="23" t="n"/>
      <c r="O39" s="23" t="n"/>
      <c r="P39" s="24" t="n">
        <v>0</v>
      </c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inlineStr">
        <is>
          <t>REFERENCE ADJUSTMENTS</t>
        </is>
      </c>
      <c r="K40" s="23" t="n"/>
      <c r="L40" s="23" t="n"/>
      <c r="M40" s="23" t="n"/>
      <c r="N40" s="23" t="n"/>
      <c r="O40" s="23" t="n"/>
      <c r="P40" s="24">
        <f>P36+P37+P38-P39</f>
        <v/>
      </c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inlineStr">
        <is>
          <t>REFERENCE NET TOTAL</t>
        </is>
      </c>
      <c r="K41" s="23" t="n"/>
      <c r="L41" s="23" t="n"/>
      <c r="M41" s="23" t="n"/>
      <c r="N41" s="23" t="n"/>
      <c r="O41" s="23" t="n"/>
      <c r="P41" s="24">
        <f>P35+P40</f>
        <v/>
      </c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  <c r="AG41" s="23" t="n"/>
      <c r="AH41" s="23" t="n"/>
      <c r="AI41" s="23" t="n"/>
      <c r="AJ41" s="23" t="n"/>
      <c r="AK41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inlineStr">
        <is>
          <t>COMBINED ITEMS TOTAL</t>
        </is>
      </c>
      <c r="K43" s="23" t="n"/>
      <c r="L43" s="23" t="n"/>
      <c r="M43" s="23" t="n"/>
      <c r="N43" s="23" t="n"/>
      <c r="O43" s="23" t="n"/>
      <c r="P43" s="24">
        <f>P6+P35</f>
        <v/>
      </c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3" t="n"/>
      <c r="AF43" s="23" t="n"/>
      <c r="AG43" s="23" t="n"/>
      <c r="AH43" s="23" t="n"/>
      <c r="AI43" s="23" t="n"/>
      <c r="AJ43" s="23" t="n"/>
      <c r="AK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inlineStr">
        <is>
          <t>FULL INVOICE FREIGHT</t>
        </is>
      </c>
      <c r="K44" s="23" t="n"/>
      <c r="L44" s="23" t="n"/>
      <c r="M44" s="23" t="n"/>
      <c r="N44" s="23" t="n"/>
      <c r="O44" s="23" t="n"/>
      <c r="P44" s="24">
        <f>P10+P36</f>
        <v/>
      </c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3" t="n"/>
      <c r="AF44" s="23" t="n"/>
      <c r="AG44" s="23" t="n"/>
      <c r="AH44" s="23" t="n"/>
      <c r="AI44" s="23" t="n"/>
      <c r="AJ44" s="23" t="n"/>
      <c r="AK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inlineStr">
        <is>
          <t>FULL INVOICE INSURANCE</t>
        </is>
      </c>
      <c r="K45" s="23" t="n"/>
      <c r="L45" s="23" t="n"/>
      <c r="M45" s="23" t="n"/>
      <c r="N45" s="23" t="n"/>
      <c r="O45" s="23" t="n"/>
      <c r="P45" s="24">
        <f>P11+P37</f>
        <v/>
      </c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3" t="n"/>
      <c r="AF45" s="23" t="n"/>
      <c r="AG45" s="23" t="n"/>
      <c r="AH45" s="23" t="n"/>
      <c r="AI45" s="23" t="n"/>
      <c r="AJ45" s="23" t="n"/>
      <c r="AK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inlineStr">
        <is>
          <t>FULL INVOICE OTHER COST</t>
        </is>
      </c>
      <c r="K46" s="23" t="n"/>
      <c r="L46" s="23" t="n"/>
      <c r="M46" s="23" t="n"/>
      <c r="N46" s="23" t="n"/>
      <c r="O46" s="23" t="n"/>
      <c r="P46" s="24">
        <f>P12+P38</f>
        <v/>
      </c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inlineStr">
        <is>
          <t>FULL INVOICE DEDUCTION</t>
        </is>
      </c>
      <c r="K47" s="23" t="n"/>
      <c r="L47" s="23" t="n"/>
      <c r="M47" s="23" t="n"/>
      <c r="N47" s="23" t="n"/>
      <c r="O47" s="23" t="n"/>
      <c r="P47" s="24">
        <f>P13+P39</f>
        <v/>
      </c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  <c r="AE47" s="23" t="n"/>
      <c r="AF47" s="23" t="n"/>
      <c r="AG47" s="23" t="n"/>
      <c r="AH47" s="23" t="n"/>
      <c r="AI47" s="23" t="n"/>
      <c r="AJ47" s="23" t="n"/>
      <c r="AK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inlineStr">
        <is>
          <t>FULL ADJUSTMENTS</t>
        </is>
      </c>
      <c r="K48" s="23" t="n"/>
      <c r="L48" s="23" t="n"/>
      <c r="M48" s="23" t="n"/>
      <c r="N48" s="23" t="n"/>
      <c r="O48" s="23" t="n"/>
      <c r="P48" s="24">
        <f>P44+P45+P46-P47</f>
        <v/>
      </c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  <c r="AE48" s="23" t="n"/>
      <c r="AF48" s="23" t="n"/>
      <c r="AG48" s="23" t="n"/>
      <c r="AH48" s="23" t="n"/>
      <c r="AI48" s="23" t="n"/>
      <c r="AJ48" s="23" t="n"/>
      <c r="AK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inlineStr">
        <is>
          <t>COMBINED NET TOTAL</t>
        </is>
      </c>
      <c r="K49" s="23" t="n"/>
      <c r="L49" s="23" t="n"/>
      <c r="M49" s="23" t="n"/>
      <c r="N49" s="23" t="n"/>
      <c r="O49" s="23" t="n"/>
      <c r="P49" s="24">
        <f>P43+P48</f>
        <v/>
      </c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  <c r="AE49" s="23" t="n"/>
      <c r="AF49" s="23" t="n"/>
      <c r="AG49" s="23" t="n"/>
      <c r="AH49" s="23" t="n"/>
      <c r="AI49" s="23" t="n"/>
      <c r="AJ49" s="23" t="n"/>
      <c r="AK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inlineStr">
        <is>
          <t>FULL INVOICE TOTAL</t>
        </is>
      </c>
      <c r="K50" s="23" t="n"/>
      <c r="L50" s="23" t="n"/>
      <c r="M50" s="23" t="n"/>
      <c r="N50" s="23" t="n"/>
      <c r="O50" s="23" t="n"/>
      <c r="P50" s="24" t="n">
        <v>61.58</v>
      </c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inlineStr">
        <is>
          <t>COMBINED VARIANCE CHECK</t>
        </is>
      </c>
      <c r="K51" s="23" t="n"/>
      <c r="L51" s="23" t="n"/>
      <c r="M51" s="23" t="n"/>
      <c r="N51" s="23" t="n"/>
      <c r="O51" s="23" t="n"/>
      <c r="P51" s="24">
        <f>P50-P49</f>
        <v/>
      </c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2026-04-26T18:12:48Z</dcterms:created>
  <dcterms:modified xmlns:dcterms="http://purl.org/dc/terms/" xmlns:xsi="http://www.w3.org/2001/XMLSchema-instance" xsi:type="dcterms:W3CDTF">2026-04-26T18:12:48Z</dcterms:modified>
</cp:coreProperties>
</file>