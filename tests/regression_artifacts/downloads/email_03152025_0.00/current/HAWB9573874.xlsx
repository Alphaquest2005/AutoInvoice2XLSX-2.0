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114-5494833-4517814</t>
        </is>
      </c>
      <c r="D2" s="2" t="inlineStr"/>
      <c r="E2" s="2" t="inlineStr">
        <is>
          <t>Unclassifiable / Non-physical goods</t>
        </is>
      </c>
      <c r="F2" s="2" t="inlineStr">
        <is>
          <t>99999999</t>
        </is>
      </c>
      <c r="G2" s="2" t="inlineStr"/>
      <c r="H2" s="2" t="inlineStr"/>
      <c r="I2" s="2" t="inlineStr">
        <is>
          <t>99999999</t>
        </is>
      </c>
      <c r="J2" s="2" t="inlineStr">
        <is>
          <t>Aug 24, 9:34 AM ~ Morne Fendue St. Patrick, St. Patrick Grenada Amazon.com - Order 114-5494833-4517814 Estimated tax to be collected: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</v>
      </c>
      <c r="P2" s="3" t="n">
        <v>0</v>
      </c>
      <c r="Q2" s="3">
        <f>O2*K2</f>
        <v/>
      </c>
      <c r="R2" s="3">
        <f>P2-Q2</f>
        <v/>
      </c>
      <c r="S2" s="3" t="n">
        <v>3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99999999</t>
        </is>
      </c>
    </row>
    <row r="3">
      <c r="A3" s="4" t="n"/>
      <c r="B3" s="4" t="n"/>
      <c r="C3" s="4" t="n"/>
      <c r="D3" s="4" t="n"/>
      <c r="E3" s="4" t="n"/>
      <c r="F3" s="4" t="inlineStr">
        <is>
          <t>99999999</t>
        </is>
      </c>
      <c r="G3" s="4" t="n"/>
      <c r="H3" s="4" t="n"/>
      <c r="I3" s="4" t="inlineStr">
        <is>
          <t>TEMU-1</t>
        </is>
      </c>
      <c r="J3" s="4" t="inlineStr">
        <is>
          <t>Aug 24, 9:34 AM ~ Morne Fendue St. Patrick, St. Patrick Grenada Amazon.com - Order 114-5494833-4517814 Estimated tax to be collected: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0</v>
      </c>
      <c r="P3" s="5" t="n">
        <v>0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114-5494833-4517814</t>
        </is>
      </c>
      <c r="D4" s="2" t="inlineStr"/>
      <c r="E4" s="2" t="inlineStr">
        <is>
          <t>Unclassifiable / Non-physical goods</t>
        </is>
      </c>
      <c r="F4" s="2" t="inlineStr">
        <is>
          <t>00000000</t>
        </is>
      </c>
      <c r="G4" s="2" t="inlineStr"/>
      <c r="H4" s="2" t="inlineStr"/>
      <c r="I4" s="2" t="inlineStr">
        <is>
          <t>00000000</t>
        </is>
      </c>
      <c r="J4" s="2" t="inlineStr">
        <is>
          <t>Grand Total: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0</v>
      </c>
      <c r="P4" s="3" t="n">
        <v>0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TEMU-3</t>
        </is>
      </c>
      <c r="J5" s="4" t="inlineStr">
        <is>
          <t>Grand Total: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0</v>
      </c>
      <c r="P5" s="5" t="n">
        <v>0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inlineStr">
        <is>
          <t>INVOICE NOTES: Invoice total uncertain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/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inlineStr">
        <is>
          <t>DUTY ESTIMATION (Classification Cross-Check)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(USD) = InvTotal + Freight + Insurance</t>
        </is>
      </c>
      <c r="K24" s="15" t="n"/>
      <c r="L24" s="15" t="n"/>
      <c r="M24" s="15" t="n"/>
      <c r="N24" s="15" t="n"/>
      <c r="O24" s="15" t="n"/>
      <c r="P24" s="17" t="n">
        <v>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(XCD) = CIF × 2.7169</t>
        </is>
      </c>
      <c r="K25" s="15" t="n"/>
      <c r="L25" s="15" t="n"/>
      <c r="M25" s="15" t="n"/>
      <c r="N25" s="15" t="n"/>
      <c r="O25" s="15" t="n"/>
      <c r="P25" s="17" t="n">
        <v>16.3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CET (weighted avg 20.0%)</t>
        </is>
      </c>
      <c r="K26" s="15" t="n"/>
      <c r="L26" s="15" t="n"/>
      <c r="M26" s="15" t="n"/>
      <c r="N26" s="15" t="n"/>
      <c r="O26" s="15" t="n"/>
      <c r="P26" s="17" t="n">
        <v>3.26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 xml:space="preserve">  └ 00000000: 20% CET (0% of value)</t>
        </is>
      </c>
      <c r="K27" s="15" t="n"/>
      <c r="L27" s="15" t="n"/>
      <c r="M27" s="15" t="n"/>
      <c r="N27" s="15" t="n"/>
      <c r="O27" s="15" t="n"/>
      <c r="P27" s="17" t="n">
        <v>0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 xml:space="preserve">  └ 99999999: 20% CET (0% of value)</t>
        </is>
      </c>
      <c r="K28" s="15" t="n"/>
      <c r="L28" s="15" t="n"/>
      <c r="M28" s="15" t="n"/>
      <c r="N28" s="15" t="n"/>
      <c r="O28" s="15" t="n"/>
      <c r="P28" s="17" t="n">
        <v>0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CSC (6%)</t>
        </is>
      </c>
      <c r="K29" s="15" t="n"/>
      <c r="L29" s="15" t="n"/>
      <c r="M29" s="15" t="n"/>
      <c r="N29" s="15" t="n"/>
      <c r="O29" s="15" t="n"/>
      <c r="P29" s="17" t="n">
        <v>0.98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VAT (15%) on CIF+CET+CSC</t>
        </is>
      </c>
      <c r="K30" s="15" t="n"/>
      <c r="L30" s="15" t="n"/>
      <c r="M30" s="15" t="n"/>
      <c r="N30" s="15" t="n"/>
      <c r="O30" s="15" t="n"/>
      <c r="P30" s="17" t="n">
        <v>3.08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4" t="inlineStr">
        <is>
          <t>ESTIMATED TOTAL DUTIES</t>
        </is>
      </c>
      <c r="K31" s="18" t="n"/>
      <c r="L31" s="18" t="n"/>
      <c r="M31" s="18" t="n"/>
      <c r="N31" s="18" t="n"/>
      <c r="O31" s="18" t="n"/>
      <c r="P31" s="19" t="n">
        <v>7.32</v>
      </c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Effective Duty Rate</t>
        </is>
      </c>
      <c r="K32" s="15" t="n"/>
      <c r="L32" s="15" t="n"/>
      <c r="M32" s="15" t="n"/>
      <c r="N32" s="15" t="n"/>
      <c r="O32" s="15" t="n"/>
      <c r="P32" s="20" t="n">
        <v>0.449079754601227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/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inlineStr">
        <is>
          <t>Items on other declaration(s) (1 items)</t>
        </is>
      </c>
      <c r="K34" s="21" t="n"/>
      <c r="L34" s="21" t="n"/>
      <c r="M34" s="21" t="n"/>
      <c r="N34" s="21" t="n"/>
      <c r="O34" s="21" t="n"/>
      <c r="P34" s="22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1" t="n"/>
      <c r="B35" s="21" t="n"/>
      <c r="C35" s="21" t="n"/>
      <c r="D35" s="21" t="n"/>
      <c r="E35" s="21" t="inlineStr">
        <is>
          <t>Unclassifiable / Non-physical goods</t>
        </is>
      </c>
      <c r="F35" s="21" t="inlineStr">
        <is>
          <t>49090090</t>
        </is>
      </c>
      <c r="G35" s="21" t="n"/>
      <c r="H35" s="21" t="n"/>
      <c r="I35" s="21" t="n"/>
      <c r="J35" s="21" t="inlineStr">
        <is>
          <t>Gift Card Amount: - (1 items)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51.58</v>
      </c>
      <c r="P35" s="22" t="n">
        <v>51.58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TEMU-2</t>
        </is>
      </c>
      <c r="J36" s="23" t="inlineStr">
        <is>
          <t>Gift Card Amount: -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51.58</v>
      </c>
      <c r="P36" s="24" t="n">
        <v>51.58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SUBTOTAL</t>
        </is>
      </c>
      <c r="K37" s="25" t="n"/>
      <c r="L37" s="25" t="n"/>
      <c r="M37" s="25" t="n"/>
      <c r="N37" s="25" t="n"/>
      <c r="O37" s="25" t="n"/>
      <c r="P37" s="26" t="n">
        <v>51.58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FREIGHT</t>
        </is>
      </c>
      <c r="K38" s="25" t="n"/>
      <c r="L38" s="25" t="n"/>
      <c r="M38" s="25" t="n"/>
      <c r="N38" s="25" t="n"/>
      <c r="O38" s="25" t="n"/>
      <c r="P38" s="26" t="n">
        <v>7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INSURANCE</t>
        </is>
      </c>
      <c r="K39" s="25" t="n"/>
      <c r="L39" s="25" t="n"/>
      <c r="M39" s="25" t="n"/>
      <c r="N39" s="25" t="n"/>
      <c r="O39" s="25" t="n"/>
      <c r="P39" s="26" t="n">
        <v>0</v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OTHER COST</t>
        </is>
      </c>
      <c r="K40" s="25" t="n"/>
      <c r="L40" s="25" t="n"/>
      <c r="M40" s="25" t="n"/>
      <c r="N40" s="25" t="n"/>
      <c r="O40" s="25" t="n"/>
      <c r="P40" s="26" t="n">
        <v>0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DEDUCTION</t>
        </is>
      </c>
      <c r="K41" s="25" t="n"/>
      <c r="L41" s="25" t="n"/>
      <c r="M41" s="25" t="n"/>
      <c r="N41" s="25" t="n"/>
      <c r="O41" s="25" t="n"/>
      <c r="P41" s="26" t="n">
        <v>0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ADJUSTMENTS</t>
        </is>
      </c>
      <c r="K42" s="25" t="n"/>
      <c r="L42" s="25" t="n"/>
      <c r="M42" s="25" t="n"/>
      <c r="N42" s="25" t="n"/>
      <c r="O42" s="25" t="n"/>
      <c r="P42" s="26">
        <f>P38+P39+P40-P41</f>
        <v/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NET TOTAL</t>
        </is>
      </c>
      <c r="K43" s="25" t="n"/>
      <c r="L43" s="25" t="n"/>
      <c r="M43" s="25" t="n"/>
      <c r="N43" s="25" t="n"/>
      <c r="O43" s="25" t="n"/>
      <c r="P43" s="26">
        <f>P37+P42</f>
        <v/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COMBINED ITEMS TOTAL</t>
        </is>
      </c>
      <c r="K45" s="25" t="n"/>
      <c r="L45" s="25" t="n"/>
      <c r="M45" s="25" t="n"/>
      <c r="N45" s="25" t="n"/>
      <c r="O45" s="25" t="n"/>
      <c r="P45" s="26">
        <f>P6+P37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FREIGHT</t>
        </is>
      </c>
      <c r="K46" s="25" t="n"/>
      <c r="L46" s="25" t="n"/>
      <c r="M46" s="25" t="n"/>
      <c r="N46" s="25" t="n"/>
      <c r="O46" s="25" t="n"/>
      <c r="P46" s="26">
        <f>P10+P38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INVOICE INSURANCE</t>
        </is>
      </c>
      <c r="K47" s="25" t="n"/>
      <c r="L47" s="25" t="n"/>
      <c r="M47" s="25" t="n"/>
      <c r="N47" s="25" t="n"/>
      <c r="O47" s="25" t="n"/>
      <c r="P47" s="26">
        <f>P11+P39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INVOICE OTHER COST</t>
        </is>
      </c>
      <c r="K48" s="25" t="n"/>
      <c r="L48" s="25" t="n"/>
      <c r="M48" s="25" t="n"/>
      <c r="N48" s="25" t="n"/>
      <c r="O48" s="25" t="n"/>
      <c r="P48" s="26">
        <f>P12+P40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DEDUCTION</t>
        </is>
      </c>
      <c r="K49" s="25" t="n"/>
      <c r="L49" s="25" t="n"/>
      <c r="M49" s="25" t="n"/>
      <c r="N49" s="25" t="n"/>
      <c r="O49" s="25" t="n"/>
      <c r="P49" s="26">
        <f>P13+P41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ADJUSTMENTS</t>
        </is>
      </c>
      <c r="K50" s="25" t="n"/>
      <c r="L50" s="25" t="n"/>
      <c r="M50" s="25" t="n"/>
      <c r="N50" s="25" t="n"/>
      <c r="O50" s="25" t="n"/>
      <c r="P50" s="26">
        <f>P46+P47+P48-P49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COMBINED NET TOTAL</t>
        </is>
      </c>
      <c r="K51" s="25" t="n"/>
      <c r="L51" s="25" t="n"/>
      <c r="M51" s="25" t="n"/>
      <c r="N51" s="25" t="n"/>
      <c r="O51" s="25" t="n"/>
      <c r="P51" s="26">
        <f>P45+P50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TOTAL</t>
        </is>
      </c>
      <c r="K52" s="25" t="n"/>
      <c r="L52" s="25" t="n"/>
      <c r="M52" s="25" t="n"/>
      <c r="N52" s="25" t="n"/>
      <c r="O52" s="25" t="n"/>
      <c r="P52" s="26" t="n">
        <v>61.58</v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COMBINED VARIANCE CHECK</t>
        </is>
      </c>
      <c r="K53" s="25" t="n"/>
      <c r="L53" s="25" t="n"/>
      <c r="M53" s="25" t="n"/>
      <c r="N53" s="25" t="n"/>
      <c r="O53" s="25" t="n"/>
      <c r="P53" s="26">
        <f>P52-P51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2026-04-24T05:47:29Z</dcterms:created>
  <dcterms:modified xsi:type="dcterms:W3CDTF">2026-04-24T05:47:29Z</dcterms:modified>
</cp:coreProperties>
</file>