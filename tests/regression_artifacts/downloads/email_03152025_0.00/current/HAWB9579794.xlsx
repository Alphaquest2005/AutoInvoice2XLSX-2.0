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  <xf numFmtId="0" fontId="6" fillId="4" borderId="1" pivotButton="0" quotePrefix="0" xfId="0"/>
    <xf numFmtId="4" fontId="6" fillId="4" borderId="1" pivotButton="0" quotePrefix="0" xfId="0"/>
    <xf numFmtId="0" fontId="7" fillId="0" borderId="1" pivotButton="0" quotePrefix="0" xfId="0"/>
    <xf numFmtId="4" fontId="7" fillId="0" borderId="1" pivotButton="0" quotePrefix="0" xfId="0"/>
    <xf numFmtId="0" fontId="6" fillId="0" borderId="1" pivotButton="0" quotePrefix="0" xfId="0"/>
    <xf numFmtId="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114-5494833-4517814</t>
        </is>
      </c>
      <c r="D2" s="2" t="inlineStr">
        <is>
          <t>2024-07-15</t>
        </is>
      </c>
      <c r="E2" s="2" t="inlineStr">
        <is>
          <t>Fans</t>
        </is>
      </c>
      <c r="F2" s="2" t="inlineStr">
        <is>
          <t>84145900</t>
        </is>
      </c>
      <c r="G2" s="2" t="inlineStr"/>
      <c r="H2" s="2" t="inlineStr"/>
      <c r="I2" s="2" t="inlineStr">
        <is>
          <t>AMZ-2</t>
        </is>
      </c>
      <c r="J2" s="2" t="inlineStr">
        <is>
          <t>QUETTERLEE Replacement Internal Cooling Fan for Sony PS4 Fan ps4 CUH-1000 CUH...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14.99</v>
      </c>
      <c r="P2" s="3" t="n">
        <v>14.99</v>
      </c>
      <c r="Q2" s="3">
        <f>O2*K2</f>
        <v/>
      </c>
      <c r="R2" s="3">
        <f>P2-Q2</f>
        <v/>
      </c>
      <c r="S2" s="3" t="n">
        <v>21.99</v>
      </c>
      <c r="T2" s="3" t="n">
        <v>7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84145900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/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28.99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78.76000000000001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(5%) — Tariff 84145900</t>
        </is>
      </c>
      <c r="K11" s="7" t="n"/>
      <c r="L11" s="7" t="n"/>
      <c r="M11" s="7" t="n"/>
      <c r="N11" s="7" t="n"/>
      <c r="O11" s="7" t="n"/>
      <c r="P11" s="9" t="n">
        <v>3.94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4.73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13.11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21.78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0.276536312849162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/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inlineStr">
        <is>
          <t>Items on other declaration(s) (2 items)</t>
        </is>
      </c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</row>
    <row r="18">
      <c r="A18" s="13" t="n"/>
      <c r="B18" s="13" t="n"/>
      <c r="C18" s="13" t="n"/>
      <c r="D18" s="13" t="n"/>
      <c r="E18" s="13" t="inlineStr">
        <is>
          <t>ALUMINUM ARTICLES</t>
        </is>
      </c>
      <c r="F18" s="13" t="inlineStr">
        <is>
          <t>76169990</t>
        </is>
      </c>
      <c r="G18" s="13" t="n"/>
      <c r="H18" s="13" t="n"/>
      <c r="I18" s="13" t="n"/>
      <c r="J18" s="13" t="inlineStr">
        <is>
          <t>Thinp 8 Pcs Mic Stand Adapter,Aluminum Alloy Microphone Stand Screw Stand Ada... (1 items)</t>
        </is>
      </c>
      <c r="K18" s="13" t="n">
        <v>1</v>
      </c>
      <c r="L18" s="13" t="n"/>
      <c r="M18" s="13" t="n"/>
      <c r="N18" s="13" t="inlineStr">
        <is>
          <t>USD</t>
        </is>
      </c>
      <c r="O18" s="14" t="n">
        <v>5.59</v>
      </c>
      <c r="P18" s="14" t="n">
        <v>5.59</v>
      </c>
      <c r="Q18" s="14" t="n"/>
      <c r="R18" s="14" t="n"/>
      <c r="S18" s="14" t="n"/>
      <c r="T18" s="14" t="n"/>
      <c r="U18" s="14" t="n"/>
      <c r="V18" s="14" t="n"/>
      <c r="W18" s="14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inlineStr">
        <is>
          <t>AMZ-1</t>
        </is>
      </c>
      <c r="J19" s="15" t="inlineStr">
        <is>
          <t>Thinp 8 Pcs Mic Stand Adapter,Aluminum Alloy Microphone Stand Screw Stand Ada...</t>
        </is>
      </c>
      <c r="K19" s="15" t="n">
        <v>1</v>
      </c>
      <c r="L19" s="15" t="n"/>
      <c r="M19" s="15" t="n"/>
      <c r="N19" s="15" t="inlineStr">
        <is>
          <t>USD</t>
        </is>
      </c>
      <c r="O19" s="16" t="n">
        <v>5.59</v>
      </c>
      <c r="P19" s="16" t="n">
        <v>5.59</v>
      </c>
      <c r="Q19" s="16" t="n"/>
      <c r="R19" s="16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</row>
    <row r="20">
      <c r="A20" s="13" t="n"/>
      <c r="B20" s="13" t="n"/>
      <c r="C20" s="13" t="n"/>
      <c r="D20" s="13" t="n"/>
      <c r="E20" s="13" t="inlineStr">
        <is>
          <t>Footwear</t>
        </is>
      </c>
      <c r="F20" s="13" t="inlineStr">
        <is>
          <t>64031900</t>
        </is>
      </c>
      <c r="G20" s="13" t="n"/>
      <c r="H20" s="13" t="n"/>
      <c r="I20" s="13" t="n"/>
      <c r="J20" s="13" t="inlineStr">
        <is>
          <t>Element Men's Topaz C3 Skate Shoe, Grey, 12 (1 items)</t>
        </is>
      </c>
      <c r="K20" s="13" t="n">
        <v>1</v>
      </c>
      <c r="L20" s="13" t="n"/>
      <c r="M20" s="13" t="n"/>
      <c r="N20" s="13" t="inlineStr">
        <is>
          <t>USD</t>
        </is>
      </c>
      <c r="O20" s="14" t="n">
        <v>31</v>
      </c>
      <c r="P20" s="14" t="n">
        <v>31</v>
      </c>
      <c r="Q20" s="14" t="n"/>
      <c r="R20" s="14" t="n"/>
      <c r="S20" s="14" t="n"/>
      <c r="T20" s="14" t="n"/>
      <c r="U20" s="14" t="n"/>
      <c r="V20" s="14" t="n"/>
      <c r="W20" s="14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inlineStr">
        <is>
          <t>AMZ-3</t>
        </is>
      </c>
      <c r="J21" s="15" t="inlineStr">
        <is>
          <t>Element Men's Topaz C3 Skate Shoe, Grey, 12</t>
        </is>
      </c>
      <c r="K21" s="15" t="n">
        <v>1</v>
      </c>
      <c r="L21" s="15" t="n"/>
      <c r="M21" s="15" t="n"/>
      <c r="N21" s="15" t="inlineStr">
        <is>
          <t>USD</t>
        </is>
      </c>
      <c r="O21" s="16" t="n">
        <v>31</v>
      </c>
      <c r="P21" s="16" t="n">
        <v>31</v>
      </c>
      <c r="Q21" s="16" t="n"/>
      <c r="R21" s="16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inlineStr">
        <is>
          <t>REFERENCE SUBTOTAL</t>
        </is>
      </c>
      <c r="K22" s="17" t="n"/>
      <c r="L22" s="17" t="n"/>
      <c r="M22" s="17" t="n"/>
      <c r="N22" s="17" t="n"/>
      <c r="O22" s="17" t="n"/>
      <c r="P22" s="18" t="n">
        <v>36.59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inlineStr">
        <is>
          <t>REFERENCE FREIGHT</t>
        </is>
      </c>
      <c r="K23" s="17" t="n"/>
      <c r="L23" s="17" t="n"/>
      <c r="M23" s="17" t="n"/>
      <c r="N23" s="17" t="n"/>
      <c r="O23" s="17" t="n"/>
      <c r="P23" s="18" t="n">
        <v>3</v>
      </c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inlineStr">
        <is>
          <t>REFERENCE INSURANCE</t>
        </is>
      </c>
      <c r="K24" s="17" t="n"/>
      <c r="L24" s="17" t="n"/>
      <c r="M24" s="17" t="n"/>
      <c r="N24" s="17" t="n"/>
      <c r="O24" s="17" t="n"/>
      <c r="P24" s="18" t="n">
        <v>0</v>
      </c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inlineStr">
        <is>
          <t>REFERENCE OTHER COST</t>
        </is>
      </c>
      <c r="K25" s="17" t="n"/>
      <c r="L25" s="17" t="n"/>
      <c r="M25" s="17" t="n"/>
      <c r="N25" s="17" t="n"/>
      <c r="O25" s="17" t="n"/>
      <c r="P25" s="18" t="n">
        <v>0</v>
      </c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inlineStr">
        <is>
          <t>REFERENCE DEDUCTION</t>
        </is>
      </c>
      <c r="K26" s="17" t="n"/>
      <c r="L26" s="17" t="n"/>
      <c r="M26" s="17" t="n"/>
      <c r="N26" s="17" t="n"/>
      <c r="O26" s="17" t="n"/>
      <c r="P26" s="18" t="n">
        <v>0</v>
      </c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inlineStr">
        <is>
          <t>REFERENCE ADJUSTMENTS</t>
        </is>
      </c>
      <c r="K27" s="17" t="n"/>
      <c r="L27" s="17" t="n"/>
      <c r="M27" s="17" t="n"/>
      <c r="N27" s="17" t="n"/>
      <c r="O27" s="17" t="n"/>
      <c r="P27" s="18">
        <f>P23+P24+P25-P26</f>
        <v/>
      </c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inlineStr">
        <is>
          <t>REFERENCE NET TOTAL</t>
        </is>
      </c>
      <c r="K28" s="17" t="n"/>
      <c r="L28" s="17" t="n"/>
      <c r="M28" s="17" t="n"/>
      <c r="N28" s="17" t="n"/>
      <c r="O28" s="17" t="n"/>
      <c r="P28" s="18">
        <f>P22+P27</f>
        <v/>
      </c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inlineStr">
        <is>
          <t>COMBINED ITEMS TOTAL</t>
        </is>
      </c>
      <c r="K30" s="17" t="n"/>
      <c r="L30" s="17" t="n"/>
      <c r="M30" s="17" t="n"/>
      <c r="N30" s="17" t="n"/>
      <c r="O30" s="17" t="n"/>
      <c r="P30" s="18">
        <f>P3+P22</f>
        <v/>
      </c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inlineStr">
        <is>
          <t>FULL INVOICE FREIGHT</t>
        </is>
      </c>
      <c r="K31" s="17" t="n"/>
      <c r="L31" s="17" t="n"/>
      <c r="M31" s="17" t="n"/>
      <c r="N31" s="17" t="n"/>
      <c r="O31" s="17" t="n"/>
      <c r="P31" s="18">
        <f>T2+P23</f>
        <v/>
      </c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inlineStr">
        <is>
          <t>FULL INVOICE INSURANCE</t>
        </is>
      </c>
      <c r="K32" s="17" t="n"/>
      <c r="L32" s="17" t="n"/>
      <c r="M32" s="17" t="n"/>
      <c r="N32" s="17" t="n"/>
      <c r="O32" s="17" t="n"/>
      <c r="P32" s="18">
        <f>U2+P24</f>
        <v/>
      </c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inlineStr">
        <is>
          <t>FULL INVOICE OTHER COST</t>
        </is>
      </c>
      <c r="K33" s="17" t="n"/>
      <c r="L33" s="17" t="n"/>
      <c r="M33" s="17" t="n"/>
      <c r="N33" s="17" t="n"/>
      <c r="O33" s="17" t="n"/>
      <c r="P33" s="18">
        <f>V2+P25</f>
        <v/>
      </c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inlineStr">
        <is>
          <t>FULL INVOICE DEDUCTION</t>
        </is>
      </c>
      <c r="K34" s="17" t="n"/>
      <c r="L34" s="17" t="n"/>
      <c r="M34" s="17" t="n"/>
      <c r="N34" s="17" t="n"/>
      <c r="O34" s="17" t="n"/>
      <c r="P34" s="18">
        <f>W2+P26</f>
        <v/>
      </c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inlineStr">
        <is>
          <t>FULL ADJUSTMENTS</t>
        </is>
      </c>
      <c r="K35" s="17" t="n"/>
      <c r="L35" s="17" t="n"/>
      <c r="M35" s="17" t="n"/>
      <c r="N35" s="17" t="n"/>
      <c r="O35" s="17" t="n"/>
      <c r="P35" s="18">
        <f>P31+P32+P33-P34</f>
        <v/>
      </c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inlineStr">
        <is>
          <t>COMBINED NET TOTAL</t>
        </is>
      </c>
      <c r="K36" s="17" t="n"/>
      <c r="L36" s="17" t="n"/>
      <c r="M36" s="17" t="n"/>
      <c r="N36" s="17" t="n"/>
      <c r="O36" s="17" t="n"/>
      <c r="P36" s="18">
        <f>P30+P35</f>
        <v/>
      </c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inlineStr">
        <is>
          <t>FULL INVOICE TOTAL</t>
        </is>
      </c>
      <c r="K37" s="17" t="n"/>
      <c r="L37" s="17" t="n"/>
      <c r="M37" s="17" t="n"/>
      <c r="N37" s="17" t="n"/>
      <c r="O37" s="17" t="n"/>
      <c r="P37" s="18" t="n">
        <v>61.58</v>
      </c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inlineStr">
        <is>
          <t>COMBINED VARIANCE CHECK</t>
        </is>
      </c>
      <c r="K38" s="17" t="n"/>
      <c r="L38" s="17" t="n"/>
      <c r="M38" s="17" t="n"/>
      <c r="N38" s="17" t="n"/>
      <c r="O38" s="17" t="n"/>
      <c r="P38" s="18">
        <f>P37-P36</f>
        <v/>
      </c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2026-04-26T18:12:48Z</dcterms:created>
  <dcterms:modified xmlns:dcterms="http://purl.org/dc/terms/" xmlns:xsi="http://www.w3.org/2001/XMLSchema-instance" xsi:type="dcterms:W3CDTF">2026-04-26T18:12:49Z</dcterms:modified>
</cp:coreProperties>
</file>