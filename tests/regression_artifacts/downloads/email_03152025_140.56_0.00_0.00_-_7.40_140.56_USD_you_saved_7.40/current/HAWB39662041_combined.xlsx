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Invoices" sheetId="1" state="visible" r:id="rId1"/>
    <sheet xmlns:r="http://schemas.openxmlformats.org/officeDocument/2006/relationships"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3">
    <font>
      <name val="Calibri"/>
      <family val="2"/>
      <color theme="1"/>
      <sz val="11"/>
      <scheme val="minor"/>
    </font>
    <font>
      <b val="1"/>
      <color rgb="00FFFFFF"/>
      <sz val="10"/>
    </font>
    <font>
      <b val="1"/>
      <sz val="11"/>
    </font>
    <font>
      <sz val="10"/>
    </font>
    <font>
      <b val="1"/>
      <color rgb="000000FF"/>
      <sz val="11"/>
    </font>
    <font>
      <b val="1"/>
      <color rgb="00FF0000"/>
      <sz val="11"/>
    </font>
    <font>
      <b val="1"/>
      <color rgb="001F4E79"/>
      <sz val="10"/>
    </font>
    <font>
      <color rgb="001F4E79"/>
      <sz val="10"/>
    </font>
    <font>
      <b val="1"/>
      <color rgb="00FFFFFF"/>
      <sz val="12"/>
    </font>
    <font>
      <b val="1"/>
    </font>
    <font>
      <b val="1"/>
      <color rgb="00FF0000"/>
    </font>
    <font>
      <i val="1"/>
      <color rgb="00666666"/>
    </font>
    <font>
      <b val="1"/>
      <color rgb="00FFFFFF"/>
      <sz val="11"/>
    </font>
  </fonts>
  <fills count="7">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D6E4F0"/>
        <bgColor rgb="00D6E4F0"/>
      </patternFill>
    </fill>
    <fill>
      <patternFill patternType="solid">
        <fgColor rgb="00E0E0E0"/>
        <bgColor rgb="00E0E0E0"/>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wrapText="1"/>
    </xf>
    <xf numFmtId="0" fontId="2" fillId="3" borderId="1" pivotButton="0" quotePrefix="0" xfId="0"/>
    <xf numFmtId="4" fontId="2" fillId="3" borderId="1" pivotButton="0" quotePrefix="0" xfId="0"/>
    <xf numFmtId="0" fontId="3" fillId="0" borderId="1" pivotButton="0" quotePrefix="0" xfId="0"/>
    <xf numFmtId="4" fontId="3" fillId="0" borderId="1" pivotButton="0" quotePrefix="0" xfId="0"/>
    <xf numFmtId="0" fontId="2" fillId="0" borderId="1" pivotButton="0" quotePrefix="0" xfId="0"/>
    <xf numFmtId="4" fontId="2" fillId="0" borderId="1" pivotButton="0" quotePrefix="0" xfId="0"/>
    <xf numFmtId="0" fontId="4" fillId="0" borderId="1" pivotButton="0" quotePrefix="0" xfId="0"/>
    <xf numFmtId="4" fontId="4" fillId="0" borderId="1" pivotButton="0" quotePrefix="0" xfId="0"/>
    <xf numFmtId="0" fontId="5" fillId="0" borderId="1" pivotButton="0" quotePrefix="0" xfId="0"/>
    <xf numFmtId="4" fontId="5" fillId="0" borderId="1" pivotButton="0" quotePrefix="0" xfId="0"/>
    <xf numFmtId="0" fontId="6" fillId="4" borderId="1" pivotButton="0" quotePrefix="0" xfId="0"/>
    <xf numFmtId="0" fontId="0" fillId="0" borderId="1" pivotButton="0" quotePrefix="0" xfId="0"/>
    <xf numFmtId="0" fontId="7" fillId="0" borderId="1" pivotButton="0" quotePrefix="0" xfId="0"/>
    <xf numFmtId="164" fontId="6" fillId="0" borderId="1" pivotButton="0" quotePrefix="0" xfId="0"/>
    <xf numFmtId="0" fontId="0" fillId="4" borderId="1" pivotButton="0" quotePrefix="0" xfId="0"/>
    <xf numFmtId="164" fontId="6" fillId="4" borderId="1" pivotButton="0" quotePrefix="0" xfId="0"/>
    <xf numFmtId="165" fontId="6" fillId="0" borderId="1" pivotButton="0" quotePrefix="0" xfId="0"/>
    <xf numFmtId="0" fontId="0" fillId="5" borderId="0" pivotButton="0" quotePrefix="0" xfId="0"/>
    <xf numFmtId="0" fontId="0" fillId="2" borderId="0" pivotButton="0" quotePrefix="0" xfId="0"/>
    <xf numFmtId="0" fontId="8" fillId="2" borderId="0" pivotButton="0" quotePrefix="0" xfId="0"/>
    <xf numFmtId="0" fontId="9" fillId="0" borderId="0" pivotButton="0" quotePrefix="0" xfId="0"/>
    <xf numFmtId="166" fontId="0" fillId="0" borderId="0" pivotButton="0" quotePrefix="0" xfId="0"/>
    <xf numFmtId="166" fontId="10" fillId="0" borderId="0" pivotButton="0" quotePrefix="0" xfId="0"/>
    <xf numFmtId="0" fontId="2" fillId="0" borderId="0" pivotButton="0" quotePrefix="0" xfId="0"/>
    <xf numFmtId="166" fontId="2" fillId="0" borderId="0" pivotButton="0" quotePrefix="0" xfId="0"/>
    <xf numFmtId="0" fontId="10" fillId="0" borderId="0" pivotButton="0" quotePrefix="0" xfId="0"/>
    <xf numFmtId="0" fontId="11" fillId="0" borderId="0" pivotButton="0" quotePrefix="0" xfId="0"/>
    <xf numFmtId="0" fontId="12" fillId="2" borderId="0" pivotButton="0" quotePrefix="0" xfId="0"/>
    <xf numFmtId="0" fontId="0" fillId="6" borderId="0" pivotButton="0" quotePrefix="0" xfId="0"/>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4"/>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AU236542</t>
        </is>
      </c>
      <c r="D2" s="2" t="inlineStr">
        <is>
          <t>2024-07-30</t>
        </is>
      </c>
      <c r="E2" s="2" t="inlineStr">
        <is>
          <t>Of synthetic fibres</t>
        </is>
      </c>
      <c r="F2" s="2" t="inlineStr">
        <is>
          <t>61046300</t>
        </is>
      </c>
      <c r="G2" s="2" t="n"/>
      <c r="H2" s="2" t="n"/>
      <c r="I2" s="2" t="inlineStr">
        <is>
          <t>61046300</t>
        </is>
      </c>
      <c r="J2" s="2" t="inlineStr">
        <is>
          <t>AUROLA Dream Leggings Naval Academy / XL (+1 more) (2 items)</t>
        </is>
      </c>
      <c r="K2" s="2" t="n">
        <v>2</v>
      </c>
      <c r="L2" s="2" t="n"/>
      <c r="M2" s="2" t="n"/>
      <c r="N2" s="2" t="inlineStr">
        <is>
          <t>USD</t>
        </is>
      </c>
      <c r="O2" s="3" t="n">
        <v>70.28</v>
      </c>
      <c r="P2" s="3" t="n">
        <v>140.56</v>
      </c>
      <c r="Q2" s="3">
        <f>O2*K2</f>
        <v/>
      </c>
      <c r="R2" s="3">
        <f>P2-Q2</f>
        <v/>
      </c>
      <c r="S2" s="3" t="n">
        <v>140.56</v>
      </c>
      <c r="T2" s="3" t="n">
        <v>0</v>
      </c>
      <c r="U2" s="3" t="n">
        <v>0</v>
      </c>
      <c r="V2" s="3" t="n">
        <v>0</v>
      </c>
      <c r="W2" s="3" t="n">
        <v>0</v>
      </c>
      <c r="X2" s="2" t="n">
        <v>1</v>
      </c>
      <c r="Y2" s="2" t="n"/>
      <c r="Z2" s="2" t="inlineStr">
        <is>
          <t>AUROLA</t>
        </is>
      </c>
      <c r="AA2" s="2" t="inlineStr">
        <is>
          <t>AUROLA</t>
        </is>
      </c>
      <c r="AB2" s="2" t="inlineStr">
        <is>
          <t>9950 Wakeman Dr Manassas, VA 20110</t>
        </is>
      </c>
      <c r="AC2" s="2" t="inlineStr">
        <is>
          <t>US</t>
        </is>
      </c>
      <c r="AD2" s="2" t="n"/>
      <c r="AE2" s="2" t="n"/>
      <c r="AF2" s="2" t="n"/>
      <c r="AG2" s="2" t="n"/>
      <c r="AH2" s="2" t="n"/>
      <c r="AI2" s="2" t="n"/>
      <c r="AJ2" s="2" t="n"/>
      <c r="AK2" s="2" t="inlineStr">
        <is>
          <t>61046300</t>
        </is>
      </c>
    </row>
    <row r="3">
      <c r="A3" s="4" t="n"/>
      <c r="B3" s="4" t="n"/>
      <c r="C3" s="4" t="n"/>
      <c r="D3" s="4" t="n"/>
      <c r="E3" s="4" t="n"/>
      <c r="F3" s="4" t="inlineStr">
        <is>
          <t>61046300</t>
        </is>
      </c>
      <c r="G3" s="4" t="n"/>
      <c r="H3" s="4" t="n"/>
      <c r="I3" s="4" t="inlineStr">
        <is>
          <t>AUROLA-1</t>
        </is>
      </c>
      <c r="J3" s="4" t="inlineStr">
        <is>
          <t>AUROLA Dream Leggings Naval Academy / XL</t>
        </is>
      </c>
      <c r="K3" s="4" t="n">
        <v>1</v>
      </c>
      <c r="L3" s="4" t="n"/>
      <c r="M3" s="4" t="n"/>
      <c r="N3" s="4" t="inlineStr">
        <is>
          <t>USD</t>
        </is>
      </c>
      <c r="O3" s="5" t="n">
        <v>36.99</v>
      </c>
      <c r="P3" s="5" t="n">
        <v>36.99</v>
      </c>
      <c r="Q3" s="5">
        <f>O3*K3</f>
        <v/>
      </c>
      <c r="R3" s="5">
        <f>P3-Q3</f>
        <v/>
      </c>
      <c r="S3" s="4" t="n"/>
      <c r="T3" s="4" t="n"/>
      <c r="U3" s="4" t="n"/>
      <c r="V3" s="4" t="n"/>
      <c r="W3" s="4" t="n"/>
      <c r="X3" s="4" t="n"/>
      <c r="Y3" s="4" t="n"/>
      <c r="Z3" s="4" t="n"/>
      <c r="AA3" s="4" t="n"/>
      <c r="AB3" s="4" t="n"/>
      <c r="AC3" s="4" t="n"/>
      <c r="AD3" s="4" t="n"/>
      <c r="AE3" s="4" t="n"/>
      <c r="AF3" s="4" t="n"/>
      <c r="AG3" s="4" t="n"/>
      <c r="AH3" s="4" t="n"/>
      <c r="AI3" s="4" t="n"/>
      <c r="AJ3" s="4" t="n"/>
      <c r="AK3" s="4" t="n"/>
    </row>
    <row r="4">
      <c r="A4" s="4" t="n"/>
      <c r="B4" s="4" t="n"/>
      <c r="C4" s="4" t="n"/>
      <c r="D4" s="4" t="n"/>
      <c r="E4" s="4" t="n"/>
      <c r="F4" s="4" t="inlineStr">
        <is>
          <t>61046300</t>
        </is>
      </c>
      <c r="G4" s="4" t="n"/>
      <c r="H4" s="4" t="n"/>
      <c r="I4" s="4" t="inlineStr">
        <is>
          <t>AUROLA-2</t>
        </is>
      </c>
      <c r="J4" s="4" t="inlineStr">
        <is>
          <t>AUROLA Dream Leggings Serenity Blue / XL</t>
        </is>
      </c>
      <c r="K4" s="4" t="n">
        <v>1</v>
      </c>
      <c r="L4" s="4" t="n"/>
      <c r="M4" s="4" t="n"/>
      <c r="N4" s="4" t="inlineStr">
        <is>
          <t>USD</t>
        </is>
      </c>
      <c r="O4" s="5" t="n">
        <v>103.57</v>
      </c>
      <c r="P4" s="5" t="n">
        <v>103.57</v>
      </c>
      <c r="Q4" s="5">
        <f>O4*K4</f>
        <v/>
      </c>
      <c r="R4" s="5">
        <f>P4-Q4</f>
        <v/>
      </c>
      <c r="S4" s="4" t="n"/>
      <c r="T4" s="4" t="n"/>
      <c r="U4" s="4" t="n"/>
      <c r="V4" s="4" t="n"/>
      <c r="W4" s="4" t="n"/>
      <c r="X4" s="4" t="n"/>
      <c r="Y4" s="4" t="n"/>
      <c r="Z4" s="4" t="n"/>
      <c r="AA4" s="4" t="n"/>
      <c r="AB4" s="4" t="n"/>
      <c r="AC4" s="4" t="n"/>
      <c r="AD4" s="4" t="n"/>
      <c r="AE4" s="4" t="n"/>
      <c r="AF4" s="4" t="n"/>
      <c r="AG4" s="4" t="n"/>
      <c r="AH4" s="4" t="n"/>
      <c r="AI4" s="4" t="n"/>
      <c r="AJ4" s="4" t="n"/>
      <c r="AK4" s="4" t="n"/>
    </row>
    <row r="5">
      <c r="A5" s="6" t="n"/>
      <c r="B5" s="6" t="n"/>
      <c r="C5" s="6" t="n"/>
      <c r="D5" s="6" t="n"/>
      <c r="E5" s="6" t="n"/>
      <c r="F5" s="6" t="n"/>
      <c r="G5" s="6" t="n"/>
      <c r="H5" s="6" t="n"/>
      <c r="I5" s="6" t="n"/>
      <c r="J5" s="6" t="inlineStr">
        <is>
          <t>SUBTOTAL (GROUPED)</t>
        </is>
      </c>
      <c r="K5" s="6" t="n"/>
      <c r="L5" s="6" t="n"/>
      <c r="M5" s="6" t="n"/>
      <c r="N5" s="6" t="n"/>
      <c r="O5" s="6" t="n"/>
      <c r="P5" s="7">
        <f>P2</f>
        <v/>
      </c>
      <c r="Q5" s="7">
        <f>Q2</f>
        <v/>
      </c>
      <c r="R5" s="6" t="n"/>
      <c r="S5" s="6" t="n"/>
      <c r="T5" s="6" t="n"/>
      <c r="U5" s="6" t="n"/>
      <c r="V5" s="6" t="n"/>
      <c r="W5" s="6" t="n"/>
      <c r="X5" s="6" t="n"/>
      <c r="Y5" s="6" t="n"/>
      <c r="Z5" s="6" t="n"/>
      <c r="AA5" s="6" t="n"/>
      <c r="AB5" s="6" t="n"/>
      <c r="AC5" s="6" t="n"/>
      <c r="AD5" s="6" t="n"/>
      <c r="AE5" s="6" t="n"/>
      <c r="AF5" s="6" t="n"/>
      <c r="AG5" s="6" t="n"/>
      <c r="AH5" s="6" t="n"/>
      <c r="AI5" s="6" t="n"/>
      <c r="AJ5" s="6" t="n"/>
      <c r="AK5" s="6" t="n"/>
    </row>
    <row r="6">
      <c r="A6" s="6" t="n"/>
      <c r="B6" s="6" t="n"/>
      <c r="C6" s="6" t="n"/>
      <c r="D6" s="6" t="n"/>
      <c r="E6" s="6" t="n"/>
      <c r="F6" s="6" t="n"/>
      <c r="G6" s="6" t="n"/>
      <c r="H6" s="6" t="n"/>
      <c r="I6" s="6" t="n"/>
      <c r="J6" s="6" t="inlineStr">
        <is>
          <t>SUBTOTAL (DETAILS)</t>
        </is>
      </c>
      <c r="K6" s="6" t="n"/>
      <c r="L6" s="6" t="n"/>
      <c r="M6" s="6" t="n"/>
      <c r="N6" s="6" t="n"/>
      <c r="O6" s="6" t="n"/>
      <c r="P6" s="7">
        <f>SUM(P2:P4)-P5</f>
        <v/>
      </c>
      <c r="Q6" s="7">
        <f>SUM(Q2:Q4)-Q5</f>
        <v/>
      </c>
      <c r="R6" s="6" t="n"/>
      <c r="S6" s="6" t="n"/>
      <c r="T6" s="6" t="n"/>
      <c r="U6" s="6" t="n"/>
      <c r="V6" s="6" t="n"/>
      <c r="W6" s="6" t="n"/>
      <c r="X6" s="6" t="n"/>
      <c r="Y6" s="6" t="n"/>
      <c r="Z6" s="6" t="n"/>
      <c r="AA6" s="6" t="n"/>
      <c r="AB6" s="6" t="n"/>
      <c r="AC6" s="6" t="n"/>
      <c r="AD6" s="6" t="n"/>
      <c r="AE6" s="6" t="n"/>
      <c r="AF6" s="6" t="n"/>
      <c r="AG6" s="6" t="n"/>
      <c r="AH6" s="6" t="n"/>
      <c r="AI6" s="6" t="n"/>
      <c r="AJ6" s="6" t="n"/>
      <c r="AK6" s="6" t="n"/>
    </row>
    <row r="7">
      <c r="A7" s="8" t="n"/>
      <c r="B7" s="8" t="n"/>
      <c r="C7" s="8" t="n"/>
      <c r="D7" s="8" t="n"/>
      <c r="E7" s="8" t="n"/>
      <c r="F7" s="8" t="n"/>
      <c r="G7" s="8" t="n"/>
      <c r="H7" s="8" t="n"/>
      <c r="I7" s="8" t="n"/>
      <c r="J7" s="8" t="inlineStr">
        <is>
          <t>GROUP VERIFICATION</t>
        </is>
      </c>
      <c r="K7" s="8" t="n"/>
      <c r="L7" s="8" t="n"/>
      <c r="M7" s="8" t="n"/>
      <c r="N7" s="8" t="n"/>
      <c r="O7" s="8" t="n"/>
      <c r="P7" s="9">
        <f>P5-P6</f>
        <v/>
      </c>
      <c r="Q7" s="9">
        <f>Q5-Q6</f>
        <v/>
      </c>
      <c r="R7" s="8" t="n"/>
      <c r="S7" s="8" t="n"/>
      <c r="T7" s="8" t="n"/>
      <c r="U7" s="8" t="n"/>
      <c r="V7" s="8" t="n"/>
      <c r="W7" s="8" t="n"/>
      <c r="X7" s="8" t="n"/>
      <c r="Y7" s="8" t="n"/>
      <c r="Z7" s="8" t="n"/>
      <c r="AA7" s="8" t="n"/>
      <c r="AB7" s="8" t="n"/>
      <c r="AC7" s="8" t="n"/>
      <c r="AD7" s="8" t="n"/>
      <c r="AE7" s="8" t="n"/>
      <c r="AF7" s="8" t="n"/>
      <c r="AG7" s="8" t="n"/>
      <c r="AH7" s="8" t="n"/>
      <c r="AI7" s="8" t="n"/>
      <c r="AJ7" s="8" t="n"/>
      <c r="AK7" s="8" t="n"/>
    </row>
    <row r="8"/>
    <row r="9">
      <c r="A9" s="6" t="n"/>
      <c r="B9" s="6" t="n"/>
      <c r="C9" s="6" t="n"/>
      <c r="D9" s="6" t="n"/>
      <c r="E9" s="6" t="n"/>
      <c r="F9" s="6" t="n"/>
      <c r="G9" s="6" t="n"/>
      <c r="H9" s="6" t="n"/>
      <c r="I9" s="6" t="n"/>
      <c r="J9" s="6" t="inlineStr">
        <is>
          <t>TOTAL INTERNAL FREIGHT</t>
        </is>
      </c>
      <c r="K9" s="6" t="n"/>
      <c r="L9" s="6" t="n"/>
      <c r="M9" s="6" t="n"/>
      <c r="N9" s="6" t="n"/>
      <c r="O9" s="6" t="n"/>
      <c r="P9" s="7" t="n">
        <v>0</v>
      </c>
      <c r="Q9" s="7" t="n"/>
      <c r="R9" s="6" t="n"/>
      <c r="S9" s="6" t="n"/>
      <c r="T9" s="6" t="n"/>
      <c r="U9" s="6" t="n"/>
      <c r="V9" s="6" t="n"/>
      <c r="W9" s="6" t="n"/>
      <c r="X9" s="6" t="n"/>
      <c r="Y9" s="6" t="n"/>
      <c r="Z9" s="6" t="n"/>
      <c r="AA9" s="6" t="n"/>
      <c r="AB9" s="6" t="n"/>
      <c r="AC9" s="6" t="n"/>
      <c r="AD9" s="6" t="n"/>
      <c r="AE9" s="6" t="n"/>
      <c r="AF9" s="6" t="n"/>
      <c r="AG9" s="6" t="n"/>
      <c r="AH9" s="6" t="n"/>
      <c r="AI9" s="6" t="n"/>
      <c r="AJ9" s="6" t="n"/>
      <c r="AK9" s="6" t="n"/>
    </row>
    <row r="10">
      <c r="A10" s="6" t="n"/>
      <c r="B10" s="6" t="n"/>
      <c r="C10" s="6" t="n"/>
      <c r="D10" s="6" t="n"/>
      <c r="E10" s="6" t="n"/>
      <c r="F10" s="6" t="n"/>
      <c r="G10" s="6" t="n"/>
      <c r="H10" s="6" t="n"/>
      <c r="I10" s="6" t="n"/>
      <c r="J10" s="6" t="inlineStr">
        <is>
          <t>TOTAL INSURANCE</t>
        </is>
      </c>
      <c r="K10" s="6" t="n"/>
      <c r="L10" s="6" t="n"/>
      <c r="M10" s="6" t="n"/>
      <c r="N10" s="6" t="n"/>
      <c r="O10" s="6" t="n"/>
      <c r="P10" s="7" t="n">
        <v>0</v>
      </c>
      <c r="Q10" s="7" t="n"/>
      <c r="R10" s="6" t="n"/>
      <c r="S10" s="6" t="n"/>
      <c r="T10" s="6" t="n"/>
      <c r="U10" s="6" t="n"/>
      <c r="V10" s="6" t="n"/>
      <c r="W10" s="6" t="n"/>
      <c r="X10" s="6" t="n"/>
      <c r="Y10" s="6" t="n"/>
      <c r="Z10" s="6" t="n"/>
      <c r="AA10" s="6" t="n"/>
      <c r="AB10" s="6" t="n"/>
      <c r="AC10" s="6" t="n"/>
      <c r="AD10" s="6" t="n"/>
      <c r="AE10" s="6" t="n"/>
      <c r="AF10" s="6" t="n"/>
      <c r="AG10" s="6" t="n"/>
      <c r="AH10" s="6" t="n"/>
      <c r="AI10" s="6" t="n"/>
      <c r="AJ10" s="6" t="n"/>
      <c r="AK10" s="6" t="n"/>
    </row>
    <row r="11">
      <c r="A11" s="6" t="n"/>
      <c r="B11" s="6" t="n"/>
      <c r="C11" s="6" t="n"/>
      <c r="D11" s="6" t="n"/>
      <c r="E11" s="6" t="n"/>
      <c r="F11" s="6" t="n"/>
      <c r="G11" s="6" t="n"/>
      <c r="H11" s="6" t="n"/>
      <c r="I11" s="6" t="n"/>
      <c r="J11" s="6" t="inlineStr">
        <is>
          <t>TOTAL OTHER COST</t>
        </is>
      </c>
      <c r="K11" s="6" t="n"/>
      <c r="L11" s="6" t="n"/>
      <c r="M11" s="6" t="n"/>
      <c r="N11" s="6" t="n"/>
      <c r="O11" s="6" t="n"/>
      <c r="P11" s="7" t="n">
        <v>0</v>
      </c>
      <c r="Q11" s="7" t="n"/>
      <c r="R11" s="6" t="n"/>
      <c r="S11" s="6" t="n"/>
      <c r="T11" s="6" t="n"/>
      <c r="U11" s="6" t="n"/>
      <c r="V11" s="6" t="n"/>
      <c r="W11" s="6" t="n"/>
      <c r="X11" s="6" t="n"/>
      <c r="Y11" s="6" t="n"/>
      <c r="Z11" s="6" t="n"/>
      <c r="AA11" s="6" t="n"/>
      <c r="AB11" s="6" t="n"/>
      <c r="AC11" s="6" t="n"/>
      <c r="AD11" s="6" t="n"/>
      <c r="AE11" s="6" t="n"/>
      <c r="AF11" s="6" t="n"/>
      <c r="AG11" s="6" t="n"/>
      <c r="AH11" s="6" t="n"/>
      <c r="AI11" s="6" t="n"/>
      <c r="AJ11" s="6" t="n"/>
      <c r="AK11" s="6" t="n"/>
    </row>
    <row r="12">
      <c r="A12" s="6" t="n"/>
      <c r="B12" s="6" t="n"/>
      <c r="C12" s="6" t="n"/>
      <c r="D12" s="6" t="n"/>
      <c r="E12" s="6" t="n"/>
      <c r="F12" s="6" t="n"/>
      <c r="G12" s="6" t="n"/>
      <c r="H12" s="6" t="n"/>
      <c r="I12" s="6" t="n"/>
      <c r="J12" s="6" t="inlineStr">
        <is>
          <t>TOTAL DEDUCTION</t>
        </is>
      </c>
      <c r="K12" s="6" t="n"/>
      <c r="L12" s="6" t="n"/>
      <c r="M12" s="6" t="n"/>
      <c r="N12" s="6" t="n"/>
      <c r="O12" s="6" t="n"/>
      <c r="P12" s="7" t="n">
        <v>0</v>
      </c>
      <c r="Q12" s="7" t="n"/>
      <c r="R12" s="6" t="n"/>
      <c r="S12" s="6" t="n"/>
      <c r="T12" s="6" t="n"/>
      <c r="U12" s="6" t="n"/>
      <c r="V12" s="6" t="n"/>
      <c r="W12" s="6" t="n"/>
      <c r="X12" s="6" t="n"/>
      <c r="Y12" s="6" t="n"/>
      <c r="Z12" s="6" t="n"/>
      <c r="AA12" s="6" t="n"/>
      <c r="AB12" s="6" t="n"/>
      <c r="AC12" s="6" t="n"/>
      <c r="AD12" s="6" t="n"/>
      <c r="AE12" s="6" t="n"/>
      <c r="AF12" s="6" t="n"/>
      <c r="AG12" s="6" t="n"/>
      <c r="AH12" s="6" t="n"/>
      <c r="AI12" s="6" t="n"/>
      <c r="AJ12" s="6" t="n"/>
      <c r="AK12" s="6" t="n"/>
    </row>
    <row r="13">
      <c r="A13" s="6" t="n"/>
      <c r="B13" s="6" t="n"/>
      <c r="C13" s="6" t="n"/>
      <c r="D13" s="6" t="n"/>
      <c r="E13" s="6" t="n"/>
      <c r="F13" s="6" t="n"/>
      <c r="G13" s="6" t="n"/>
      <c r="H13" s="6" t="n"/>
      <c r="I13" s="6" t="n"/>
      <c r="J13" s="6" t="inlineStr">
        <is>
          <t>ADJUSTMENTS</t>
        </is>
      </c>
      <c r="K13" s="6" t="n"/>
      <c r="L13" s="6" t="n"/>
      <c r="M13" s="6" t="n"/>
      <c r="N13" s="6" t="n"/>
      <c r="O13" s="6" t="n"/>
      <c r="P13" s="7">
        <f>(T2+U2+V2-W2)</f>
        <v/>
      </c>
      <c r="Q13" s="7">
        <f>(T2+U2+V2-W2)</f>
        <v/>
      </c>
      <c r="R13" s="6" t="n"/>
      <c r="S13" s="6" t="n"/>
      <c r="T13" s="6" t="n"/>
      <c r="U13" s="6" t="n"/>
      <c r="V13" s="6" t="n"/>
      <c r="W13" s="6" t="n"/>
      <c r="X13" s="6" t="n"/>
      <c r="Y13" s="6" t="n"/>
      <c r="Z13" s="6" t="n"/>
      <c r="AA13" s="6" t="n"/>
      <c r="AB13" s="6" t="n"/>
      <c r="AC13" s="6" t="n"/>
      <c r="AD13" s="6" t="n"/>
      <c r="AE13" s="6" t="n"/>
      <c r="AF13" s="6" t="n"/>
      <c r="AG13" s="6" t="n"/>
      <c r="AH13" s="6" t="n"/>
      <c r="AI13" s="6" t="n"/>
      <c r="AJ13" s="6" t="n"/>
      <c r="AK13" s="6" t="n"/>
    </row>
    <row r="14"/>
    <row r="15">
      <c r="A15" s="6" t="n"/>
      <c r="B15" s="6" t="n"/>
      <c r="C15" s="6" t="n"/>
      <c r="D15" s="6" t="n"/>
      <c r="E15" s="6" t="n"/>
      <c r="F15" s="6" t="n"/>
      <c r="G15" s="6" t="n"/>
      <c r="H15" s="6" t="n"/>
      <c r="I15" s="6" t="n"/>
      <c r="J15" s="6" t="inlineStr">
        <is>
          <t>NET TOTAL</t>
        </is>
      </c>
      <c r="K15" s="6" t="n"/>
      <c r="L15" s="6" t="n"/>
      <c r="M15" s="6" t="n"/>
      <c r="N15" s="6" t="n"/>
      <c r="O15" s="6" t="n"/>
      <c r="P15" s="7">
        <f>P5+P13</f>
        <v/>
      </c>
      <c r="Q15" s="7">
        <f>Q5+Q13</f>
        <v/>
      </c>
      <c r="R15" s="6" t="n"/>
      <c r="S15" s="6" t="n"/>
      <c r="T15" s="6" t="n"/>
      <c r="U15" s="6" t="n"/>
      <c r="V15" s="6" t="n"/>
      <c r="W15" s="6" t="n"/>
      <c r="X15" s="6" t="n"/>
      <c r="Y15" s="6" t="n"/>
      <c r="Z15" s="6" t="n"/>
      <c r="AA15" s="6" t="n"/>
      <c r="AB15" s="6" t="n"/>
      <c r="AC15" s="6" t="n"/>
      <c r="AD15" s="6" t="n"/>
      <c r="AE15" s="6" t="n"/>
      <c r="AF15" s="6" t="n"/>
      <c r="AG15" s="6" t="n"/>
      <c r="AH15" s="6" t="n"/>
      <c r="AI15" s="6" t="n"/>
      <c r="AJ15" s="6" t="n"/>
      <c r="AK15" s="6" t="n"/>
    </row>
    <row r="16">
      <c r="A16" s="6" t="n"/>
      <c r="B16" s="6" t="n"/>
      <c r="C16" s="6" t="n"/>
      <c r="D16" s="6" t="n"/>
      <c r="E16" s="6" t="n"/>
      <c r="F16" s="6" t="n"/>
      <c r="G16" s="6" t="n"/>
      <c r="H16" s="6" t="n"/>
      <c r="I16" s="6" t="n"/>
      <c r="J16" s="6" t="inlineStr">
        <is>
          <t>INVOICE TOTAL</t>
        </is>
      </c>
      <c r="K16" s="6" t="n"/>
      <c r="L16" s="6" t="n"/>
      <c r="M16" s="6" t="n"/>
      <c r="N16" s="6" t="n"/>
      <c r="O16" s="6" t="n"/>
      <c r="P16" s="7">
        <f>S2</f>
        <v/>
      </c>
      <c r="Q16" s="7" t="n"/>
      <c r="R16" s="6" t="n"/>
      <c r="S16" s="6" t="n"/>
      <c r="T16" s="6" t="n"/>
      <c r="U16" s="6" t="n"/>
      <c r="V16" s="6" t="n"/>
      <c r="W16" s="6" t="n"/>
      <c r="X16" s="6" t="n"/>
      <c r="Y16" s="6" t="n"/>
      <c r="Z16" s="6" t="n"/>
      <c r="AA16" s="6" t="n"/>
      <c r="AB16" s="6" t="n"/>
      <c r="AC16" s="6" t="n"/>
      <c r="AD16" s="6" t="n"/>
      <c r="AE16" s="6" t="n"/>
      <c r="AF16" s="6" t="n"/>
      <c r="AG16" s="6" t="n"/>
      <c r="AH16" s="6" t="n"/>
      <c r="AI16" s="6" t="n"/>
      <c r="AJ16" s="6" t="n"/>
      <c r="AK16" s="6" t="n"/>
    </row>
    <row r="17"/>
    <row r="18">
      <c r="A18" s="10" t="n"/>
      <c r="B18" s="10" t="n"/>
      <c r="C18" s="10" t="n"/>
      <c r="D18" s="10" t="n"/>
      <c r="E18" s="10" t="n"/>
      <c r="F18" s="10" t="n"/>
      <c r="G18" s="10" t="n"/>
      <c r="H18" s="10" t="n"/>
      <c r="I18" s="10" t="n"/>
      <c r="J18" s="10" t="inlineStr">
        <is>
          <t>VARIANCE CHECK</t>
        </is>
      </c>
      <c r="K18" s="10" t="n"/>
      <c r="L18" s="10" t="n"/>
      <c r="M18" s="10" t="n"/>
      <c r="N18" s="10" t="n"/>
      <c r="O18" s="10" t="n"/>
      <c r="P18" s="11">
        <f>S2-P15</f>
        <v/>
      </c>
      <c r="Q18" s="11">
        <f>S2-Q15</f>
        <v/>
      </c>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row>
    <row r="19"/>
    <row r="20">
      <c r="A20" s="12" t="n"/>
      <c r="B20" s="12" t="n"/>
      <c r="C20" s="12" t="n"/>
      <c r="D20" s="12" t="n"/>
      <c r="E20" s="12" t="n"/>
      <c r="F20" s="12" t="n"/>
      <c r="G20" s="12" t="n"/>
      <c r="H20" s="12" t="n"/>
      <c r="I20" s="12" t="n"/>
      <c r="J20" s="12" t="inlineStr">
        <is>
          <t>DUTY ESTIMATION (Classification Cross-Check)</t>
        </is>
      </c>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row>
    <row r="21">
      <c r="A21" s="13" t="n"/>
      <c r="B21" s="13" t="n"/>
      <c r="C21" s="13" t="n"/>
      <c r="D21" s="13" t="n"/>
      <c r="E21" s="13" t="n"/>
      <c r="F21" s="13" t="n"/>
      <c r="G21" s="13" t="n"/>
      <c r="H21" s="13" t="n"/>
      <c r="I21" s="13" t="n"/>
      <c r="J21" s="14" t="inlineStr">
        <is>
          <t>CIF (USD) = InvTotal + Freight + Insurance</t>
        </is>
      </c>
      <c r="K21" s="13" t="n"/>
      <c r="L21" s="13" t="n"/>
      <c r="M21" s="13" t="n"/>
      <c r="N21" s="13" t="n"/>
      <c r="O21" s="13" t="n"/>
      <c r="P21" s="15" t="n">
        <v>140.56</v>
      </c>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row>
    <row r="22">
      <c r="A22" s="13" t="n"/>
      <c r="B22" s="13" t="n"/>
      <c r="C22" s="13" t="n"/>
      <c r="D22" s="13" t="n"/>
      <c r="E22" s="13" t="n"/>
      <c r="F22" s="13" t="n"/>
      <c r="G22" s="13" t="n"/>
      <c r="H22" s="13" t="n"/>
      <c r="I22" s="13" t="n"/>
      <c r="J22" s="14" t="inlineStr">
        <is>
          <t>CIF (XCD) = CIF × 2.7169</t>
        </is>
      </c>
      <c r="K22" s="13" t="n"/>
      <c r="L22" s="13" t="n"/>
      <c r="M22" s="13" t="n"/>
      <c r="N22" s="13" t="n"/>
      <c r="O22" s="13" t="n"/>
      <c r="P22" s="15" t="n">
        <v>381.89</v>
      </c>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row>
    <row r="23">
      <c r="A23" s="13" t="n"/>
      <c r="B23" s="13" t="n"/>
      <c r="C23" s="13" t="n"/>
      <c r="D23" s="13" t="n"/>
      <c r="E23" s="13" t="n"/>
      <c r="F23" s="13" t="n"/>
      <c r="G23" s="13" t="n"/>
      <c r="H23" s="13" t="n"/>
      <c r="I23" s="13" t="n"/>
      <c r="J23" s="14" t="inlineStr">
        <is>
          <t>CET (20%) — Tariff 61046300</t>
        </is>
      </c>
      <c r="K23" s="13" t="n"/>
      <c r="L23" s="13" t="n"/>
      <c r="M23" s="13" t="n"/>
      <c r="N23" s="13" t="n"/>
      <c r="O23" s="13" t="n"/>
      <c r="P23" s="15" t="n">
        <v>76.38</v>
      </c>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row>
    <row r="24">
      <c r="A24" s="13" t="n"/>
      <c r="B24" s="13" t="n"/>
      <c r="C24" s="13" t="n"/>
      <c r="D24" s="13" t="n"/>
      <c r="E24" s="13" t="n"/>
      <c r="F24" s="13" t="n"/>
      <c r="G24" s="13" t="n"/>
      <c r="H24" s="13" t="n"/>
      <c r="I24" s="13" t="n"/>
      <c r="J24" s="14" t="inlineStr">
        <is>
          <t>CSC (6%)</t>
        </is>
      </c>
      <c r="K24" s="13" t="n"/>
      <c r="L24" s="13" t="n"/>
      <c r="M24" s="13" t="n"/>
      <c r="N24" s="13" t="n"/>
      <c r="O24" s="13" t="n"/>
      <c r="P24" s="15" t="n">
        <v>22.91</v>
      </c>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row>
    <row r="25">
      <c r="A25" s="13" t="n"/>
      <c r="B25" s="13" t="n"/>
      <c r="C25" s="13" t="n"/>
      <c r="D25" s="13" t="n"/>
      <c r="E25" s="13" t="n"/>
      <c r="F25" s="13" t="n"/>
      <c r="G25" s="13" t="n"/>
      <c r="H25" s="13" t="n"/>
      <c r="I25" s="13" t="n"/>
      <c r="J25" s="14" t="inlineStr">
        <is>
          <t>VAT (15%) on CIF+CET+CSC</t>
        </is>
      </c>
      <c r="K25" s="13" t="n"/>
      <c r="L25" s="13" t="n"/>
      <c r="M25" s="13" t="n"/>
      <c r="N25" s="13" t="n"/>
      <c r="O25" s="13" t="n"/>
      <c r="P25" s="15" t="n">
        <v>72.18000000000001</v>
      </c>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row>
    <row r="26">
      <c r="A26" s="16" t="n"/>
      <c r="B26" s="16" t="n"/>
      <c r="C26" s="16" t="n"/>
      <c r="D26" s="16" t="n"/>
      <c r="E26" s="16" t="n"/>
      <c r="F26" s="16" t="n"/>
      <c r="G26" s="16" t="n"/>
      <c r="H26" s="16" t="n"/>
      <c r="I26" s="16" t="n"/>
      <c r="J26" s="12" t="inlineStr">
        <is>
          <t>ESTIMATED TOTAL DUTIES</t>
        </is>
      </c>
      <c r="K26" s="16" t="n"/>
      <c r="L26" s="16" t="n"/>
      <c r="M26" s="16" t="n"/>
      <c r="N26" s="16" t="n"/>
      <c r="O26" s="16" t="n"/>
      <c r="P26" s="17" t="n">
        <v>171.47</v>
      </c>
      <c r="Q26" s="16" t="n"/>
      <c r="R26" s="16" t="n"/>
      <c r="S26" s="16" t="n"/>
      <c r="T26" s="16" t="n"/>
      <c r="U26" s="16" t="n"/>
      <c r="V26" s="16" t="n"/>
      <c r="W26" s="16" t="n"/>
      <c r="X26" s="16" t="n"/>
      <c r="Y26" s="16" t="n"/>
      <c r="Z26" s="16" t="n"/>
      <c r="AA26" s="16" t="n"/>
      <c r="AB26" s="16" t="n"/>
      <c r="AC26" s="16" t="n"/>
      <c r="AD26" s="16" t="n"/>
      <c r="AE26" s="16" t="n"/>
      <c r="AF26" s="16" t="n"/>
      <c r="AG26" s="16" t="n"/>
      <c r="AH26" s="16" t="n"/>
      <c r="AI26" s="16" t="n"/>
      <c r="AJ26" s="16" t="n"/>
      <c r="AK26" s="16" t="n"/>
    </row>
    <row r="27">
      <c r="A27" s="13" t="n"/>
      <c r="B27" s="13" t="n"/>
      <c r="C27" s="13" t="n"/>
      <c r="D27" s="13" t="n"/>
      <c r="E27" s="13" t="n"/>
      <c r="F27" s="13" t="n"/>
      <c r="G27" s="13" t="n"/>
      <c r="H27" s="13" t="n"/>
      <c r="I27" s="13" t="n"/>
      <c r="J27" s="14" t="inlineStr">
        <is>
          <t>Effective Duty Rate</t>
        </is>
      </c>
      <c r="K27" s="13" t="n"/>
      <c r="L27" s="13" t="n"/>
      <c r="M27" s="13" t="n"/>
      <c r="N27" s="13" t="n"/>
      <c r="O27" s="13" t="n"/>
      <c r="P27" s="18" t="n">
        <v>0.449003639791563</v>
      </c>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row>
    <row r="28">
      <c r="A28" s="19" t="n"/>
      <c r="B28" s="19" t="n"/>
      <c r="C28" s="19" t="n"/>
      <c r="D28" s="19" t="n"/>
      <c r="E28" s="19"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c r="AA28" s="19" t="n"/>
      <c r="AB28" s="19" t="n"/>
      <c r="AC28" s="19" t="n"/>
      <c r="AD28" s="19" t="n"/>
      <c r="AE28" s="19" t="n"/>
      <c r="AF28" s="19" t="n"/>
      <c r="AG28" s="19" t="n"/>
      <c r="AH28" s="19" t="n"/>
      <c r="AI28" s="19" t="n"/>
      <c r="AJ28" s="19" t="n"/>
      <c r="AK28" s="19" t="n"/>
    </row>
    <row r="29">
      <c r="A29" s="2" t="inlineStr">
        <is>
          <t>4000-000</t>
        </is>
      </c>
      <c r="B29" s="2" t="n"/>
      <c r="C29" s="2" t="inlineStr">
        <is>
          <t>AU236542</t>
        </is>
      </c>
      <c r="D29" s="2" t="inlineStr">
        <is>
          <t>2024-07-30</t>
        </is>
      </c>
      <c r="E29" s="2" t="inlineStr">
        <is>
          <t>Of synthetic fibres</t>
        </is>
      </c>
      <c r="F29" s="2" t="inlineStr">
        <is>
          <t>61046300</t>
        </is>
      </c>
      <c r="G29" s="2" t="n"/>
      <c r="H29" s="2" t="n"/>
      <c r="I29" s="2" t="inlineStr">
        <is>
          <t>61046300</t>
        </is>
      </c>
      <c r="J29" s="2" t="inlineStr">
        <is>
          <t>AUROLA Dream Leggings Naval Academy / XL (+2 more) (3 items)</t>
        </is>
      </c>
      <c r="K29" s="2" t="n">
        <v>3</v>
      </c>
      <c r="L29" s="2" t="n"/>
      <c r="M29" s="2" t="n"/>
      <c r="N29" s="2" t="inlineStr">
        <is>
          <t>USD</t>
        </is>
      </c>
      <c r="O29" s="3" t="n">
        <v>46.85333333333333</v>
      </c>
      <c r="P29" s="3" t="n">
        <v>140.56</v>
      </c>
      <c r="Q29" s="3">
        <f>O29*K29</f>
        <v/>
      </c>
      <c r="R29" s="3">
        <f>P29-Q29</f>
        <v/>
      </c>
      <c r="S29" s="3" t="n">
        <v>140.56</v>
      </c>
      <c r="T29" s="3" t="n">
        <v>0</v>
      </c>
      <c r="U29" s="3" t="n">
        <v>0</v>
      </c>
      <c r="V29" s="3" t="n">
        <v>0</v>
      </c>
      <c r="W29" s="3" t="n">
        <v>0</v>
      </c>
      <c r="X29" s="2" t="n"/>
      <c r="Y29" s="2" t="n"/>
      <c r="Z29" s="2" t="inlineStr">
        <is>
          <t>AUROLA</t>
        </is>
      </c>
      <c r="AA29" s="2" t="inlineStr">
        <is>
          <t>AUROLA</t>
        </is>
      </c>
      <c r="AB29" s="2" t="inlineStr">
        <is>
          <t>9950 Wakeman Dr Manassas, VA 20110</t>
        </is>
      </c>
      <c r="AC29" s="2" t="inlineStr">
        <is>
          <t>US</t>
        </is>
      </c>
      <c r="AD29" s="2" t="n"/>
      <c r="AE29" s="2" t="n"/>
      <c r="AF29" s="2" t="n"/>
      <c r="AG29" s="2" t="n"/>
      <c r="AH29" s="2" t="n"/>
      <c r="AI29" s="2" t="n"/>
      <c r="AJ29" s="2" t="n"/>
      <c r="AK29" s="2" t="inlineStr">
        <is>
          <t>61046300</t>
        </is>
      </c>
    </row>
    <row r="30">
      <c r="A30" s="4" t="n"/>
      <c r="B30" s="4" t="n"/>
      <c r="C30" s="4" t="n"/>
      <c r="D30" s="4" t="n"/>
      <c r="E30" s="4" t="n"/>
      <c r="F30" s="4" t="inlineStr">
        <is>
          <t>61046300</t>
        </is>
      </c>
      <c r="G30" s="4" t="n"/>
      <c r="H30" s="4" t="n"/>
      <c r="I30" s="4" t="inlineStr">
        <is>
          <t>AUROLA-1</t>
        </is>
      </c>
      <c r="J30" s="4" t="inlineStr">
        <is>
          <t>AUROLA Dream Leggings Naval Academy / XL</t>
        </is>
      </c>
      <c r="K30" s="4" t="n">
        <v>1</v>
      </c>
      <c r="L30" s="4" t="n"/>
      <c r="M30" s="4" t="n"/>
      <c r="N30" s="4" t="inlineStr">
        <is>
          <t>USD</t>
        </is>
      </c>
      <c r="O30" s="5" t="n">
        <v>36.99</v>
      </c>
      <c r="P30" s="5" t="n">
        <v>36.99</v>
      </c>
      <c r="Q30" s="5">
        <f>O30*K30</f>
        <v/>
      </c>
      <c r="R30" s="5">
        <f>P30-Q30</f>
        <v/>
      </c>
      <c r="S30" s="4" t="n"/>
      <c r="T30" s="4" t="n"/>
      <c r="U30" s="4" t="n"/>
      <c r="V30" s="4" t="n"/>
      <c r="W30" s="4" t="n"/>
      <c r="X30" s="4" t="n"/>
      <c r="Y30" s="4" t="n"/>
      <c r="Z30" s="4" t="n"/>
      <c r="AA30" s="4" t="n"/>
      <c r="AB30" s="4" t="n"/>
      <c r="AC30" s="4" t="n"/>
      <c r="AD30" s="4" t="n"/>
      <c r="AE30" s="4" t="n"/>
      <c r="AF30" s="4" t="n"/>
      <c r="AG30" s="4" t="n"/>
      <c r="AH30" s="4" t="n"/>
      <c r="AI30" s="4" t="n"/>
      <c r="AJ30" s="4" t="n"/>
      <c r="AK30" s="4" t="n"/>
    </row>
    <row r="31">
      <c r="A31" s="4" t="n"/>
      <c r="B31" s="4" t="n"/>
      <c r="C31" s="4" t="n"/>
      <c r="D31" s="4" t="n"/>
      <c r="E31" s="4" t="n"/>
      <c r="F31" s="4" t="inlineStr">
        <is>
          <t>61046300</t>
        </is>
      </c>
      <c r="G31" s="4" t="n"/>
      <c r="H31" s="4" t="n"/>
      <c r="I31" s="4" t="inlineStr">
        <is>
          <t>AUROLA-2</t>
        </is>
      </c>
      <c r="J31" s="4" t="inlineStr">
        <is>
          <t>ee AUROLA Dream Leggings ee = Serenity Blue / XL</t>
        </is>
      </c>
      <c r="K31" s="4" t="n">
        <v>1</v>
      </c>
      <c r="L31" s="4" t="n"/>
      <c r="M31" s="4" t="n"/>
      <c r="N31" s="4" t="inlineStr">
        <is>
          <t>USD</t>
        </is>
      </c>
      <c r="O31" s="5" t="n">
        <v>36.99</v>
      </c>
      <c r="P31" s="5" t="n">
        <v>36.99</v>
      </c>
      <c r="Q31" s="5">
        <f>O31*K31</f>
        <v/>
      </c>
      <c r="R31" s="5">
        <f>P31-Q31</f>
        <v/>
      </c>
      <c r="S31" s="4" t="n"/>
      <c r="T31" s="4" t="n"/>
      <c r="U31" s="4" t="n"/>
      <c r="V31" s="4" t="n"/>
      <c r="W31" s="4" t="n"/>
      <c r="X31" s="4" t="n"/>
      <c r="Y31" s="4" t="n"/>
      <c r="Z31" s="4" t="n"/>
      <c r="AA31" s="4" t="n"/>
      <c r="AB31" s="4" t="n"/>
      <c r="AC31" s="4" t="n"/>
      <c r="AD31" s="4" t="n"/>
      <c r="AE31" s="4" t="n"/>
      <c r="AF31" s="4" t="n"/>
      <c r="AG31" s="4" t="n"/>
      <c r="AH31" s="4" t="n"/>
      <c r="AI31" s="4" t="n"/>
      <c r="AJ31" s="4" t="n"/>
      <c r="AK31" s="4" t="n"/>
    </row>
    <row r="32">
      <c r="A32" s="4" t="n"/>
      <c r="B32" s="4" t="n"/>
      <c r="C32" s="4" t="n"/>
      <c r="D32" s="4" t="n"/>
      <c r="E32" s="4" t="n"/>
      <c r="F32" s="4" t="inlineStr">
        <is>
          <t>61046300</t>
        </is>
      </c>
      <c r="G32" s="4" t="n"/>
      <c r="H32" s="4" t="n"/>
      <c r="I32" s="4" t="inlineStr">
        <is>
          <t>AUROLA-3</t>
        </is>
      </c>
      <c r="J32" s="4" t="inlineStr">
        <is>
          <t>as ‘“ a Quantity : 1 AUROLA fb cont AUROLA tapes</t>
        </is>
      </c>
      <c r="K32" s="4" t="n">
        <v>1</v>
      </c>
      <c r="L32" s="4" t="n"/>
      <c r="M32" s="4" t="n"/>
      <c r="N32" s="4" t="inlineStr">
        <is>
          <t>USD</t>
        </is>
      </c>
      <c r="O32" s="5" t="n">
        <v>66.58</v>
      </c>
      <c r="P32" s="5" t="n">
        <v>66.58</v>
      </c>
      <c r="Q32" s="5">
        <f>O32*K32</f>
        <v/>
      </c>
      <c r="R32" s="5">
        <f>P32-Q32</f>
        <v/>
      </c>
      <c r="S32" s="4" t="n"/>
      <c r="T32" s="4" t="n"/>
      <c r="U32" s="4" t="n"/>
      <c r="V32" s="4" t="n"/>
      <c r="W32" s="4" t="n"/>
      <c r="X32" s="4" t="n"/>
      <c r="Y32" s="4" t="n"/>
      <c r="Z32" s="4" t="n"/>
      <c r="AA32" s="4" t="n"/>
      <c r="AB32" s="4" t="n"/>
      <c r="AC32" s="4" t="n"/>
      <c r="AD32" s="4" t="n"/>
      <c r="AE32" s="4" t="n"/>
      <c r="AF32" s="4" t="n"/>
      <c r="AG32" s="4" t="n"/>
      <c r="AH32" s="4" t="n"/>
      <c r="AI32" s="4" t="n"/>
      <c r="AJ32" s="4" t="n"/>
      <c r="AK32" s="4" t="n"/>
    </row>
    <row r="33">
      <c r="A33" s="6" t="n"/>
      <c r="B33" s="6" t="n"/>
      <c r="C33" s="6" t="n"/>
      <c r="D33" s="6" t="n"/>
      <c r="E33" s="6" t="n"/>
      <c r="F33" s="6" t="n"/>
      <c r="G33" s="6" t="n"/>
      <c r="H33" s="6" t="n"/>
      <c r="I33" s="6" t="n"/>
      <c r="J33" s="6" t="inlineStr">
        <is>
          <t>SUBTOTAL (GROUPED)</t>
        </is>
      </c>
      <c r="K33" s="6" t="n"/>
      <c r="L33" s="6" t="n"/>
      <c r="M33" s="6" t="n"/>
      <c r="N33" s="6" t="n"/>
      <c r="O33" s="6" t="n"/>
      <c r="P33" s="7">
        <f>P29</f>
        <v/>
      </c>
      <c r="Q33" s="7">
        <f>Q29</f>
        <v/>
      </c>
      <c r="R33" s="6" t="n"/>
      <c r="S33" s="6" t="n"/>
      <c r="T33" s="6" t="n"/>
      <c r="U33" s="6" t="n"/>
      <c r="V33" s="6" t="n"/>
      <c r="W33" s="6" t="n"/>
      <c r="X33" s="6" t="n"/>
      <c r="Y33" s="6" t="n"/>
      <c r="Z33" s="6" t="n"/>
      <c r="AA33" s="6" t="n"/>
      <c r="AB33" s="6" t="n"/>
      <c r="AC33" s="6" t="n"/>
      <c r="AD33" s="6" t="n"/>
      <c r="AE33" s="6" t="n"/>
      <c r="AF33" s="6" t="n"/>
      <c r="AG33" s="6" t="n"/>
      <c r="AH33" s="6" t="n"/>
      <c r="AI33" s="6" t="n"/>
      <c r="AJ33" s="6" t="n"/>
      <c r="AK33" s="6" t="n"/>
    </row>
    <row r="34">
      <c r="A34" s="6" t="n"/>
      <c r="B34" s="6" t="n"/>
      <c r="C34" s="6" t="n"/>
      <c r="D34" s="6" t="n"/>
      <c r="E34" s="6" t="n"/>
      <c r="F34" s="6" t="n"/>
      <c r="G34" s="6" t="n"/>
      <c r="H34" s="6" t="n"/>
      <c r="I34" s="6" t="n"/>
      <c r="J34" s="6" t="inlineStr">
        <is>
          <t>SUBTOTAL (DETAILS)</t>
        </is>
      </c>
      <c r="K34" s="6" t="n"/>
      <c r="L34" s="6" t="n"/>
      <c r="M34" s="6" t="n"/>
      <c r="N34" s="6" t="n"/>
      <c r="O34" s="6" t="n"/>
      <c r="P34" s="7">
        <f>SUM(P29:P32)-P33</f>
        <v/>
      </c>
      <c r="Q34" s="7">
        <f>SUM(Q29:Q32)-Q33</f>
        <v/>
      </c>
      <c r="R34" s="6" t="n"/>
      <c r="S34" s="6" t="n"/>
      <c r="T34" s="6" t="n"/>
      <c r="U34" s="6" t="n"/>
      <c r="V34" s="6" t="n"/>
      <c r="W34" s="6" t="n"/>
      <c r="X34" s="6" t="n"/>
      <c r="Y34" s="6" t="n"/>
      <c r="Z34" s="6" t="n"/>
      <c r="AA34" s="6" t="n"/>
      <c r="AB34" s="6" t="n"/>
      <c r="AC34" s="6" t="n"/>
      <c r="AD34" s="6" t="n"/>
      <c r="AE34" s="6" t="n"/>
      <c r="AF34" s="6" t="n"/>
      <c r="AG34" s="6" t="n"/>
      <c r="AH34" s="6" t="n"/>
      <c r="AI34" s="6" t="n"/>
      <c r="AJ34" s="6" t="n"/>
      <c r="AK34" s="6" t="n"/>
    </row>
    <row r="35">
      <c r="A35" s="8" t="n"/>
      <c r="B35" s="8" t="n"/>
      <c r="C35" s="8" t="n"/>
      <c r="D35" s="8" t="n"/>
      <c r="E35" s="8" t="n"/>
      <c r="F35" s="8" t="n"/>
      <c r="G35" s="8" t="n"/>
      <c r="H35" s="8" t="n"/>
      <c r="I35" s="8" t="n"/>
      <c r="J35" s="8" t="inlineStr">
        <is>
          <t>GROUP VERIFICATION</t>
        </is>
      </c>
      <c r="K35" s="8" t="n"/>
      <c r="L35" s="8" t="n"/>
      <c r="M35" s="8" t="n"/>
      <c r="N35" s="8" t="n"/>
      <c r="O35" s="8" t="n"/>
      <c r="P35" s="9">
        <f>P33-P34</f>
        <v/>
      </c>
      <c r="Q35" s="9">
        <f>Q33-Q34</f>
        <v/>
      </c>
      <c r="R35" s="8" t="n"/>
      <c r="S35" s="8" t="n"/>
      <c r="T35" s="8" t="n"/>
      <c r="U35" s="8" t="n"/>
      <c r="V35" s="8" t="n"/>
      <c r="W35" s="8" t="n"/>
      <c r="X35" s="8" t="n"/>
      <c r="Y35" s="8" t="n"/>
      <c r="Z35" s="8" t="n"/>
      <c r="AA35" s="8" t="n"/>
      <c r="AB35" s="8" t="n"/>
      <c r="AC35" s="8" t="n"/>
      <c r="AD35" s="8" t="n"/>
      <c r="AE35" s="8" t="n"/>
      <c r="AF35" s="8" t="n"/>
      <c r="AG35" s="8" t="n"/>
      <c r="AH35" s="8" t="n"/>
      <c r="AI35" s="8" t="n"/>
      <c r="AJ35" s="8" t="n"/>
      <c r="AK35" s="8" t="n"/>
    </row>
    <row r="36"/>
    <row r="37">
      <c r="A37" s="6" t="n"/>
      <c r="B37" s="6" t="n"/>
      <c r="C37" s="6" t="n"/>
      <c r="D37" s="6" t="n"/>
      <c r="E37" s="6" t="n"/>
      <c r="F37" s="6" t="n"/>
      <c r="G37" s="6" t="n"/>
      <c r="H37" s="6" t="n"/>
      <c r="I37" s="6" t="n"/>
      <c r="J37" s="6" t="inlineStr">
        <is>
          <t>TOTAL INTERNAL FREIGHT</t>
        </is>
      </c>
      <c r="K37" s="6" t="n"/>
      <c r="L37" s="6" t="n"/>
      <c r="M37" s="6" t="n"/>
      <c r="N37" s="6" t="n"/>
      <c r="O37" s="6" t="n"/>
      <c r="P37" s="7" t="n">
        <v>0</v>
      </c>
      <c r="Q37" s="7" t="n"/>
      <c r="R37" s="6" t="n"/>
      <c r="S37" s="6" t="n"/>
      <c r="T37" s="6" t="n"/>
      <c r="U37" s="6" t="n"/>
      <c r="V37" s="6" t="n"/>
      <c r="W37" s="6" t="n"/>
      <c r="X37" s="6" t="n"/>
      <c r="Y37" s="6" t="n"/>
      <c r="Z37" s="6" t="n"/>
      <c r="AA37" s="6" t="n"/>
      <c r="AB37" s="6" t="n"/>
      <c r="AC37" s="6" t="n"/>
      <c r="AD37" s="6" t="n"/>
      <c r="AE37" s="6" t="n"/>
      <c r="AF37" s="6" t="n"/>
      <c r="AG37" s="6" t="n"/>
      <c r="AH37" s="6" t="n"/>
      <c r="AI37" s="6" t="n"/>
      <c r="AJ37" s="6" t="n"/>
      <c r="AK37" s="6" t="n"/>
    </row>
    <row r="38">
      <c r="A38" s="6" t="n"/>
      <c r="B38" s="6" t="n"/>
      <c r="C38" s="6" t="n"/>
      <c r="D38" s="6" t="n"/>
      <c r="E38" s="6" t="n"/>
      <c r="F38" s="6" t="n"/>
      <c r="G38" s="6" t="n"/>
      <c r="H38" s="6" t="n"/>
      <c r="I38" s="6" t="n"/>
      <c r="J38" s="6" t="inlineStr">
        <is>
          <t>TOTAL INSURANCE</t>
        </is>
      </c>
      <c r="K38" s="6" t="n"/>
      <c r="L38" s="6" t="n"/>
      <c r="M38" s="6" t="n"/>
      <c r="N38" s="6" t="n"/>
      <c r="O38" s="6" t="n"/>
      <c r="P38" s="7" t="n">
        <v>0</v>
      </c>
      <c r="Q38" s="7" t="n"/>
      <c r="R38" s="6" t="n"/>
      <c r="S38" s="6" t="n"/>
      <c r="T38" s="6" t="n"/>
      <c r="U38" s="6" t="n"/>
      <c r="V38" s="6" t="n"/>
      <c r="W38" s="6" t="n"/>
      <c r="X38" s="6" t="n"/>
      <c r="Y38" s="6" t="n"/>
      <c r="Z38" s="6" t="n"/>
      <c r="AA38" s="6" t="n"/>
      <c r="AB38" s="6" t="n"/>
      <c r="AC38" s="6" t="n"/>
      <c r="AD38" s="6" t="n"/>
      <c r="AE38" s="6" t="n"/>
      <c r="AF38" s="6" t="n"/>
      <c r="AG38" s="6" t="n"/>
      <c r="AH38" s="6" t="n"/>
      <c r="AI38" s="6" t="n"/>
      <c r="AJ38" s="6" t="n"/>
      <c r="AK38" s="6" t="n"/>
    </row>
    <row r="39">
      <c r="A39" s="6" t="n"/>
      <c r="B39" s="6" t="n"/>
      <c r="C39" s="6" t="n"/>
      <c r="D39" s="6" t="n"/>
      <c r="E39" s="6" t="n"/>
      <c r="F39" s="6" t="n"/>
      <c r="G39" s="6" t="n"/>
      <c r="H39" s="6" t="n"/>
      <c r="I39" s="6" t="n"/>
      <c r="J39" s="6" t="inlineStr">
        <is>
          <t>TOTAL OTHER COST</t>
        </is>
      </c>
      <c r="K39" s="6" t="n"/>
      <c r="L39" s="6" t="n"/>
      <c r="M39" s="6" t="n"/>
      <c r="N39" s="6" t="n"/>
      <c r="O39" s="6" t="n"/>
      <c r="P39" s="7" t="n">
        <v>0</v>
      </c>
      <c r="Q39" s="7" t="n"/>
      <c r="R39" s="6" t="n"/>
      <c r="S39" s="6" t="n"/>
      <c r="T39" s="6" t="n"/>
      <c r="U39" s="6" t="n"/>
      <c r="V39" s="6" t="n"/>
      <c r="W39" s="6" t="n"/>
      <c r="X39" s="6" t="n"/>
      <c r="Y39" s="6" t="n"/>
      <c r="Z39" s="6" t="n"/>
      <c r="AA39" s="6" t="n"/>
      <c r="AB39" s="6" t="n"/>
      <c r="AC39" s="6" t="n"/>
      <c r="AD39" s="6" t="n"/>
      <c r="AE39" s="6" t="n"/>
      <c r="AF39" s="6" t="n"/>
      <c r="AG39" s="6" t="n"/>
      <c r="AH39" s="6" t="n"/>
      <c r="AI39" s="6" t="n"/>
      <c r="AJ39" s="6" t="n"/>
      <c r="AK39" s="6" t="n"/>
    </row>
    <row r="40">
      <c r="A40" s="6" t="n"/>
      <c r="B40" s="6" t="n"/>
      <c r="C40" s="6" t="n"/>
      <c r="D40" s="6" t="n"/>
      <c r="E40" s="6" t="n"/>
      <c r="F40" s="6" t="n"/>
      <c r="G40" s="6" t="n"/>
      <c r="H40" s="6" t="n"/>
      <c r="I40" s="6" t="n"/>
      <c r="J40" s="6" t="inlineStr">
        <is>
          <t>TOTAL DEDUCTION</t>
        </is>
      </c>
      <c r="K40" s="6" t="n"/>
      <c r="L40" s="6" t="n"/>
      <c r="M40" s="6" t="n"/>
      <c r="N40" s="6" t="n"/>
      <c r="O40" s="6" t="n"/>
      <c r="P40" s="7" t="n">
        <v>0</v>
      </c>
      <c r="Q40" s="7" t="n"/>
      <c r="R40" s="6" t="n"/>
      <c r="S40" s="6" t="n"/>
      <c r="T40" s="6" t="n"/>
      <c r="U40" s="6" t="n"/>
      <c r="V40" s="6" t="n"/>
      <c r="W40" s="6" t="n"/>
      <c r="X40" s="6" t="n"/>
      <c r="Y40" s="6" t="n"/>
      <c r="Z40" s="6" t="n"/>
      <c r="AA40" s="6" t="n"/>
      <c r="AB40" s="6" t="n"/>
      <c r="AC40" s="6" t="n"/>
      <c r="AD40" s="6" t="n"/>
      <c r="AE40" s="6" t="n"/>
      <c r="AF40" s="6" t="n"/>
      <c r="AG40" s="6" t="n"/>
      <c r="AH40" s="6" t="n"/>
      <c r="AI40" s="6" t="n"/>
      <c r="AJ40" s="6" t="n"/>
      <c r="AK40" s="6" t="n"/>
    </row>
    <row r="41">
      <c r="A41" s="6" t="n"/>
      <c r="B41" s="6" t="n"/>
      <c r="C41" s="6" t="n"/>
      <c r="D41" s="6" t="n"/>
      <c r="E41" s="6" t="n"/>
      <c r="F41" s="6" t="n"/>
      <c r="G41" s="6" t="n"/>
      <c r="H41" s="6" t="n"/>
      <c r="I41" s="6" t="n"/>
      <c r="J41" s="6" t="inlineStr">
        <is>
          <t>ADJUSTMENTS</t>
        </is>
      </c>
      <c r="K41" s="6" t="n"/>
      <c r="L41" s="6" t="n"/>
      <c r="M41" s="6" t="n"/>
      <c r="N41" s="6" t="n"/>
      <c r="O41" s="6" t="n"/>
      <c r="P41" s="7">
        <f>(T29+U29+V29-W29)</f>
        <v/>
      </c>
      <c r="Q41" s="7">
        <f>(T29+U29+V29-W29)</f>
        <v/>
      </c>
      <c r="R41" s="6" t="n"/>
      <c r="S41" s="6" t="n"/>
      <c r="T41" s="6" t="n"/>
      <c r="U41" s="6" t="n"/>
      <c r="V41" s="6" t="n"/>
      <c r="W41" s="6" t="n"/>
      <c r="X41" s="6" t="n"/>
      <c r="Y41" s="6" t="n"/>
      <c r="Z41" s="6" t="n"/>
      <c r="AA41" s="6" t="n"/>
      <c r="AB41" s="6" t="n"/>
      <c r="AC41" s="6" t="n"/>
      <c r="AD41" s="6" t="n"/>
      <c r="AE41" s="6" t="n"/>
      <c r="AF41" s="6" t="n"/>
      <c r="AG41" s="6" t="n"/>
      <c r="AH41" s="6" t="n"/>
      <c r="AI41" s="6" t="n"/>
      <c r="AJ41" s="6" t="n"/>
      <c r="AK41" s="6" t="n"/>
    </row>
    <row r="42"/>
    <row r="43">
      <c r="A43" s="6" t="n"/>
      <c r="B43" s="6" t="n"/>
      <c r="C43" s="6" t="n"/>
      <c r="D43" s="6" t="n"/>
      <c r="E43" s="6" t="n"/>
      <c r="F43" s="6" t="n"/>
      <c r="G43" s="6" t="n"/>
      <c r="H43" s="6" t="n"/>
      <c r="I43" s="6" t="n"/>
      <c r="J43" s="6" t="inlineStr">
        <is>
          <t>NET TOTAL</t>
        </is>
      </c>
      <c r="K43" s="6" t="n"/>
      <c r="L43" s="6" t="n"/>
      <c r="M43" s="6" t="n"/>
      <c r="N43" s="6" t="n"/>
      <c r="O43" s="6" t="n"/>
      <c r="P43" s="7">
        <f>P33+P41</f>
        <v/>
      </c>
      <c r="Q43" s="7">
        <f>Q33+Q41</f>
        <v/>
      </c>
      <c r="R43" s="6" t="n"/>
      <c r="S43" s="6" t="n"/>
      <c r="T43" s="6" t="n"/>
      <c r="U43" s="6" t="n"/>
      <c r="V43" s="6" t="n"/>
      <c r="W43" s="6" t="n"/>
      <c r="X43" s="6" t="n"/>
      <c r="Y43" s="6" t="n"/>
      <c r="Z43" s="6" t="n"/>
      <c r="AA43" s="6" t="n"/>
      <c r="AB43" s="6" t="n"/>
      <c r="AC43" s="6" t="n"/>
      <c r="AD43" s="6" t="n"/>
      <c r="AE43" s="6" t="n"/>
      <c r="AF43" s="6" t="n"/>
      <c r="AG43" s="6" t="n"/>
      <c r="AH43" s="6" t="n"/>
      <c r="AI43" s="6" t="n"/>
      <c r="AJ43" s="6" t="n"/>
      <c r="AK43" s="6" t="n"/>
    </row>
    <row r="44">
      <c r="A44" s="6" t="n"/>
      <c r="B44" s="6" t="n"/>
      <c r="C44" s="6" t="n"/>
      <c r="D44" s="6" t="n"/>
      <c r="E44" s="6" t="n"/>
      <c r="F44" s="6" t="n"/>
      <c r="G44" s="6" t="n"/>
      <c r="H44" s="6" t="n"/>
      <c r="I44" s="6" t="n"/>
      <c r="J44" s="6" t="inlineStr">
        <is>
          <t>INVOICE TOTAL</t>
        </is>
      </c>
      <c r="K44" s="6" t="n"/>
      <c r="L44" s="6" t="n"/>
      <c r="M44" s="6" t="n"/>
      <c r="N44" s="6" t="n"/>
      <c r="O44" s="6" t="n"/>
      <c r="P44" s="7">
        <f>S29</f>
        <v/>
      </c>
      <c r="Q44" s="7" t="n"/>
      <c r="R44" s="6" t="n"/>
      <c r="S44" s="6" t="n"/>
      <c r="T44" s="6" t="n"/>
      <c r="U44" s="6" t="n"/>
      <c r="V44" s="6" t="n"/>
      <c r="W44" s="6" t="n"/>
      <c r="X44" s="6" t="n"/>
      <c r="Y44" s="6" t="n"/>
      <c r="Z44" s="6" t="n"/>
      <c r="AA44" s="6" t="n"/>
      <c r="AB44" s="6" t="n"/>
      <c r="AC44" s="6" t="n"/>
      <c r="AD44" s="6" t="n"/>
      <c r="AE44" s="6" t="n"/>
      <c r="AF44" s="6" t="n"/>
      <c r="AG44" s="6" t="n"/>
      <c r="AH44" s="6" t="n"/>
      <c r="AI44" s="6" t="n"/>
      <c r="AJ44" s="6" t="n"/>
      <c r="AK44" s="6" t="n"/>
    </row>
    <row r="45"/>
    <row r="46">
      <c r="A46" s="10" t="n"/>
      <c r="B46" s="10" t="n"/>
      <c r="C46" s="10" t="n"/>
      <c r="D46" s="10" t="n"/>
      <c r="E46" s="10" t="n"/>
      <c r="F46" s="10" t="n"/>
      <c r="G46" s="10" t="n"/>
      <c r="H46" s="10" t="n"/>
      <c r="I46" s="10" t="n"/>
      <c r="J46" s="10" t="inlineStr">
        <is>
          <t>VARIANCE CHECK</t>
        </is>
      </c>
      <c r="K46" s="10" t="n"/>
      <c r="L46" s="10" t="n"/>
      <c r="M46" s="10" t="n"/>
      <c r="N46" s="10" t="n"/>
      <c r="O46" s="10" t="n"/>
      <c r="P46" s="11">
        <f>S29-P43</f>
        <v/>
      </c>
      <c r="Q46" s="11">
        <f>S29-Q43</f>
        <v/>
      </c>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row>
    <row r="47"/>
    <row r="48">
      <c r="A48" s="12" t="n"/>
      <c r="B48" s="12" t="n"/>
      <c r="C48" s="12" t="n"/>
      <c r="D48" s="12" t="n"/>
      <c r="E48" s="12" t="n"/>
      <c r="F48" s="12" t="n"/>
      <c r="G48" s="12" t="n"/>
      <c r="H48" s="12" t="n"/>
      <c r="I48" s="12" t="n"/>
      <c r="J48" s="12" t="inlineStr">
        <is>
          <t>DUTY ESTIMATION (Classification Cross-Check)</t>
        </is>
      </c>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row>
    <row r="49">
      <c r="A49" s="13" t="n"/>
      <c r="B49" s="13" t="n"/>
      <c r="C49" s="13" t="n"/>
      <c r="D49" s="13" t="n"/>
      <c r="E49" s="13" t="n"/>
      <c r="F49" s="13" t="n"/>
      <c r="G49" s="13" t="n"/>
      <c r="H49" s="13" t="n"/>
      <c r="I49" s="13" t="n"/>
      <c r="J49" s="14" t="inlineStr">
        <is>
          <t>CIF (USD) = InvTotal + Freight + Insurance</t>
        </is>
      </c>
      <c r="K49" s="13" t="n"/>
      <c r="L49" s="13" t="n"/>
      <c r="M49" s="13" t="n"/>
      <c r="N49" s="13" t="n"/>
      <c r="O49" s="13" t="n"/>
      <c r="P49" s="15" t="n">
        <v>140.56</v>
      </c>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row>
    <row r="50">
      <c r="A50" s="13" t="n"/>
      <c r="B50" s="13" t="n"/>
      <c r="C50" s="13" t="n"/>
      <c r="D50" s="13" t="n"/>
      <c r="E50" s="13" t="n"/>
      <c r="F50" s="13" t="n"/>
      <c r="G50" s="13" t="n"/>
      <c r="H50" s="13" t="n"/>
      <c r="I50" s="13" t="n"/>
      <c r="J50" s="14" t="inlineStr">
        <is>
          <t>CIF (XCD) = CIF × 2.7169</t>
        </is>
      </c>
      <c r="K50" s="13" t="n"/>
      <c r="L50" s="13" t="n"/>
      <c r="M50" s="13" t="n"/>
      <c r="N50" s="13" t="n"/>
      <c r="O50" s="13" t="n"/>
      <c r="P50" s="15" t="n">
        <v>381.89</v>
      </c>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row>
    <row r="51">
      <c r="A51" s="13" t="n"/>
      <c r="B51" s="13" t="n"/>
      <c r="C51" s="13" t="n"/>
      <c r="D51" s="13" t="n"/>
      <c r="E51" s="13" t="n"/>
      <c r="F51" s="13" t="n"/>
      <c r="G51" s="13" t="n"/>
      <c r="H51" s="13" t="n"/>
      <c r="I51" s="13" t="n"/>
      <c r="J51" s="14" t="inlineStr">
        <is>
          <t>CET (20%) — Tariff 61046300</t>
        </is>
      </c>
      <c r="K51" s="13" t="n"/>
      <c r="L51" s="13" t="n"/>
      <c r="M51" s="13" t="n"/>
      <c r="N51" s="13" t="n"/>
      <c r="O51" s="13" t="n"/>
      <c r="P51" s="15" t="n">
        <v>76.38</v>
      </c>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row>
    <row r="52">
      <c r="A52" s="13" t="n"/>
      <c r="B52" s="13" t="n"/>
      <c r="C52" s="13" t="n"/>
      <c r="D52" s="13" t="n"/>
      <c r="E52" s="13" t="n"/>
      <c r="F52" s="13" t="n"/>
      <c r="G52" s="13" t="n"/>
      <c r="H52" s="13" t="n"/>
      <c r="I52" s="13" t="n"/>
      <c r="J52" s="14" t="inlineStr">
        <is>
          <t>CSC (6%)</t>
        </is>
      </c>
      <c r="K52" s="13" t="n"/>
      <c r="L52" s="13" t="n"/>
      <c r="M52" s="13" t="n"/>
      <c r="N52" s="13" t="n"/>
      <c r="O52" s="13" t="n"/>
      <c r="P52" s="15" t="n">
        <v>22.91</v>
      </c>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row>
    <row r="53">
      <c r="A53" s="13" t="n"/>
      <c r="B53" s="13" t="n"/>
      <c r="C53" s="13" t="n"/>
      <c r="D53" s="13" t="n"/>
      <c r="E53" s="13" t="n"/>
      <c r="F53" s="13" t="n"/>
      <c r="G53" s="13" t="n"/>
      <c r="H53" s="13" t="n"/>
      <c r="I53" s="13" t="n"/>
      <c r="J53" s="14" t="inlineStr">
        <is>
          <t>VAT (15%) on CIF+CET+CSC</t>
        </is>
      </c>
      <c r="K53" s="13" t="n"/>
      <c r="L53" s="13" t="n"/>
      <c r="M53" s="13" t="n"/>
      <c r="N53" s="13" t="n"/>
      <c r="O53" s="13" t="n"/>
      <c r="P53" s="15" t="n">
        <v>72.18000000000001</v>
      </c>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row>
    <row r="54">
      <c r="A54" s="16" t="n"/>
      <c r="B54" s="16" t="n"/>
      <c r="C54" s="16" t="n"/>
      <c r="D54" s="16" t="n"/>
      <c r="E54" s="16" t="n"/>
      <c r="F54" s="16" t="n"/>
      <c r="G54" s="16" t="n"/>
      <c r="H54" s="16" t="n"/>
      <c r="I54" s="16" t="n"/>
      <c r="J54" s="12" t="inlineStr">
        <is>
          <t>ESTIMATED TOTAL DUTIES</t>
        </is>
      </c>
      <c r="K54" s="16" t="n"/>
      <c r="L54" s="16" t="n"/>
      <c r="M54" s="16" t="n"/>
      <c r="N54" s="16" t="n"/>
      <c r="O54" s="16" t="n"/>
      <c r="P54" s="17" t="n">
        <v>171.47</v>
      </c>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row>
    <row r="55">
      <c r="A55" s="13" t="n"/>
      <c r="B55" s="13" t="n"/>
      <c r="C55" s="13" t="n"/>
      <c r="D55" s="13" t="n"/>
      <c r="E55" s="13" t="n"/>
      <c r="F55" s="13" t="n"/>
      <c r="G55" s="13" t="n"/>
      <c r="H55" s="13" t="n"/>
      <c r="I55" s="13" t="n"/>
      <c r="J55" s="14" t="inlineStr">
        <is>
          <t>Effective Duty Rate</t>
        </is>
      </c>
      <c r="K55" s="13" t="n"/>
      <c r="L55" s="13" t="n"/>
      <c r="M55" s="13" t="n"/>
      <c r="N55" s="13" t="n"/>
      <c r="O55" s="13" t="n"/>
      <c r="P55" s="18" t="n">
        <v>0.449003639791563</v>
      </c>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row>
    <row r="56"/>
    <row r="57">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c r="AA57" s="20" t="n"/>
      <c r="AB57" s="20" t="n"/>
      <c r="AC57" s="20" t="n"/>
      <c r="AD57" s="20" t="n"/>
      <c r="AE57" s="20" t="n"/>
      <c r="AF57" s="20" t="n"/>
      <c r="AG57" s="20" t="n"/>
      <c r="AH57" s="20" t="n"/>
      <c r="AI57" s="20" t="n"/>
      <c r="AJ57" s="20" t="n"/>
      <c r="AK57" s="20" t="n"/>
    </row>
    <row r="58">
      <c r="A58" s="20" t="n"/>
      <c r="B58" s="20" t="n"/>
      <c r="C58" s="20" t="n"/>
      <c r="D58" s="20" t="n"/>
      <c r="E58" s="20" t="n"/>
      <c r="F58" s="20" t="n"/>
      <c r="G58" s="20" t="n"/>
      <c r="H58" s="20" t="n"/>
      <c r="I58" s="20" t="n"/>
      <c r="J58" s="20" t="n"/>
      <c r="K58" s="20" t="n"/>
      <c r="L58" s="21" t="inlineStr">
        <is>
          <t>═══ COMBINED GRAND SUMMARY ═══</t>
        </is>
      </c>
      <c r="M58" s="20" t="n"/>
      <c r="N58" s="20" t="n"/>
      <c r="O58" s="20" t="n"/>
      <c r="P58" s="20" t="n"/>
      <c r="Q58" s="20" t="n"/>
      <c r="R58" s="20" t="n"/>
      <c r="S58" s="20" t="n"/>
      <c r="T58" s="20" t="n"/>
      <c r="U58" s="20" t="n"/>
      <c r="V58" s="20" t="n"/>
      <c r="W58" s="20" t="n"/>
      <c r="X58" s="20" t="n"/>
      <c r="Y58" s="20" t="n"/>
      <c r="Z58" s="20" t="n"/>
      <c r="AA58" s="20" t="n"/>
      <c r="AB58" s="20" t="n"/>
      <c r="AC58" s="20" t="n"/>
      <c r="AD58" s="20" t="n"/>
      <c r="AE58" s="20" t="n"/>
      <c r="AF58" s="20" t="n"/>
      <c r="AG58" s="20" t="n"/>
      <c r="AH58" s="20" t="n"/>
      <c r="AI58" s="20" t="n"/>
      <c r="AJ58" s="20" t="n"/>
      <c r="AK58" s="20" t="n"/>
    </row>
    <row r="59">
      <c r="L59" s="22" t="inlineStr">
        <is>
          <t>Invoice AU236542</t>
        </is>
      </c>
      <c r="P59" s="23" t="n">
        <v>1006.4</v>
      </c>
      <c r="Q59" s="24" t="n">
        <v>-865.84</v>
      </c>
    </row>
    <row r="60">
      <c r="L60" s="22" t="inlineStr">
        <is>
          <t>Invoice AU236542</t>
        </is>
      </c>
      <c r="P60" s="23" t="n">
        <v>1006.4</v>
      </c>
      <c r="Q60" s="24" t="n">
        <v>-865.84</v>
      </c>
    </row>
    <row r="61"/>
    <row r="62">
      <c r="L62" s="25" t="inlineStr">
        <is>
          <t>GRAND TOTAL</t>
        </is>
      </c>
      <c r="P62" s="26" t="n">
        <v>2012.8</v>
      </c>
    </row>
    <row r="63">
      <c r="L63" s="27" t="inlineStr">
        <is>
          <t>GRAND VARIANCE CHECK</t>
        </is>
      </c>
      <c r="P63" s="24" t="n">
        <v>-1731.68</v>
      </c>
    </row>
    <row r="64">
      <c r="L64" s="28" t="inlineStr">
        <is>
          <t>Combined 2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29" t="inlineStr">
        <is>
          <t>PDF File</t>
        </is>
      </c>
      <c r="B1" s="29" t="inlineStr">
        <is>
          <t>Quality Score</t>
        </is>
      </c>
      <c r="C1" s="29" t="inlineStr">
        <is>
          <t>Rating</t>
        </is>
      </c>
      <c r="D1" s="29" t="inlineStr">
        <is>
          <t>Details</t>
        </is>
      </c>
      <c r="E1" s="29" t="inlineStr">
        <is>
          <t>OCR Text (first 2000 chars)</t>
        </is>
      </c>
    </row>
    <row r="2">
      <c r="A2" s="30" t="inlineStr">
        <is>
          <t>AU236542.pdf</t>
        </is>
      </c>
      <c r="B2" s="30" t="inlineStr">
        <is>
          <t>90/100</t>
        </is>
      </c>
      <c r="C2" s="30" t="inlineStr">
        <is>
          <t>GOOD</t>
        </is>
      </c>
      <c r="D2" s="30" t="inlineStr">
        <is>
          <t>Text: 1058 chars; Prices: 11 ($-sign), 7 (decimal); Total: $140.56; Invoice#: AU236542; Real items: 2/2; Structure words: 9/12</t>
        </is>
      </c>
      <c r="E2" s="31" t="inlineStr">
        <is>
          <t>AUROLA Dream Leggings
Ultimate Grey / XL
Quantity : 1
$36.99
AUROLA Dream Leggings
Dark Black / XL
Quantity : 1
$36.99
Subtotal
$140.56
Shipping
$0.00
Tax
$0.00
Discount WELCOME
-$7.40
Total Due
$140.56 USD
you saved $7.40
Shipping Address
Naomi Coutain
10813, NW 30TH STREET
BLDG 115 GRE 4607
Miami FL 33172
United States
Billing Address
Naomi Coutain
10813, NW 30TH STREET
BLDG 115 GRE 4607
Miami FL 33172
United States
Shipping Method
Express(7-14 days)
Payment Method
VISA - xxxx - 3909 — $140.56
Get in Touch
From: AUROLA store+60461646017@t.shopifyemail.com
Subject: Order from AUROLA AU236542 confirmed
Date: 30 July 2024 at 11:27 PM
To: naomicoutaingnd@icloud.com
AUROLA
Help center
Purchase confirmation
Thanks for your purchase. Your order will be
shipped soon! You will get delivery notifications
once they are ready!
Get special goods and gifts only on our site.
GO TO SITE
or View your order
Order Code AU236542
Items Price
AUROLA Dream Leggings
Naval Academy / XL
Quantity : 1
$36.99
AUROLA Dream Leggings
Serenity Blue / XL
Quantity : 1
$36.99</t>
        </is>
      </c>
    </row>
    <row r="3">
      <c r="A3" s="30" t="inlineStr">
        <is>
          <t>HAWB9662044-Manifest_Invoice.pdf</t>
        </is>
      </c>
      <c r="B3" s="30" t="inlineStr">
        <is>
          <t>100/100</t>
        </is>
      </c>
      <c r="C3" s="30" t="inlineStr">
        <is>
          <t>GOOD</t>
        </is>
      </c>
      <c r="D3" s="30" t="inlineStr">
        <is>
          <t>Text: 1292 chars; Prices: 12 ($-sign), 8 (decimal); Total: $140.56; Invoice#: AU236542; Real items: 3/3; Structure words: 9/12</t>
        </is>
      </c>
      <c r="E3" s="31" t="inlineStr">
        <is>
          <t>AUROLA Dream Leggings
Ultimate Grey / XL
Quantity : 1
$36.99
AUROLA Dream Leggings
Dark Black / XL
Quantity : 1
$36.99
Subtotal
$140.56
Shipping
$0.00
Tax
$0.00
Discount WELCOME
-$7.40
Total Due
$140.56 USD
you saved $7.40
Shipping Address
Naomi Coutain
10813, NW 30TH STREET
BLDG 115 GRE 4607
Miami FL 33172
United States
Billing Address
Naomi Coutain
10813, NW 30TH STREET
BLDG 115 GRE 4607
Miami FL 33172
United States
Shipping Method
Express(7-14 days)
Payment Method
VISA - xxxx - 3909 — $140.56
Get in Touch
From: AUROLA store+60461646017 @t.shopifyemail.com
Subject: Order from AUROLA AU236542 confirmed
Date: 30 July 2024 at 11:27PM
To: naomicoutaingnd@icloud.com
AUROLA recone
Purchase confirmation = =
___ Thanks for your purchase. Your order willbe —
-_ shipped soon! You will get delivery notifications —_
pose). 8¥. omeeithey are ready) tae ee
is . tug peel special goods and gifts only on our site. ! RO 3
eee '  GOTOSITE ~—
pee ee Be ee ae : ees
- ne ad pes Fr a or View your order a 5 : bps 3
Order Code AU236542 Items Price
AUROLA Dream Leggings
Naval Academy / XL $36.99
Quantity : 1
ee AUROLA Dream Leggings
ee = Serenity Blue / XL $36.99
as ‘“ a Quantity : 1
AUROLA fb cont
once they are ready!
AUROLA tapes
AUROLA
Help center
Order Code AU236542
$36.99
Serenity Blue / XL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2026-04-26T18:13:26Z</dcterms:created>
  <dcterms:modified xmlns:dcterms="http://purl.org/dc/terms/" xmlns:xsi="http://www.w3.org/2001/XMLSchema-instance" xsi:type="dcterms:W3CDTF">2026-04-26T18:13:26Z</dcterms:modified>
</cp:coreProperties>
</file>