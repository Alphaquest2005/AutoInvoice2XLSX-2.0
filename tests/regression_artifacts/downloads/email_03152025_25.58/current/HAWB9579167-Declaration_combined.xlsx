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Invoices" sheetId="1" state="visible" r:id="rId1"/>
    <sheet name="OCR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&quot;$&quot;#,##0.00"/>
  </numFmts>
  <fonts count="1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FFFFFF"/>
      <sz val="12"/>
    </font>
    <font>
      <b val="1"/>
    </font>
    <font>
      <b val="1"/>
      <color rgb="00FF0000"/>
    </font>
    <font>
      <i val="1"/>
      <color rgb="00666666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0E0E0"/>
        <bgColor rgb="00E0E0E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0" fillId="6" borderId="0" pivotButton="0" quotePrefix="0" xfId="0"/>
    <xf numFmtId="0" fontId="0" fillId="2" borderId="0" pivotButton="0" quotePrefix="0" xfId="0"/>
    <xf numFmtId="0" fontId="9" fillId="2" borderId="0" pivotButton="0" quotePrefix="0" xfId="0"/>
    <xf numFmtId="0" fontId="10" fillId="0" borderId="0" pivotButton="0" quotePrefix="0" xfId="0"/>
    <xf numFmtId="166" fontId="0" fillId="0" borderId="0" pivotButton="0" quotePrefix="0" xfId="0"/>
    <xf numFmtId="166" fontId="1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vertical="top" wrapText="1"/>
    </xf>
    <xf numFmtId="0" fontId="0" fillId="8" borderId="0" pivotButton="0" quotePrefix="0" xfId="0"/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n"/>
      <c r="C2" s="2" t="inlineStr">
        <is>
          <t>113-8373453-4570669</t>
        </is>
      </c>
      <c r="D2" s="2" t="n"/>
      <c r="E2" s="2" t="inlineStr">
        <is>
          <t>Unclassifiable / Non-physical item</t>
        </is>
      </c>
      <c r="F2" s="2" t="inlineStr">
        <is>
          <t>00000000</t>
        </is>
      </c>
      <c r="G2" s="2" t="n"/>
      <c r="H2" s="2" t="n"/>
      <c r="I2" s="2" t="inlineStr">
        <is>
          <t>00000000</t>
        </is>
      </c>
      <c r="J2" s="2" t="inlineStr">
        <is>
          <t>Timothy Walker/ Icon of the seas 2051 SE 35TH ST FORT LAUDERDALE, FL 33316-4019 United States Total before tax: (+2 more) (3 items)</t>
        </is>
      </c>
      <c r="K2" s="2" t="n">
        <v>3</v>
      </c>
      <c r="L2" s="2" t="n"/>
      <c r="M2" s="2" t="n"/>
      <c r="N2" s="2" t="inlineStr">
        <is>
          <t>USD</t>
        </is>
      </c>
      <c r="O2" s="3" t="n">
        <v>17.05333333333333</v>
      </c>
      <c r="P2" s="3" t="n">
        <v>51.16</v>
      </c>
      <c r="Q2" s="3">
        <f>O2*K2</f>
        <v/>
      </c>
      <c r="R2" s="3">
        <f>P2-Q2</f>
        <v/>
      </c>
      <c r="S2" s="3" t="n">
        <v>51.16</v>
      </c>
      <c r="T2" s="3" t="n">
        <v>0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TEMU</t>
        </is>
      </c>
      <c r="AA2" s="2" t="inlineStr">
        <is>
          <t>TEMU</t>
        </is>
      </c>
      <c r="AB2" s="2" t="inlineStr">
        <is>
          <t>31 St. James Avenue, Suite 355, Boston, MA 02116</t>
        </is>
      </c>
      <c r="AC2" s="2" t="inlineStr">
        <is>
          <t>CN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00000000</t>
        </is>
      </c>
    </row>
    <row r="3">
      <c r="A3" s="4" t="n"/>
      <c r="B3" s="4" t="n"/>
      <c r="C3" s="4" t="n"/>
      <c r="D3" s="4" t="n"/>
      <c r="E3" s="4" t="n"/>
      <c r="F3" s="4" t="inlineStr">
        <is>
          <t>00000000</t>
        </is>
      </c>
      <c r="G3" s="4" t="n"/>
      <c r="H3" s="4" t="n"/>
      <c r="I3" s="4" t="inlineStr">
        <is>
          <t>TEMU-1</t>
        </is>
      </c>
      <c r="J3" s="4" t="inlineStr">
        <is>
          <t>Timothy Walker/ Icon of the seas 2051 SE 35TH ST FORT LAUDERDALE, FL 33316-4019 United States Total before tax:</t>
        </is>
      </c>
      <c r="K3" s="4" t="n">
        <v>1</v>
      </c>
      <c r="L3" s="4" t="n"/>
      <c r="M3" s="4" t="n"/>
      <c r="N3" s="4" t="inlineStr">
        <is>
          <t>USD</t>
        </is>
      </c>
      <c r="O3" s="5" t="n">
        <v>25.58</v>
      </c>
      <c r="P3" s="5" t="n">
        <v>25.58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00000000</t>
        </is>
      </c>
      <c r="G4" s="4" t="n"/>
      <c r="H4" s="4" t="n"/>
      <c r="I4" s="4" t="inlineStr">
        <is>
          <t>TEMU-2</t>
        </is>
      </c>
      <c r="J4" s="4" t="inlineStr">
        <is>
          <t>Estimated tax to be collected:</t>
        </is>
      </c>
      <c r="K4" s="4" t="n">
        <v>1</v>
      </c>
      <c r="L4" s="4" t="n"/>
      <c r="M4" s="4" t="n"/>
      <c r="N4" s="4" t="inlineStr">
        <is>
          <t>USD</t>
        </is>
      </c>
      <c r="O4" s="5" t="n">
        <v>0</v>
      </c>
      <c r="P4" s="5" t="n">
        <v>0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inlineStr">
        <is>
          <t>00000000</t>
        </is>
      </c>
      <c r="G5" s="4" t="n"/>
      <c r="H5" s="4" t="n"/>
      <c r="I5" s="4" t="inlineStr">
        <is>
          <t>TEMU-3</t>
        </is>
      </c>
      <c r="J5" s="4" t="inlineStr">
        <is>
          <t>Grand Total:</t>
        </is>
      </c>
      <c r="K5" s="4" t="n">
        <v>1</v>
      </c>
      <c r="L5" s="4" t="n"/>
      <c r="M5" s="4" t="n"/>
      <c r="N5" s="4" t="inlineStr">
        <is>
          <t>USD</t>
        </is>
      </c>
      <c r="O5" s="5" t="n">
        <v>25.58</v>
      </c>
      <c r="P5" s="5" t="n">
        <v>25.58</v>
      </c>
      <c r="Q5" s="5">
        <f>O5*K5</f>
        <v/>
      </c>
      <c r="R5" s="5">
        <f>P5-Q5</f>
        <v/>
      </c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(GROUPED)</t>
        </is>
      </c>
      <c r="K6" s="6" t="n"/>
      <c r="L6" s="6" t="n"/>
      <c r="M6" s="6" t="n"/>
      <c r="N6" s="6" t="n"/>
      <c r="O6" s="6" t="n"/>
      <c r="P6" s="7">
        <f>P2</f>
        <v/>
      </c>
      <c r="Q6" s="7">
        <f>Q2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inlineStr">
        <is>
          <t>SUBTOTAL (DETAILS)</t>
        </is>
      </c>
      <c r="K7" s="6" t="n"/>
      <c r="L7" s="6" t="n"/>
      <c r="M7" s="6" t="n"/>
      <c r="N7" s="6" t="n"/>
      <c r="O7" s="6" t="n"/>
      <c r="P7" s="7">
        <f>SUM(P2:P5)-P6</f>
        <v/>
      </c>
      <c r="Q7" s="7">
        <f>SUM(Q2:Q5)-Q6</f>
        <v/>
      </c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GROUP VERIFICATION</t>
        </is>
      </c>
      <c r="K8" s="8" t="n"/>
      <c r="L8" s="8" t="n"/>
      <c r="M8" s="8" t="n"/>
      <c r="N8" s="8" t="n"/>
      <c r="O8" s="8" t="n"/>
      <c r="P8" s="9">
        <f>P6-P7</f>
        <v/>
      </c>
      <c r="Q8" s="9">
        <f>Q6-Q7</f>
        <v/>
      </c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</row>
    <row r="9"/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INTERNAL FREIGHT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INSURANCE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OTHER COST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TOTAL DEDUCTION</t>
        </is>
      </c>
      <c r="K13" s="6" t="n"/>
      <c r="L13" s="6" t="n"/>
      <c r="M13" s="6" t="n"/>
      <c r="N13" s="6" t="n"/>
      <c r="O13" s="6" t="n"/>
      <c r="P13" s="7" t="n">
        <v>0</v>
      </c>
      <c r="Q13" s="7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ADJUSTMENTS</t>
        </is>
      </c>
      <c r="K14" s="6" t="n"/>
      <c r="L14" s="6" t="n"/>
      <c r="M14" s="6" t="n"/>
      <c r="N14" s="6" t="n"/>
      <c r="O14" s="6" t="n"/>
      <c r="P14" s="7">
        <f>(T2+U2+V2-W2)</f>
        <v/>
      </c>
      <c r="Q14" s="7">
        <f>(T2+U2+V2-W2)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NET TOTAL</t>
        </is>
      </c>
      <c r="K16" s="6" t="n"/>
      <c r="L16" s="6" t="n"/>
      <c r="M16" s="6" t="n"/>
      <c r="N16" s="6" t="n"/>
      <c r="O16" s="6" t="n"/>
      <c r="P16" s="7">
        <f>P6+P14</f>
        <v/>
      </c>
      <c r="Q16" s="7">
        <f>Q6+Q14</f>
        <v/>
      </c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INVOICE TOTAL</t>
        </is>
      </c>
      <c r="K17" s="6" t="n"/>
      <c r="L17" s="6" t="n"/>
      <c r="M17" s="6" t="n"/>
      <c r="N17" s="6" t="n"/>
      <c r="O17" s="6" t="n"/>
      <c r="P17" s="7">
        <f>S2</f>
        <v/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/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inlineStr">
        <is>
          <t>VARIANCE CHECK</t>
        </is>
      </c>
      <c r="K19" s="10" t="n"/>
      <c r="L19" s="10" t="n"/>
      <c r="M19" s="10" t="n"/>
      <c r="N19" s="10" t="n"/>
      <c r="O19" s="10" t="n"/>
      <c r="P19" s="11">
        <f>S2-P16</f>
        <v/>
      </c>
      <c r="Q19" s="11">
        <f>S2-Q16</f>
        <v/>
      </c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</row>
    <row r="20"/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3" t="inlineStr">
        <is>
          <t>INVOICE NOTES: Invoice total uncertain</t>
        </is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</row>
    <row r="22"/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inlineStr">
        <is>
          <t>DUTY ESTIMATION (Classification Cross-Check)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6" t="inlineStr">
        <is>
          <t>CIF (USD) = InvTotal + Freight + Insurance</t>
        </is>
      </c>
      <c r="K24" s="15" t="n"/>
      <c r="L24" s="15" t="n"/>
      <c r="M24" s="15" t="n"/>
      <c r="N24" s="15" t="n"/>
      <c r="O24" s="15" t="n"/>
      <c r="P24" s="17" t="n">
        <v>51.16</v>
      </c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6" t="inlineStr">
        <is>
          <t>CIF (XCD) = CIF × 2.7169</t>
        </is>
      </c>
      <c r="K25" s="15" t="n"/>
      <c r="L25" s="15" t="n"/>
      <c r="M25" s="15" t="n"/>
      <c r="N25" s="15" t="n"/>
      <c r="O25" s="15" t="n"/>
      <c r="P25" s="17" t="n">
        <v>139</v>
      </c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6" t="inlineStr">
        <is>
          <t>CET (20%) — Tariff 00000000</t>
        </is>
      </c>
      <c r="K26" s="15" t="n"/>
      <c r="L26" s="15" t="n"/>
      <c r="M26" s="15" t="n"/>
      <c r="N26" s="15" t="n"/>
      <c r="O26" s="15" t="n"/>
      <c r="P26" s="17" t="n">
        <v>27.8</v>
      </c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6" t="inlineStr">
        <is>
          <t>CSC (6%)</t>
        </is>
      </c>
      <c r="K27" s="15" t="n"/>
      <c r="L27" s="15" t="n"/>
      <c r="M27" s="15" t="n"/>
      <c r="N27" s="15" t="n"/>
      <c r="O27" s="15" t="n"/>
      <c r="P27" s="17" t="n">
        <v>8.34</v>
      </c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6" t="inlineStr">
        <is>
          <t>VAT (15%) on CIF+CET+CSC</t>
        </is>
      </c>
      <c r="K28" s="15" t="n"/>
      <c r="L28" s="15" t="n"/>
      <c r="M28" s="15" t="n"/>
      <c r="N28" s="15" t="n"/>
      <c r="O28" s="15" t="n"/>
      <c r="P28" s="17" t="n">
        <v>26.27</v>
      </c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4" t="inlineStr">
        <is>
          <t>ESTIMATED TOTAL DUTIES</t>
        </is>
      </c>
      <c r="K29" s="18" t="n"/>
      <c r="L29" s="18" t="n"/>
      <c r="M29" s="18" t="n"/>
      <c r="N29" s="18" t="n"/>
      <c r="O29" s="18" t="n"/>
      <c r="P29" s="19" t="n">
        <v>62.41</v>
      </c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Effective Duty Rate</t>
        </is>
      </c>
      <c r="K30" s="15" t="n"/>
      <c r="L30" s="15" t="n"/>
      <c r="M30" s="15" t="n"/>
      <c r="N30" s="15" t="n"/>
      <c r="O30" s="15" t="n"/>
      <c r="P30" s="20" t="n">
        <v>0.4489928057553957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2" t="inlineStr">
        <is>
          <t>4000-000</t>
        </is>
      </c>
      <c r="B32" s="2" t="n"/>
      <c r="C32" s="2" t="inlineStr">
        <is>
          <t>113-8373453-4570669</t>
        </is>
      </c>
      <c r="D32" s="2" t="n"/>
      <c r="E32" s="2" t="inlineStr">
        <is>
          <t>DIVING EQUIPMENT</t>
        </is>
      </c>
      <c r="F32" s="2" t="inlineStr">
        <is>
          <t>90041000</t>
        </is>
      </c>
      <c r="G32" s="2" t="n"/>
      <c r="H32" s="2" t="n"/>
      <c r="I32" s="2" t="inlineStr">
        <is>
          <t>90049000</t>
        </is>
      </c>
      <c r="J32" s="2" t="inlineStr">
        <is>
          <t>aisswzber Fashion Vintage Classic Semi - Rimless Half Frame Clear Lens Glasse... (1 items)</t>
        </is>
      </c>
      <c r="K32" s="2" t="n">
        <v>1</v>
      </c>
      <c r="L32" s="2" t="n"/>
      <c r="M32" s="2" t="n"/>
      <c r="N32" s="2" t="inlineStr">
        <is>
          <t>USD</t>
        </is>
      </c>
      <c r="O32" s="3" t="n">
        <v>9.59</v>
      </c>
      <c r="P32" s="3" t="n">
        <v>9.59</v>
      </c>
      <c r="Q32" s="3">
        <f>O32*K32</f>
        <v/>
      </c>
      <c r="R32" s="3">
        <f>P32-Q32</f>
        <v/>
      </c>
      <c r="S32" s="3" t="n">
        <v>25.58</v>
      </c>
      <c r="T32" s="3" t="n">
        <v>0</v>
      </c>
      <c r="U32" s="3" t="n">
        <v>0</v>
      </c>
      <c r="V32" s="3" t="n">
        <v>0</v>
      </c>
      <c r="W32" s="3" t="n">
        <v>0</v>
      </c>
      <c r="X32" s="2" t="n"/>
      <c r="Y32" s="2" t="n"/>
      <c r="Z32" s="2" t="inlineStr">
        <is>
          <t>AMAZON</t>
        </is>
      </c>
      <c r="AA32" s="2" t="inlineStr">
        <is>
          <t>Amazon.com</t>
        </is>
      </c>
      <c r="AB32" s="2" t="inlineStr">
        <is>
          <t>410 Terry Avenue North, Seattle, WA 98109</t>
        </is>
      </c>
      <c r="AC32" s="2" t="inlineStr">
        <is>
          <t>US</t>
        </is>
      </c>
      <c r="AD32" s="2" t="n"/>
      <c r="AE32" s="2" t="n"/>
      <c r="AF32" s="2" t="n"/>
      <c r="AG32" s="2" t="n"/>
      <c r="AH32" s="2" t="n"/>
      <c r="AI32" s="2" t="n"/>
      <c r="AJ32" s="2" t="n"/>
      <c r="AK32" s="2" t="inlineStr">
        <is>
          <t>90041000</t>
        </is>
      </c>
    </row>
    <row r="33">
      <c r="A33" s="4" t="n"/>
      <c r="B33" s="4" t="n"/>
      <c r="C33" s="4" t="n"/>
      <c r="D33" s="4" t="n"/>
      <c r="E33" s="4" t="n"/>
      <c r="F33" s="4" t="inlineStr">
        <is>
          <t>90041000</t>
        </is>
      </c>
      <c r="G33" s="4" t="n"/>
      <c r="H33" s="4" t="n"/>
      <c r="I33" s="4" t="inlineStr">
        <is>
          <t>AMZ-1</t>
        </is>
      </c>
      <c r="J33" s="4" t="inlineStr">
        <is>
          <t>aisswzber Fashion Vintage Classic Semi - Rimless Half Frame Clear Lens Glasse...</t>
        </is>
      </c>
      <c r="K33" s="4" t="n">
        <v>1</v>
      </c>
      <c r="L33" s="4" t="n"/>
      <c r="M33" s="4" t="n"/>
      <c r="N33" s="4" t="inlineStr">
        <is>
          <t>USD</t>
        </is>
      </c>
      <c r="O33" s="5" t="n">
        <v>9.59</v>
      </c>
      <c r="P33" s="5" t="n">
        <v>9.59</v>
      </c>
      <c r="Q33" s="5">
        <f>O33*K33</f>
        <v/>
      </c>
      <c r="R33" s="5">
        <f>P33-Q33</f>
        <v/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inlineStr">
        <is>
          <t>90041000</t>
        </is>
      </c>
    </row>
    <row r="34">
      <c r="A34" s="2" t="n"/>
      <c r="B34" s="2" t="n"/>
      <c r="C34" s="2" t="inlineStr">
        <is>
          <t>113-8373453-4570669</t>
        </is>
      </c>
      <c r="D34" s="2" t="n"/>
      <c r="E34" s="2" t="inlineStr">
        <is>
          <t>Headphones and earphones, whether or not combined with a microphone, and sets...</t>
        </is>
      </c>
      <c r="F34" s="2" t="inlineStr">
        <is>
          <t>85183000</t>
        </is>
      </c>
      <c r="G34" s="2" t="n"/>
      <c r="H34" s="2" t="n"/>
      <c r="I34" s="2" t="inlineStr">
        <is>
          <t>85183000</t>
        </is>
      </c>
      <c r="J34" s="2" t="inlineStr">
        <is>
          <t>Soundcore by Anker P 20 i True Wireless Earbuds , 10 mm Drivers with Big Bass... (1 items)</t>
        </is>
      </c>
      <c r="K34" s="2" t="n">
        <v>1</v>
      </c>
      <c r="L34" s="2" t="n"/>
      <c r="M34" s="2" t="n"/>
      <c r="N34" s="2" t="inlineStr">
        <is>
          <t>USD</t>
        </is>
      </c>
      <c r="O34" s="3" t="n">
        <v>15.99</v>
      </c>
      <c r="P34" s="3" t="n">
        <v>15.99</v>
      </c>
      <c r="Q34" s="3">
        <f>O34*K34</f>
        <v/>
      </c>
      <c r="R34" s="3">
        <f>P34-Q34</f>
        <v/>
      </c>
      <c r="S34" s="3" t="n"/>
      <c r="T34" s="3" t="n"/>
      <c r="U34" s="3" t="n"/>
      <c r="V34" s="3" t="n"/>
      <c r="W34" s="3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inlineStr">
        <is>
          <t>85183000</t>
        </is>
      </c>
    </row>
    <row r="35">
      <c r="A35" s="4" t="n"/>
      <c r="B35" s="4" t="n"/>
      <c r="C35" s="4" t="n"/>
      <c r="D35" s="4" t="n"/>
      <c r="E35" s="4" t="n"/>
      <c r="F35" s="4" t="inlineStr">
        <is>
          <t>85183000</t>
        </is>
      </c>
      <c r="G35" s="4" t="n"/>
      <c r="H35" s="4" t="n"/>
      <c r="I35" s="4" t="inlineStr">
        <is>
          <t>AMZ-2</t>
        </is>
      </c>
      <c r="J35" s="4" t="inlineStr">
        <is>
          <t>Soundcore by Anker P 20 i True Wireless Earbuds , 10 mm Drivers with Big Bass...</t>
        </is>
      </c>
      <c r="K35" s="4" t="n">
        <v>1</v>
      </c>
      <c r="L35" s="4" t="n"/>
      <c r="M35" s="4" t="n"/>
      <c r="N35" s="4" t="inlineStr">
        <is>
          <t>USD</t>
        </is>
      </c>
      <c r="O35" s="5" t="n">
        <v>15.99</v>
      </c>
      <c r="P35" s="5" t="n">
        <v>15.99</v>
      </c>
      <c r="Q35" s="5">
        <f>O35*K35</f>
        <v/>
      </c>
      <c r="R35" s="5">
        <f>P35-Q35</f>
        <v/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inlineStr">
        <is>
          <t>SUBTOTAL (GROUPED)</t>
        </is>
      </c>
      <c r="K36" s="6" t="n"/>
      <c r="L36" s="6" t="n"/>
      <c r="M36" s="6" t="n"/>
      <c r="N36" s="6" t="n"/>
      <c r="O36" s="6" t="n"/>
      <c r="P36" s="7">
        <f>P32+P34</f>
        <v/>
      </c>
      <c r="Q36" s="7">
        <f>Q32+Q34</f>
        <v/>
      </c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inlineStr">
        <is>
          <t>SUBTOTAL (DETAILS)</t>
        </is>
      </c>
      <c r="K37" s="6" t="n"/>
      <c r="L37" s="6" t="n"/>
      <c r="M37" s="6" t="n"/>
      <c r="N37" s="6" t="n"/>
      <c r="O37" s="6" t="n"/>
      <c r="P37" s="7">
        <f>SUM(P32:P35)-P36</f>
        <v/>
      </c>
      <c r="Q37" s="7">
        <f>SUM(Q32:Q35)-Q36</f>
        <v/>
      </c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inlineStr">
        <is>
          <t>GROUP VERIFICATION</t>
        </is>
      </c>
      <c r="K38" s="8" t="n"/>
      <c r="L38" s="8" t="n"/>
      <c r="M38" s="8" t="n"/>
      <c r="N38" s="8" t="n"/>
      <c r="O38" s="8" t="n"/>
      <c r="P38" s="9">
        <f>P36-P37</f>
        <v/>
      </c>
      <c r="Q38" s="9">
        <f>Q36-Q37</f>
        <v/>
      </c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</row>
    <row r="39"/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inlineStr">
        <is>
          <t>TOTAL INTERNAL FREIGHT</t>
        </is>
      </c>
      <c r="K40" s="6" t="n"/>
      <c r="L40" s="6" t="n"/>
      <c r="M40" s="6" t="n"/>
      <c r="N40" s="6" t="n"/>
      <c r="O40" s="6" t="n"/>
      <c r="P40" s="7" t="n">
        <v>0</v>
      </c>
      <c r="Q40" s="7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inlineStr">
        <is>
          <t>TOTAL INSURANCE</t>
        </is>
      </c>
      <c r="K41" s="6" t="n"/>
      <c r="L41" s="6" t="n"/>
      <c r="M41" s="6" t="n"/>
      <c r="N41" s="6" t="n"/>
      <c r="O41" s="6" t="n"/>
      <c r="P41" s="7" t="n">
        <v>0</v>
      </c>
      <c r="Q41" s="7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inlineStr">
        <is>
          <t>TOTAL OTHER COST</t>
        </is>
      </c>
      <c r="K42" s="6" t="n"/>
      <c r="L42" s="6" t="n"/>
      <c r="M42" s="6" t="n"/>
      <c r="N42" s="6" t="n"/>
      <c r="O42" s="6" t="n"/>
      <c r="P42" s="7" t="n">
        <v>0</v>
      </c>
      <c r="Q42" s="7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inlineStr">
        <is>
          <t>TOTAL DEDUCTION</t>
        </is>
      </c>
      <c r="K43" s="6" t="n"/>
      <c r="L43" s="6" t="n"/>
      <c r="M43" s="6" t="n"/>
      <c r="N43" s="6" t="n"/>
      <c r="O43" s="6" t="n"/>
      <c r="P43" s="7" t="n">
        <v>0</v>
      </c>
      <c r="Q43" s="7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inlineStr">
        <is>
          <t>ADJUSTMENTS</t>
        </is>
      </c>
      <c r="K44" s="6" t="n"/>
      <c r="L44" s="6" t="n"/>
      <c r="M44" s="6" t="n"/>
      <c r="N44" s="6" t="n"/>
      <c r="O44" s="6" t="n"/>
      <c r="P44" s="7">
        <f>(T32+U32+V32-W32)</f>
        <v/>
      </c>
      <c r="Q44" s="7">
        <f>(T32+U32+V32-W32)</f>
        <v/>
      </c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</row>
    <row r="45"/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inlineStr">
        <is>
          <t>NET TOTAL</t>
        </is>
      </c>
      <c r="K46" s="6" t="n"/>
      <c r="L46" s="6" t="n"/>
      <c r="M46" s="6" t="n"/>
      <c r="N46" s="6" t="n"/>
      <c r="O46" s="6" t="n"/>
      <c r="P46" s="7">
        <f>P36+P44</f>
        <v/>
      </c>
      <c r="Q46" s="7">
        <f>Q36+Q44</f>
        <v/>
      </c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inlineStr">
        <is>
          <t>INVOICE TOTAL</t>
        </is>
      </c>
      <c r="K47" s="6" t="n"/>
      <c r="L47" s="6" t="n"/>
      <c r="M47" s="6" t="n"/>
      <c r="N47" s="6" t="n"/>
      <c r="O47" s="6" t="n"/>
      <c r="P47" s="7">
        <f>S32</f>
        <v/>
      </c>
      <c r="Q47" s="7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</row>
    <row r="48"/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inlineStr">
        <is>
          <t>VARIANCE CHECK</t>
        </is>
      </c>
      <c r="K49" s="10" t="n"/>
      <c r="L49" s="10" t="n"/>
      <c r="M49" s="10" t="n"/>
      <c r="N49" s="10" t="n"/>
      <c r="O49" s="10" t="n"/>
      <c r="P49" s="11">
        <f>S32-P46</f>
        <v/>
      </c>
      <c r="Q49" s="11">
        <f>S32-Q46</f>
        <v/>
      </c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</row>
    <row r="50"/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inlineStr">
        <is>
          <t>DUTY ESTIMATION (Classification Cross-Check)</t>
        </is>
      </c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6" t="inlineStr">
        <is>
          <t>CIF (USD) = InvTotal + Freight + Insurance</t>
        </is>
      </c>
      <c r="K52" s="15" t="n"/>
      <c r="L52" s="15" t="n"/>
      <c r="M52" s="15" t="n"/>
      <c r="N52" s="15" t="n"/>
      <c r="O52" s="15" t="n"/>
      <c r="P52" s="17" t="n">
        <v>25.58</v>
      </c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6" t="inlineStr">
        <is>
          <t>CIF (XCD) = CIF × 2.7169</t>
        </is>
      </c>
      <c r="K53" s="15" t="n"/>
      <c r="L53" s="15" t="n"/>
      <c r="M53" s="15" t="n"/>
      <c r="N53" s="15" t="n"/>
      <c r="O53" s="15" t="n"/>
      <c r="P53" s="17" t="n">
        <v>69.5</v>
      </c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6" t="inlineStr">
        <is>
          <t>CET (weighted avg 20.0%)</t>
        </is>
      </c>
      <c r="K54" s="15" t="n"/>
      <c r="L54" s="15" t="n"/>
      <c r="M54" s="15" t="n"/>
      <c r="N54" s="15" t="n"/>
      <c r="O54" s="15" t="n"/>
      <c r="P54" s="17" t="n">
        <v>13.9</v>
      </c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6" t="inlineStr">
        <is>
          <t xml:space="preserve">  └ 85183000: 20% CET (63% of value)</t>
        </is>
      </c>
      <c r="K55" s="15" t="n"/>
      <c r="L55" s="15" t="n"/>
      <c r="M55" s="15" t="n"/>
      <c r="N55" s="15" t="n"/>
      <c r="O55" s="15" t="n"/>
      <c r="P55" s="17" t="n">
        <v>8.69</v>
      </c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6" t="inlineStr">
        <is>
          <t xml:space="preserve">  └ 90049000: 20% CET (37% of value)</t>
        </is>
      </c>
      <c r="K56" s="15" t="n"/>
      <c r="L56" s="15" t="n"/>
      <c r="M56" s="15" t="n"/>
      <c r="N56" s="15" t="n"/>
      <c r="O56" s="15" t="n"/>
      <c r="P56" s="17" t="n">
        <v>5.21</v>
      </c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  <c r="AG56" s="15" t="n"/>
      <c r="AH56" s="15" t="n"/>
      <c r="AI56" s="15" t="n"/>
      <c r="AJ56" s="15" t="n"/>
      <c r="AK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6" t="inlineStr">
        <is>
          <t>CSC (6%)</t>
        </is>
      </c>
      <c r="K57" s="15" t="n"/>
      <c r="L57" s="15" t="n"/>
      <c r="M57" s="15" t="n"/>
      <c r="N57" s="15" t="n"/>
      <c r="O57" s="15" t="n"/>
      <c r="P57" s="17" t="n">
        <v>4.17</v>
      </c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6" t="inlineStr">
        <is>
          <t>VAT (15%) on CIF+CET+CSC</t>
        </is>
      </c>
      <c r="K58" s="15" t="n"/>
      <c r="L58" s="15" t="n"/>
      <c r="M58" s="15" t="n"/>
      <c r="N58" s="15" t="n"/>
      <c r="O58" s="15" t="n"/>
      <c r="P58" s="17" t="n">
        <v>13.14</v>
      </c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  <c r="AF58" s="15" t="n"/>
      <c r="AG58" s="15" t="n"/>
      <c r="AH58" s="15" t="n"/>
      <c r="AI58" s="15" t="n"/>
      <c r="AJ58" s="15" t="n"/>
      <c r="AK58" s="15" t="n"/>
    </row>
    <row r="59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4" t="inlineStr">
        <is>
          <t>ESTIMATED TOTAL DUTIES</t>
        </is>
      </c>
      <c r="K59" s="18" t="n"/>
      <c r="L59" s="18" t="n"/>
      <c r="M59" s="18" t="n"/>
      <c r="N59" s="18" t="n"/>
      <c r="O59" s="18" t="n"/>
      <c r="P59" s="19" t="n">
        <v>31.21</v>
      </c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6" t="inlineStr">
        <is>
          <t>Effective Duty Rate</t>
        </is>
      </c>
      <c r="K60" s="15" t="n"/>
      <c r="L60" s="15" t="n"/>
      <c r="M60" s="15" t="n"/>
      <c r="N60" s="15" t="n"/>
      <c r="O60" s="15" t="n"/>
      <c r="P60" s="20" t="n">
        <v>0.4490647482014389</v>
      </c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  <c r="AF60" s="15" t="n"/>
      <c r="AG60" s="15" t="n"/>
      <c r="AH60" s="15" t="n"/>
      <c r="AI60" s="15" t="n"/>
      <c r="AJ60" s="15" t="n"/>
      <c r="AK60" s="15" t="n"/>
    </row>
    <row r="61"/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  <c r="AI62" s="22" t="n"/>
      <c r="AJ62" s="22" t="n"/>
      <c r="AK62" s="22" t="n"/>
    </row>
    <row r="63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3" t="inlineStr">
        <is>
          <t>═══ COMBINED GRAND SUMMARY ═══</t>
        </is>
      </c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</row>
    <row r="64">
      <c r="L64" s="24" t="inlineStr">
        <is>
          <t>Invoice 113-8373453-4570669</t>
        </is>
      </c>
      <c r="P64" s="25" t="n">
        <v>366.59</v>
      </c>
      <c r="Q64" s="26" t="n">
        <v>-315.43</v>
      </c>
    </row>
    <row r="65">
      <c r="L65" s="24" t="inlineStr">
        <is>
          <t>Invoice 113-8373453-4570669</t>
        </is>
      </c>
      <c r="P65" s="25" t="n">
        <v>197.43</v>
      </c>
      <c r="Q65" s="26" t="n">
        <v>-171.85</v>
      </c>
    </row>
    <row r="66"/>
    <row r="67">
      <c r="L67" s="27" t="inlineStr">
        <is>
          <t>GRAND TOTAL</t>
        </is>
      </c>
      <c r="P67" s="28" t="n">
        <v>564.02</v>
      </c>
    </row>
    <row r="68">
      <c r="L68" s="29" t="inlineStr">
        <is>
          <t>GRAND VARIANCE CHECK</t>
        </is>
      </c>
      <c r="P68" s="26" t="n">
        <v>-487.28</v>
      </c>
    </row>
    <row r="69">
      <c r="L69" s="30" t="inlineStr">
        <is>
          <t>Combined 2 invoice 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60" customWidth="1" min="4" max="4"/>
    <col width="100" customWidth="1" min="5" max="5"/>
  </cols>
  <sheetData>
    <row r="1">
      <c r="A1" s="31" t="inlineStr">
        <is>
          <t>PDF File</t>
        </is>
      </c>
      <c r="B1" s="31" t="inlineStr">
        <is>
          <t>Quality Score</t>
        </is>
      </c>
      <c r="C1" s="31" t="inlineStr">
        <is>
          <t>Rating</t>
        </is>
      </c>
      <c r="D1" s="31" t="inlineStr">
        <is>
          <t>Details</t>
        </is>
      </c>
      <c r="E1" s="31" t="inlineStr">
        <is>
          <t>OCR Text (first 2000 chars)</t>
        </is>
      </c>
    </row>
    <row r="2">
      <c r="A2" s="32" t="inlineStr">
        <is>
          <t>113-8373453-4570669.pdf</t>
        </is>
      </c>
      <c r="B2" s="32" t="inlineStr">
        <is>
          <t>52/100</t>
        </is>
      </c>
      <c r="C2" s="32" t="inlineStr">
        <is>
          <t>FAIR</t>
        </is>
      </c>
      <c r="D2" s="32" t="inlineStr">
        <is>
          <t>Text: 640 chars; Prices: 3 ($-sign), 2 (decimal); Total: MISSING; Invoice#: MISSING; Real items: 2/3; Structure words: 4/12</t>
        </is>
      </c>
      <c r="E2" s="33" t="inlineStr">
        <is>
          <t>Billing address
Timothy Walker/ Icon of the seas
2051 SE 35TH ST
FORT LAUDERDALE, FL 33316-4019
United States
Total before tax: $25.58
Estimated tax to be collected: $0.00
Grand Total: $25.58
To view the status of your order, return to Order Summary.
Conditions of Use | Privacy Notice © 1996-2024, Amazon.com, Inc. or its affiliates
Back to top
English United States Help
Conditions of Use Privacy Notice Consumer Health Data Privacy Disclosure Your Ads Privacy Choices
© 1996-2024, Amazon.com, Inc. or its affiliates
https://www.amazon.com/gp/css/summary/print.html?orderID=113-8373453-4570669&amp;ref=ppx_yo2ov_dt_b_invoice Page 2 of 2</t>
        </is>
      </c>
    </row>
    <row r="3">
      <c r="A3" s="34" t="inlineStr">
        <is>
          <t>HAWB9579167-Manifest_Invoice.pdf</t>
        </is>
      </c>
      <c r="B3" s="34" t="inlineStr">
        <is>
          <t>90/100</t>
        </is>
      </c>
      <c r="C3" s="34" t="inlineStr">
        <is>
          <t>GOOD</t>
        </is>
      </c>
      <c r="D3" s="34" t="inlineStr">
        <is>
          <t>Text: 2080 chars; Prices: 8 ($-sign), 5 (decimal); Total: $25.58; Invoice#: 113-8373453-4570669; Real items: 2/2; Structure words: 8/12</t>
        </is>
      </c>
      <c r="E3" s="35" t="inlineStr">
        <is>
          <t>rr
amazon . com . ‘
enter ?
Final Details for Order # 113-8373453-4570669
Print this page for your records ,
Order Placed : July 17 , 2024
Amazon . com order number : 113-8373453-4570669
Order Total : $25.58
mY
Shipped on July 18 , 2024
Items Ordered Price
1 of: aisswzber Fashion Vintage Classic Semi - Rimless Half Frame Clear Lens Glasses 3016 - gold &amp; silver $9.59
Sold by: Aisswzber ( seller profile
| Supplied by: Aisswzber ( seller profile
Kyo
Condition : New
Shipping Address :
Timothy Walker
10813 NW 30 TH ST BLDG 115
GRE 4170
MIAMI , FL 33172 - 2191
United States
Shipping Speed :
FREE Prime Delivery
a
Shipped on July 18 , 2024
Items Ordered Price
1 of: Soundcore by Anker P 20 i True Wireless Earbuds , 10 mm Drivers with Big Bass , Bluetooth 5.3 , 30 H Long Playtime , Water - $15.99
Resistant , 2 Mics for AI Clear Calls , 22 Preset EQs , Customization via App , Soundcore
Oy : Y | Sold by: AnkerDirect ( seller profile ) | Product question ? Ask Seller
“ Supplied by: AnkerDirect ( seller profile
Condition : New
Shipping Address :
Timothy Walker
10813 NW 30 TH ST BLDG 115
GRE 4170
MIAMI , FL 33172 - 2191
United States
Shipping Speed :
FREE Prime Delivery
Payment information
Payment Method : Item ( s ) Subtotal : $25.58
Mastercard ending in 4145 Shipping &amp; Handling : $0.00
https : / / www . amazon . com / gp / css / summary / print . html ? orderlD = 113-8373453-4570669 &amp; ref = ppx yo 2 ov dt b invoice Page 1 of 2
Billing address
Timothy Walker/ Icon of the seas
2051 SE 35TH ST
FORT LAUDERDALE, FL 33316-4019
United States
Total before tax: $25.58
Estimated tax to be collected: $0.00
Grand Total: $25.58
To view the status of your order, return to Order Summary.
Conditions of Use | Privacy Notice © 1996-2024, Amazon.com, Inc. or its affiliates
Back to top
English United States Help
Conditions of Use Privacy Notice Consumer Health Data Privacy Disclosure Your Ads Privacy Choices
© 1996-2024, Amazon.com, Inc. or its affiliates
https://www.amazon.com/gp/css/summa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2026-04-24T05:51:08Z</dcterms:created>
  <dcterms:modified xsi:type="dcterms:W3CDTF">2026-04-24T05:51:39Z</dcterms:modified>
</cp:coreProperties>
</file>