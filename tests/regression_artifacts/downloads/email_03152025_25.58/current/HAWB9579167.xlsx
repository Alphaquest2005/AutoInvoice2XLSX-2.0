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113-8373453-4570669</t>
        </is>
      </c>
      <c r="D2" s="2" t="inlineStr"/>
      <c r="E2" s="2" t="inlineStr">
        <is>
          <t>Unclassifiable / Non-physical item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Timothy Walker/ Icon of the seas 2051 SE 35TH ST FORT LAUDERDALE, FL 33316-4019 United States Total before tax: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25.58</v>
      </c>
      <c r="P2" s="3" t="n">
        <v>51.16</v>
      </c>
      <c r="Q2" s="3">
        <f>O2*K2</f>
        <v/>
      </c>
      <c r="R2" s="3">
        <f>P2-Q2</f>
        <v/>
      </c>
      <c r="S2" s="3" t="n">
        <v>54.16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TEMU-1</t>
        </is>
      </c>
      <c r="J3" s="4" t="inlineStr">
        <is>
          <t>Timothy Walker/ Icon of the seas 2051 SE 35TH ST FORT LAUDERDALE, FL 33316-4019 United States Total before tax: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25.58</v>
      </c>
      <c r="P3" s="5" t="n">
        <v>25.58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TEMU-3</t>
        </is>
      </c>
      <c r="J4" s="4" t="inlineStr">
        <is>
          <t>Grand Total: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25.58</v>
      </c>
      <c r="P4" s="5" t="n">
        <v>25.58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3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inlineStr">
        <is>
          <t>INVOICE NOTES: Invoice total uncertain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/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inlineStr">
        <is>
          <t>DUTY ESTIMATION (Classification Cross-Check)</t>
        </is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(USD) = InvTotal + Freight + Insurance</t>
        </is>
      </c>
      <c r="K23" s="15" t="n"/>
      <c r="L23" s="15" t="n"/>
      <c r="M23" s="15" t="n"/>
      <c r="N23" s="15" t="n"/>
      <c r="O23" s="15" t="n"/>
      <c r="P23" s="17" t="n">
        <v>57.16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(XCD) = CIF × 2.7169</t>
        </is>
      </c>
      <c r="K24" s="15" t="n"/>
      <c r="L24" s="15" t="n"/>
      <c r="M24" s="15" t="n"/>
      <c r="N24" s="15" t="n"/>
      <c r="O24" s="15" t="n"/>
      <c r="P24" s="17" t="n">
        <v>155.3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CET (20%) — Tariff 00000000</t>
        </is>
      </c>
      <c r="K25" s="15" t="n"/>
      <c r="L25" s="15" t="n"/>
      <c r="M25" s="15" t="n"/>
      <c r="N25" s="15" t="n"/>
      <c r="O25" s="15" t="n"/>
      <c r="P25" s="17" t="n">
        <v>31.06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CSC (6%)</t>
        </is>
      </c>
      <c r="K26" s="15" t="n"/>
      <c r="L26" s="15" t="n"/>
      <c r="M26" s="15" t="n"/>
      <c r="N26" s="15" t="n"/>
      <c r="O26" s="15" t="n"/>
      <c r="P26" s="17" t="n">
        <v>9.32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VAT (15%) on CIF+CET+CSC</t>
        </is>
      </c>
      <c r="K27" s="15" t="n"/>
      <c r="L27" s="15" t="n"/>
      <c r="M27" s="15" t="n"/>
      <c r="N27" s="15" t="n"/>
      <c r="O27" s="15" t="n"/>
      <c r="P27" s="17" t="n">
        <v>29.35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4" t="inlineStr">
        <is>
          <t>ESTIMATED TOTAL DUTIES</t>
        </is>
      </c>
      <c r="K28" s="18" t="n"/>
      <c r="L28" s="18" t="n"/>
      <c r="M28" s="18" t="n"/>
      <c r="N28" s="18" t="n"/>
      <c r="O28" s="18" t="n"/>
      <c r="P28" s="19" t="n">
        <v>69.73</v>
      </c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Effective Duty Rate</t>
        </is>
      </c>
      <c r="K29" s="15" t="n"/>
      <c r="L29" s="15" t="n"/>
      <c r="M29" s="15" t="n"/>
      <c r="N29" s="15" t="n"/>
      <c r="O29" s="15" t="n"/>
      <c r="P29" s="20" t="n">
        <v>0.4490019317450096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/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inlineStr">
        <is>
          <t>Items on other declaration(s) (1 items)</t>
        </is>
      </c>
      <c r="K31" s="21" t="n"/>
      <c r="L31" s="21" t="n"/>
      <c r="M31" s="21" t="n"/>
      <c r="N31" s="21" t="n"/>
      <c r="O31" s="21" t="n"/>
      <c r="P31" s="22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1" t="n"/>
      <c r="B32" s="21" t="n"/>
      <c r="C32" s="21" t="n"/>
      <c r="D32" s="21" t="n"/>
      <c r="E32" s="21" t="inlineStr">
        <is>
          <t>Unclassifiable / Non-physical item</t>
        </is>
      </c>
      <c r="F32" s="21" t="inlineStr">
        <is>
          <t>00000000</t>
        </is>
      </c>
      <c r="G32" s="21" t="n"/>
      <c r="H32" s="21" t="n"/>
      <c r="I32" s="21" t="n"/>
      <c r="J32" s="21" t="inlineStr">
        <is>
          <t>Estimated tax to be collected: (1 items)</t>
        </is>
      </c>
      <c r="K32" s="21" t="n">
        <v>1</v>
      </c>
      <c r="L32" s="21" t="n"/>
      <c r="M32" s="21" t="n"/>
      <c r="N32" s="21" t="inlineStr">
        <is>
          <t>USD</t>
        </is>
      </c>
      <c r="O32" s="22" t="n">
        <v>0</v>
      </c>
      <c r="P32" s="22" t="n">
        <v>0</v>
      </c>
      <c r="Q32" s="22" t="n"/>
      <c r="R32" s="22" t="n"/>
      <c r="S32" s="22" t="n"/>
      <c r="T32" s="22" t="n"/>
      <c r="U32" s="22" t="n"/>
      <c r="V32" s="22" t="n"/>
      <c r="W32" s="22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inlineStr">
        <is>
          <t>TEMU-2</t>
        </is>
      </c>
      <c r="J33" s="23" t="inlineStr">
        <is>
          <t>Estimated tax to be collected:</t>
        </is>
      </c>
      <c r="K33" s="23" t="n">
        <v>1</v>
      </c>
      <c r="L33" s="23" t="n"/>
      <c r="M33" s="23" t="n"/>
      <c r="N33" s="23" t="inlineStr">
        <is>
          <t>USD</t>
        </is>
      </c>
      <c r="O33" s="24" t="n">
        <v>0</v>
      </c>
      <c r="P33" s="24" t="n">
        <v>0</v>
      </c>
      <c r="Q33" s="24" t="n"/>
      <c r="R33" s="24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inlineStr">
        <is>
          <t>REFERENCE SUBTOTAL</t>
        </is>
      </c>
      <c r="K34" s="25" t="n"/>
      <c r="L34" s="25" t="n"/>
      <c r="M34" s="25" t="n"/>
      <c r="N34" s="25" t="n"/>
      <c r="O34" s="25" t="n"/>
      <c r="P34" s="26" t="n">
        <v>0</v>
      </c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inlineStr">
        <is>
          <t>REFERENCE FREIGHT</t>
        </is>
      </c>
      <c r="K35" s="25" t="n"/>
      <c r="L35" s="25" t="n"/>
      <c r="M35" s="25" t="n"/>
      <c r="N35" s="25" t="n"/>
      <c r="O35" s="25" t="n"/>
      <c r="P35" s="26" t="n">
        <v>3</v>
      </c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inlineStr">
        <is>
          <t>REFERENCE INSURANCE</t>
        </is>
      </c>
      <c r="K36" s="25" t="n"/>
      <c r="L36" s="25" t="n"/>
      <c r="M36" s="25" t="n"/>
      <c r="N36" s="25" t="n"/>
      <c r="O36" s="25" t="n"/>
      <c r="P36" s="26" t="n">
        <v>0</v>
      </c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inlineStr">
        <is>
          <t>REFERENCE OTHER COST</t>
        </is>
      </c>
      <c r="K37" s="25" t="n"/>
      <c r="L37" s="25" t="n"/>
      <c r="M37" s="25" t="n"/>
      <c r="N37" s="25" t="n"/>
      <c r="O37" s="25" t="n"/>
      <c r="P37" s="26" t="n">
        <v>0</v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inlineStr">
        <is>
          <t>REFERENCE DEDUCTION</t>
        </is>
      </c>
      <c r="K38" s="25" t="n"/>
      <c r="L38" s="25" t="n"/>
      <c r="M38" s="25" t="n"/>
      <c r="N38" s="25" t="n"/>
      <c r="O38" s="25" t="n"/>
      <c r="P38" s="26" t="n">
        <v>0</v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ADJUSTMENTS</t>
        </is>
      </c>
      <c r="K39" s="25" t="n"/>
      <c r="L39" s="25" t="n"/>
      <c r="M39" s="25" t="n"/>
      <c r="N39" s="25" t="n"/>
      <c r="O39" s="25" t="n"/>
      <c r="P39" s="26">
        <f>P35+P36+P37-P38</f>
        <v/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NET TOTAL</t>
        </is>
      </c>
      <c r="K40" s="25" t="n"/>
      <c r="L40" s="25" t="n"/>
      <c r="M40" s="25" t="n"/>
      <c r="N40" s="25" t="n"/>
      <c r="O40" s="25" t="n"/>
      <c r="P40" s="26">
        <f>P34+P39</f>
        <v/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COMBINED ITEMS TOTAL</t>
        </is>
      </c>
      <c r="K42" s="25" t="n"/>
      <c r="L42" s="25" t="n"/>
      <c r="M42" s="25" t="n"/>
      <c r="N42" s="25" t="n"/>
      <c r="O42" s="25" t="n"/>
      <c r="P42" s="26">
        <f>P5+P34</f>
        <v/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FULL INVOICE FREIGHT</t>
        </is>
      </c>
      <c r="K43" s="25" t="n"/>
      <c r="L43" s="25" t="n"/>
      <c r="M43" s="25" t="n"/>
      <c r="N43" s="25" t="n"/>
      <c r="O43" s="25" t="n"/>
      <c r="P43" s="26">
        <f>P9+P35</f>
        <v/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FULL INVOICE INSURANCE</t>
        </is>
      </c>
      <c r="K44" s="25" t="n"/>
      <c r="L44" s="25" t="n"/>
      <c r="M44" s="25" t="n"/>
      <c r="N44" s="25" t="n"/>
      <c r="O44" s="25" t="n"/>
      <c r="P44" s="26">
        <f>P10+P36</f>
        <v/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FULL INVOICE OTHER COST</t>
        </is>
      </c>
      <c r="K45" s="25" t="n"/>
      <c r="L45" s="25" t="n"/>
      <c r="M45" s="25" t="n"/>
      <c r="N45" s="25" t="n"/>
      <c r="O45" s="25" t="n"/>
      <c r="P45" s="26">
        <f>P11+P37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DEDUCTION</t>
        </is>
      </c>
      <c r="K46" s="25" t="n"/>
      <c r="L46" s="25" t="n"/>
      <c r="M46" s="25" t="n"/>
      <c r="N46" s="25" t="n"/>
      <c r="O46" s="25" t="n"/>
      <c r="P46" s="26">
        <f>P12+P38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ADJUSTMENTS</t>
        </is>
      </c>
      <c r="K47" s="25" t="n"/>
      <c r="L47" s="25" t="n"/>
      <c r="M47" s="25" t="n"/>
      <c r="N47" s="25" t="n"/>
      <c r="O47" s="25" t="n"/>
      <c r="P47" s="26">
        <f>P43+P44+P45-P46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NET TOTAL</t>
        </is>
      </c>
      <c r="K48" s="25" t="n"/>
      <c r="L48" s="25" t="n"/>
      <c r="M48" s="25" t="n"/>
      <c r="N48" s="25" t="n"/>
      <c r="O48" s="25" t="n"/>
      <c r="P48" s="26">
        <f>P42+P47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TOTAL</t>
        </is>
      </c>
      <c r="K49" s="25" t="n"/>
      <c r="L49" s="25" t="n"/>
      <c r="M49" s="25" t="n"/>
      <c r="N49" s="25" t="n"/>
      <c r="O49" s="25" t="n"/>
      <c r="P49" s="26" t="n">
        <v>57.16</v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COMBINED VARIANCE CHECK</t>
        </is>
      </c>
      <c r="K50" s="25" t="n"/>
      <c r="L50" s="25" t="n"/>
      <c r="M50" s="25" t="n"/>
      <c r="N50" s="25" t="n"/>
      <c r="O50" s="25" t="n"/>
      <c r="P50" s="26">
        <f>P49-P48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2026-04-24T05:51:39Z</dcterms:created>
  <dcterms:modified xsi:type="dcterms:W3CDTF">2026-04-24T05:51:39Z</dcterms:modified>
</cp:coreProperties>
</file>