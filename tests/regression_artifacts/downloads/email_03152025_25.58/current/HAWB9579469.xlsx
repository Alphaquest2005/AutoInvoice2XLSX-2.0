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  <font>
      <b val="1"/>
      <color rgb="00375623"/>
      <sz val="10"/>
    </font>
    <font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  <xf numFmtId="0" fontId="6" fillId="4" borderId="1" pivotButton="0" quotePrefix="0" xfId="0"/>
    <xf numFmtId="4" fontId="6" fillId="4" borderId="1" pivotButton="0" quotePrefix="0" xfId="0"/>
    <xf numFmtId="0" fontId="7" fillId="0" borderId="1" pivotButton="0" quotePrefix="0" xfId="0"/>
    <xf numFmtId="4" fontId="7" fillId="0" borderId="1" pivotButton="0" quotePrefix="0" xfId="0"/>
    <xf numFmtId="0" fontId="6" fillId="0" borderId="1" pivotButton="0" quotePrefix="0" xfId="0"/>
    <xf numFmtId="4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113-8373453-4570669</t>
        </is>
      </c>
      <c r="D2" s="2" t="inlineStr">
        <is>
          <t>2024-07-17</t>
        </is>
      </c>
      <c r="E2" s="2" t="inlineStr">
        <is>
          <t>Headphones and earphones, whether or not combined with a microphone, and sets...</t>
        </is>
      </c>
      <c r="F2" s="2" t="inlineStr">
        <is>
          <t>85183000</t>
        </is>
      </c>
      <c r="G2" s="2" t="inlineStr"/>
      <c r="H2" s="2" t="inlineStr"/>
      <c r="I2" s="2" t="inlineStr">
        <is>
          <t>AMZ-2</t>
        </is>
      </c>
      <c r="J2" s="2" t="inlineStr">
        <is>
          <t>Soundcore by Anker P20i True Wireless Earbuds, 10mm Drivers with Big Bass, Bl...</t>
        </is>
      </c>
      <c r="K2" s="2" t="n">
        <v>1</v>
      </c>
      <c r="L2" s="2" t="n"/>
      <c r="M2" s="2" t="inlineStr"/>
      <c r="N2" s="2" t="inlineStr">
        <is>
          <t>USD</t>
        </is>
      </c>
      <c r="O2" s="3" t="n">
        <v>15.99</v>
      </c>
      <c r="P2" s="3" t="n">
        <v>15.99</v>
      </c>
      <c r="Q2" s="3">
        <f>O2*K2</f>
        <v/>
      </c>
      <c r="R2" s="3">
        <f>P2-Q2</f>
        <v/>
      </c>
      <c r="S2" s="3" t="n">
        <v>18.99</v>
      </c>
      <c r="T2" s="3" t="n">
        <v>3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AMAZON</t>
        </is>
      </c>
      <c r="AA2" s="2" t="inlineStr">
        <is>
          <t>Amazon.com</t>
        </is>
      </c>
      <c r="AB2" s="2" t="inlineStr">
        <is>
          <t>410 Terry Avenue North, Seattle, WA 98109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85183000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inlineStr">
        <is>
          <t>SUBTOTAL</t>
        </is>
      </c>
      <c r="K3" s="4" t="n"/>
      <c r="L3" s="4" t="n"/>
      <c r="M3" s="4" t="n"/>
      <c r="N3" s="4" t="n"/>
      <c r="O3" s="4" t="n"/>
      <c r="P3" s="5">
        <f>P2</f>
        <v/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inlineStr">
        <is>
          <t>ADJUSTMENTS</t>
        </is>
      </c>
      <c r="K4" s="4" t="n"/>
      <c r="L4" s="4" t="n"/>
      <c r="M4" s="4" t="n"/>
      <c r="N4" s="4" t="n"/>
      <c r="O4" s="4" t="n"/>
      <c r="P4" s="5">
        <f>(T2+U2+V2-W2)</f>
        <v/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inlineStr">
        <is>
          <t>NET TOTAL</t>
        </is>
      </c>
      <c r="K5" s="4" t="n"/>
      <c r="L5" s="4" t="n"/>
      <c r="M5" s="4" t="n"/>
      <c r="N5" s="4" t="n"/>
      <c r="O5" s="4" t="n"/>
      <c r="P5" s="5">
        <f>(P3+P4)</f>
        <v/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inlineStr">
        <is>
          <t>VARIANCE CHECK</t>
        </is>
      </c>
      <c r="K6" s="4" t="n"/>
      <c r="L6" s="4" t="n"/>
      <c r="M6" s="4" t="n"/>
      <c r="N6" s="4" t="n"/>
      <c r="O6" s="4" t="n"/>
      <c r="P6" s="5">
        <f>(S2-P5)</f>
        <v/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/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DUTY ESTIMATION (Classification Cross-Check)</t>
        </is>
      </c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8" t="inlineStr">
        <is>
          <t>CIF (USD) = InvTotal + Freight + Insurance</t>
        </is>
      </c>
      <c r="K9" s="7" t="n"/>
      <c r="L9" s="7" t="n"/>
      <c r="M9" s="7" t="n"/>
      <c r="N9" s="7" t="n"/>
      <c r="O9" s="7" t="n"/>
      <c r="P9" s="9" t="n">
        <v>21.99</v>
      </c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8" t="inlineStr">
        <is>
          <t>CIF (XCD) = CIF × 2.7169</t>
        </is>
      </c>
      <c r="K10" s="7" t="n"/>
      <c r="L10" s="7" t="n"/>
      <c r="M10" s="7" t="n"/>
      <c r="N10" s="7" t="n"/>
      <c r="O10" s="7" t="n"/>
      <c r="P10" s="9" t="n">
        <v>59.74</v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8" t="inlineStr">
        <is>
          <t>CET (20%) — Tariff 85183000</t>
        </is>
      </c>
      <c r="K11" s="7" t="n"/>
      <c r="L11" s="7" t="n"/>
      <c r="M11" s="7" t="n"/>
      <c r="N11" s="7" t="n"/>
      <c r="O11" s="7" t="n"/>
      <c r="P11" s="9" t="n">
        <v>11.95</v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8" t="inlineStr">
        <is>
          <t>CSC (6%)</t>
        </is>
      </c>
      <c r="K12" s="7" t="n"/>
      <c r="L12" s="7" t="n"/>
      <c r="M12" s="7" t="n"/>
      <c r="N12" s="7" t="n"/>
      <c r="O12" s="7" t="n"/>
      <c r="P12" s="9" t="n">
        <v>3.58</v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inlineStr">
        <is>
          <t>VAT (15%) on CIF+CET+CSC</t>
        </is>
      </c>
      <c r="K13" s="7" t="n"/>
      <c r="L13" s="7" t="n"/>
      <c r="M13" s="7" t="n"/>
      <c r="N13" s="7" t="n"/>
      <c r="O13" s="7" t="n"/>
      <c r="P13" s="9" t="n">
        <v>11.29</v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6" t="inlineStr">
        <is>
          <t>ESTIMATED TOTAL DUTIES</t>
        </is>
      </c>
      <c r="K14" s="10" t="n"/>
      <c r="L14" s="10" t="n"/>
      <c r="M14" s="10" t="n"/>
      <c r="N14" s="10" t="n"/>
      <c r="O14" s="10" t="n"/>
      <c r="P14" s="11" t="n">
        <v>26.82</v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8" t="inlineStr">
        <is>
          <t>Effective Duty Rate</t>
        </is>
      </c>
      <c r="K15" s="7" t="n"/>
      <c r="L15" s="7" t="n"/>
      <c r="M15" s="7" t="n"/>
      <c r="N15" s="7" t="n"/>
      <c r="O15" s="7" t="n"/>
      <c r="P15" s="12" t="n">
        <v>0.4489454301975226</v>
      </c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</row>
    <row r="16"/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inlineStr">
        <is>
          <t>Items on other declaration(s) (1 items)</t>
        </is>
      </c>
      <c r="K17" s="13" t="n"/>
      <c r="L17" s="13" t="n"/>
      <c r="M17" s="13" t="n"/>
      <c r="N17" s="13" t="n"/>
      <c r="O17" s="13" t="n"/>
      <c r="P17" s="14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  <c r="AK17" s="13" t="n"/>
    </row>
    <row r="18">
      <c r="A18" s="13" t="n"/>
      <c r="B18" s="13" t="n"/>
      <c r="C18" s="13" t="n"/>
      <c r="D18" s="13" t="n"/>
      <c r="E18" s="13" t="inlineStr">
        <is>
          <t>DIVING EQUIPMENT</t>
        </is>
      </c>
      <c r="F18" s="13" t="inlineStr">
        <is>
          <t>90049000</t>
        </is>
      </c>
      <c r="G18" s="13" t="n"/>
      <c r="H18" s="13" t="n"/>
      <c r="I18" s="13" t="n"/>
      <c r="J18" s="13" t="inlineStr">
        <is>
          <t>aisswzber Fashion Vintage Classic Semi-Rimless Half Frame Clear Lens Glasses ... (1 items)</t>
        </is>
      </c>
      <c r="K18" s="13" t="n">
        <v>1</v>
      </c>
      <c r="L18" s="13" t="n"/>
      <c r="M18" s="13" t="n"/>
      <c r="N18" s="13" t="inlineStr">
        <is>
          <t>USD</t>
        </is>
      </c>
      <c r="O18" s="14" t="n">
        <v>9.59</v>
      </c>
      <c r="P18" s="14" t="n">
        <v>9.59</v>
      </c>
      <c r="Q18" s="14" t="n"/>
      <c r="R18" s="14" t="n"/>
      <c r="S18" s="14" t="n"/>
      <c r="T18" s="14" t="n"/>
      <c r="U18" s="14" t="n"/>
      <c r="V18" s="14" t="n"/>
      <c r="W18" s="14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  <c r="AJ18" s="13" t="n"/>
      <c r="AK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inlineStr">
        <is>
          <t>AMZ-1</t>
        </is>
      </c>
      <c r="J19" s="15" t="inlineStr">
        <is>
          <t>aisswzber Fashion Vintage Classic Semi-Rimless Half Frame Clear Lens Glasses ...</t>
        </is>
      </c>
      <c r="K19" s="15" t="n">
        <v>1</v>
      </c>
      <c r="L19" s="15" t="n"/>
      <c r="M19" s="15" t="n"/>
      <c r="N19" s="15" t="inlineStr">
        <is>
          <t>USD</t>
        </is>
      </c>
      <c r="O19" s="16" t="n">
        <v>9.59</v>
      </c>
      <c r="P19" s="16" t="n">
        <v>9.59</v>
      </c>
      <c r="Q19" s="16" t="n"/>
      <c r="R19" s="16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inlineStr">
        <is>
          <t>REFERENCE SUBTOTAL</t>
        </is>
      </c>
      <c r="K20" s="17" t="n"/>
      <c r="L20" s="17" t="n"/>
      <c r="M20" s="17" t="n"/>
      <c r="N20" s="17" t="n"/>
      <c r="O20" s="17" t="n"/>
      <c r="P20" s="18" t="n">
        <v>9.59</v>
      </c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inlineStr">
        <is>
          <t>REFERENCE FREIGHT</t>
        </is>
      </c>
      <c r="K21" s="17" t="n"/>
      <c r="L21" s="17" t="n"/>
      <c r="M21" s="17" t="n"/>
      <c r="N21" s="17" t="n"/>
      <c r="O21" s="17" t="n"/>
      <c r="P21" s="18" t="n">
        <v>3</v>
      </c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inlineStr">
        <is>
          <t>REFERENCE INSURANCE</t>
        </is>
      </c>
      <c r="K22" s="17" t="n"/>
      <c r="L22" s="17" t="n"/>
      <c r="M22" s="17" t="n"/>
      <c r="N22" s="17" t="n"/>
      <c r="O22" s="17" t="n"/>
      <c r="P22" s="18" t="n">
        <v>0</v>
      </c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inlineStr">
        <is>
          <t>REFERENCE OTHER COST</t>
        </is>
      </c>
      <c r="K23" s="17" t="n"/>
      <c r="L23" s="17" t="n"/>
      <c r="M23" s="17" t="n"/>
      <c r="N23" s="17" t="n"/>
      <c r="O23" s="17" t="n"/>
      <c r="P23" s="18" t="n">
        <v>0</v>
      </c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inlineStr">
        <is>
          <t>REFERENCE DEDUCTION</t>
        </is>
      </c>
      <c r="K24" s="17" t="n"/>
      <c r="L24" s="17" t="n"/>
      <c r="M24" s="17" t="n"/>
      <c r="N24" s="17" t="n"/>
      <c r="O24" s="17" t="n"/>
      <c r="P24" s="18" t="n">
        <v>0</v>
      </c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inlineStr">
        <is>
          <t>REFERENCE ADJUSTMENTS</t>
        </is>
      </c>
      <c r="K25" s="17" t="n"/>
      <c r="L25" s="17" t="n"/>
      <c r="M25" s="17" t="n"/>
      <c r="N25" s="17" t="n"/>
      <c r="O25" s="17" t="n"/>
      <c r="P25" s="18">
        <f>P21+P22+P23-P24</f>
        <v/>
      </c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inlineStr">
        <is>
          <t>REFERENCE NET TOTAL</t>
        </is>
      </c>
      <c r="K26" s="17" t="n"/>
      <c r="L26" s="17" t="n"/>
      <c r="M26" s="17" t="n"/>
      <c r="N26" s="17" t="n"/>
      <c r="O26" s="17" t="n"/>
      <c r="P26" s="18">
        <f>P20+P25</f>
        <v/>
      </c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inlineStr">
        <is>
          <t>COMBINED ITEMS TOTAL</t>
        </is>
      </c>
      <c r="K28" s="17" t="n"/>
      <c r="L28" s="17" t="n"/>
      <c r="M28" s="17" t="n"/>
      <c r="N28" s="17" t="n"/>
      <c r="O28" s="17" t="n"/>
      <c r="P28" s="18">
        <f>P3+P20</f>
        <v/>
      </c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inlineStr">
        <is>
          <t>FULL INVOICE FREIGHT</t>
        </is>
      </c>
      <c r="K29" s="17" t="n"/>
      <c r="L29" s="17" t="n"/>
      <c r="M29" s="17" t="n"/>
      <c r="N29" s="17" t="n"/>
      <c r="O29" s="17" t="n"/>
      <c r="P29" s="18">
        <f>T2+P21</f>
        <v/>
      </c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inlineStr">
        <is>
          <t>FULL INVOICE INSURANCE</t>
        </is>
      </c>
      <c r="K30" s="17" t="n"/>
      <c r="L30" s="17" t="n"/>
      <c r="M30" s="17" t="n"/>
      <c r="N30" s="17" t="n"/>
      <c r="O30" s="17" t="n"/>
      <c r="P30" s="18">
        <f>U2+P22</f>
        <v/>
      </c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inlineStr">
        <is>
          <t>FULL INVOICE OTHER COST</t>
        </is>
      </c>
      <c r="K31" s="17" t="n"/>
      <c r="L31" s="17" t="n"/>
      <c r="M31" s="17" t="n"/>
      <c r="N31" s="17" t="n"/>
      <c r="O31" s="17" t="n"/>
      <c r="P31" s="18">
        <f>V2+P23</f>
        <v/>
      </c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inlineStr">
        <is>
          <t>FULL INVOICE DEDUCTION</t>
        </is>
      </c>
      <c r="K32" s="17" t="n"/>
      <c r="L32" s="17" t="n"/>
      <c r="M32" s="17" t="n"/>
      <c r="N32" s="17" t="n"/>
      <c r="O32" s="17" t="n"/>
      <c r="P32" s="18">
        <f>W2+P24</f>
        <v/>
      </c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inlineStr">
        <is>
          <t>FULL ADJUSTMENTS</t>
        </is>
      </c>
      <c r="K33" s="17" t="n"/>
      <c r="L33" s="17" t="n"/>
      <c r="M33" s="17" t="n"/>
      <c r="N33" s="17" t="n"/>
      <c r="O33" s="17" t="n"/>
      <c r="P33" s="18">
        <f>P29+P30+P31-P32</f>
        <v/>
      </c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inlineStr">
        <is>
          <t>COMBINED NET TOTAL</t>
        </is>
      </c>
      <c r="K34" s="17" t="n"/>
      <c r="L34" s="17" t="n"/>
      <c r="M34" s="17" t="n"/>
      <c r="N34" s="17" t="n"/>
      <c r="O34" s="17" t="n"/>
      <c r="P34" s="18">
        <f>P28+P33</f>
        <v/>
      </c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inlineStr">
        <is>
          <t>FULL INVOICE TOTAL</t>
        </is>
      </c>
      <c r="K35" s="17" t="n"/>
      <c r="L35" s="17" t="n"/>
      <c r="M35" s="17" t="n"/>
      <c r="N35" s="17" t="n"/>
      <c r="O35" s="17" t="n"/>
      <c r="P35" s="18" t="n">
        <v>31.58</v>
      </c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inlineStr">
        <is>
          <t>COMBINED VARIANCE CHECK</t>
        </is>
      </c>
      <c r="K36" s="17" t="n"/>
      <c r="L36" s="17" t="n"/>
      <c r="M36" s="17" t="n"/>
      <c r="N36" s="17" t="n"/>
      <c r="O36" s="17" t="n"/>
      <c r="P36" s="18">
        <f>P35-P34</f>
        <v/>
      </c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2026-04-26T23:37:31Z</dcterms:created>
  <dcterms:modified xmlns:dcterms="http://purl.org/dc/terms/" xmlns:xsi="http://www.w3.org/2001/XMLSchema-instance" xsi:type="dcterms:W3CDTF">2026-04-26T23:37:31Z</dcterms:modified>
</cp:coreProperties>
</file>