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166" fontId="0" fillId="0" borderId="0" pivotButton="0" quotePrefix="0" xfId="0"/>
    <xf numFmtId="166" fontId="8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112-7624326-9358635</t>
        </is>
      </c>
      <c r="D2" s="2" t="n"/>
      <c r="E2" s="2" t="inlineStr">
        <is>
          <t>Unidentifiable product</t>
        </is>
      </c>
      <c r="F2" s="2" t="inlineStr">
        <is>
          <t>63062200</t>
        </is>
      </c>
      <c r="G2" s="2" t="n"/>
      <c r="H2" s="2" t="n"/>
      <c r="I2" s="2" t="inlineStr">
        <is>
          <t>AMA-1</t>
        </is>
      </c>
      <c r="J2" s="2" t="inlineStr">
        <is>
          <t>Amazon.com Purchase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127.99</v>
      </c>
      <c r="P2" s="3" t="n">
        <v>127.99</v>
      </c>
      <c r="Q2" s="3">
        <f>O2*K2</f>
        <v/>
      </c>
      <c r="R2" s="3">
        <f>P2-Q2</f>
        <v/>
      </c>
      <c r="S2" s="3" t="n">
        <v>136.95</v>
      </c>
      <c r="T2" s="3" t="n">
        <v>0</v>
      </c>
      <c r="U2" s="3" t="n">
        <v>0</v>
      </c>
      <c r="V2" s="3" t="n">
        <v>8.960000000000001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63062200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136.95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372.08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74.42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22.32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70.31999999999999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167.06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0.4489894646312621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2" t="inlineStr">
        <is>
          <t>4000-000</t>
        </is>
      </c>
      <c r="B17" s="2" t="n"/>
      <c r="C17" s="2" t="inlineStr">
        <is>
          <t>112-7624326-9358635</t>
        </is>
      </c>
      <c r="D17" s="2" t="n"/>
      <c r="E17" s="2" t="inlineStr">
        <is>
          <t>Unidentifiable product</t>
        </is>
      </c>
      <c r="F17" s="2" t="inlineStr">
        <is>
          <t>63062200</t>
        </is>
      </c>
      <c r="G17" s="2" t="n"/>
      <c r="H17" s="2" t="n"/>
      <c r="I17" s="2" t="inlineStr">
        <is>
          <t>AMA-1</t>
        </is>
      </c>
      <c r="J17" s="2" t="inlineStr">
        <is>
          <t>Amazon.com Purchase</t>
        </is>
      </c>
      <c r="K17" s="2" t="n">
        <v>1</v>
      </c>
      <c r="L17" s="2" t="n"/>
      <c r="M17" s="2" t="n"/>
      <c r="N17" s="2" t="inlineStr">
        <is>
          <t>USD</t>
        </is>
      </c>
      <c r="O17" s="3" t="n">
        <v>127.99</v>
      </c>
      <c r="P17" s="3" t="n">
        <v>127.99</v>
      </c>
      <c r="Q17" s="3">
        <f>O17*K17</f>
        <v/>
      </c>
      <c r="R17" s="3">
        <f>P17-Q17</f>
        <v/>
      </c>
      <c r="S17" s="3" t="n">
        <v>136.95</v>
      </c>
      <c r="T17" s="3" t="n">
        <v>0</v>
      </c>
      <c r="U17" s="3" t="n">
        <v>0</v>
      </c>
      <c r="V17" s="3" t="n">
        <v>8.960000000000001</v>
      </c>
      <c r="W17" s="3" t="n">
        <v>0</v>
      </c>
      <c r="X17" s="2" t="n"/>
      <c r="Y17" s="2" t="n"/>
      <c r="Z17" s="2" t="inlineStr">
        <is>
          <t>AMAZON</t>
        </is>
      </c>
      <c r="AA17" s="2" t="inlineStr">
        <is>
          <t>Amazon.com</t>
        </is>
      </c>
      <c r="AB17" s="2" t="inlineStr">
        <is>
          <t>410 Terry Avenue North, Seattle, WA 98109</t>
        </is>
      </c>
      <c r="AC17" s="2" t="inlineStr">
        <is>
          <t>US</t>
        </is>
      </c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63062200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inlineStr">
        <is>
          <t>SUBTOTAL</t>
        </is>
      </c>
      <c r="K18" s="4" t="n"/>
      <c r="L18" s="4" t="n"/>
      <c r="M18" s="4" t="n"/>
      <c r="N18" s="4" t="n"/>
      <c r="O18" s="4" t="n"/>
      <c r="P18" s="5">
        <f>P17</f>
        <v/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ADJUSTMENTS</t>
        </is>
      </c>
      <c r="K19" s="4" t="n"/>
      <c r="L19" s="4" t="n"/>
      <c r="M19" s="4" t="n"/>
      <c r="N19" s="4" t="n"/>
      <c r="O19" s="4" t="n"/>
      <c r="P19" s="5">
        <f>(T17+U17+V17-W17)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NET TOTAL</t>
        </is>
      </c>
      <c r="K20" s="4" t="n"/>
      <c r="L20" s="4" t="n"/>
      <c r="M20" s="4" t="n"/>
      <c r="N20" s="4" t="n"/>
      <c r="O20" s="4" t="n"/>
      <c r="P20" s="5">
        <f>(P18+P19)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VARIANCE CHECK</t>
        </is>
      </c>
      <c r="K21" s="4" t="n"/>
      <c r="L21" s="4" t="n"/>
      <c r="M21" s="4" t="n"/>
      <c r="N21" s="4" t="n"/>
      <c r="O21" s="4" t="n"/>
      <c r="P21" s="5">
        <f>(S17-P20)</f>
        <v/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DUTY ESTIMATION (Classification Cross-Check)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>CIF (USD) = InvTotal + Freight + Insurance</t>
        </is>
      </c>
      <c r="K24" s="7" t="n"/>
      <c r="L24" s="7" t="n"/>
      <c r="M24" s="7" t="n"/>
      <c r="N24" s="7" t="n"/>
      <c r="O24" s="7" t="n"/>
      <c r="P24" s="9" t="n">
        <v>136.95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CIF (XCD) = CIF × 2.7169</t>
        </is>
      </c>
      <c r="K25" s="7" t="n"/>
      <c r="L25" s="7" t="n"/>
      <c r="M25" s="7" t="n"/>
      <c r="N25" s="7" t="n"/>
      <c r="O25" s="7" t="n"/>
      <c r="P25" s="9" t="n">
        <v>372.08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>CET (20%) — Tariff 00000000</t>
        </is>
      </c>
      <c r="K26" s="7" t="n"/>
      <c r="L26" s="7" t="n"/>
      <c r="M26" s="7" t="n"/>
      <c r="N26" s="7" t="n"/>
      <c r="O26" s="7" t="n"/>
      <c r="P26" s="9" t="n">
        <v>74.42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CSC (6%)</t>
        </is>
      </c>
      <c r="K27" s="7" t="n"/>
      <c r="L27" s="7" t="n"/>
      <c r="M27" s="7" t="n"/>
      <c r="N27" s="7" t="n"/>
      <c r="O27" s="7" t="n"/>
      <c r="P27" s="9" t="n">
        <v>22.32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>VAT (15%) on CIF+CET+CSC</t>
        </is>
      </c>
      <c r="K28" s="7" t="n"/>
      <c r="L28" s="7" t="n"/>
      <c r="M28" s="7" t="n"/>
      <c r="N28" s="7" t="n"/>
      <c r="O28" s="7" t="n"/>
      <c r="P28" s="9" t="n">
        <v>70.31999999999999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6" t="inlineStr">
        <is>
          <t>ESTIMATED TOTAL DUTIES</t>
        </is>
      </c>
      <c r="K29" s="10" t="n"/>
      <c r="L29" s="10" t="n"/>
      <c r="M29" s="10" t="n"/>
      <c r="N29" s="10" t="n"/>
      <c r="O29" s="10" t="n"/>
      <c r="P29" s="11" t="n">
        <v>167.06</v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>Effective Duty Rate</t>
        </is>
      </c>
      <c r="K30" s="7" t="n"/>
      <c r="L30" s="7" t="n"/>
      <c r="M30" s="7" t="n"/>
      <c r="N30" s="7" t="n"/>
      <c r="O30" s="7" t="n"/>
      <c r="P30" s="12" t="n">
        <v>0.4489894646312621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/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5" t="inlineStr">
        <is>
          <t>═══ COMBINED GRAND SUMMARY ═══</t>
        </is>
      </c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>
      <c r="L34" s="16" t="inlineStr">
        <is>
          <t>Invoice 112-7624326-9358635</t>
        </is>
      </c>
      <c r="P34" s="17" t="n">
        <v>980.55</v>
      </c>
      <c r="Q34" s="18" t="n">
        <v>-843.6</v>
      </c>
    </row>
    <row r="35">
      <c r="L35" s="16" t="inlineStr">
        <is>
          <t>Invoice 112-7624326-9358635</t>
        </is>
      </c>
      <c r="P35" s="17" t="n">
        <v>980.55</v>
      </c>
      <c r="Q35" s="18" t="n">
        <v>-843.6</v>
      </c>
    </row>
    <row r="36"/>
    <row r="37">
      <c r="L37" s="19" t="inlineStr">
        <is>
          <t>GRAND TOTAL</t>
        </is>
      </c>
      <c r="P37" s="20" t="n">
        <v>1961.1</v>
      </c>
    </row>
    <row r="38">
      <c r="L38" s="21" t="inlineStr">
        <is>
          <t>GRAND VARIANCE CHECK</t>
        </is>
      </c>
      <c r="P38" s="18" t="n">
        <v>-1687.2</v>
      </c>
    </row>
    <row r="39">
      <c r="L39" s="22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3" t="inlineStr">
        <is>
          <t>PDF File</t>
        </is>
      </c>
      <c r="B1" s="23" t="inlineStr">
        <is>
          <t>Quality Score</t>
        </is>
      </c>
      <c r="C1" s="23" t="inlineStr">
        <is>
          <t>Rating</t>
        </is>
      </c>
      <c r="D1" s="23" t="inlineStr">
        <is>
          <t>Details</t>
        </is>
      </c>
      <c r="E1" s="23" t="inlineStr">
        <is>
          <t>OCR Text (first 2000 chars)</t>
        </is>
      </c>
    </row>
    <row r="2">
      <c r="A2" s="24" t="inlineStr">
        <is>
          <t>112-7624326-9358635.pdf</t>
        </is>
      </c>
      <c r="B2" s="24" t="inlineStr">
        <is>
          <t>64/100</t>
        </is>
      </c>
      <c r="C2" s="24" t="inlineStr">
        <is>
          <t>FAIR</t>
        </is>
      </c>
      <c r="D2" s="24" t="inlineStr">
        <is>
          <t>Text: 1847 chars; Prices: 2 ($-sign), 9 (decimal); Total: $136.95; Invoice#: 112-7624326-9358635; Real items: 0/1; Structure words: 8/12</t>
        </is>
      </c>
      <c r="E2" s="25" t="inlineStr">
        <is>
          <t>« 5 / 27 / 24 , 6 : 57 PM Amazon . com - Order 112-7624326-9358635
amazoncony
Scee ? ? ' 1
| . bo . .
mF Final Details for Order # 112-7624326-9358635
a Print this page for your records ,
t } ‘
Order Placed : May 17 , 2024
; Amazon . com order number : 112-7624326-9358635
Order Total : USD 136.95
1 ' fc ! -
‘ og Wor Shipped on May 20 , 2024
‘ Items , Ordered Price
‘ 1 of: CAMPROS Tent - 8 - Person - Camping - Tents , Waterproof Windproof Family Tent , 5 Large Mesh Windows , Double Layer , $127.99
it Divided Curtain for Separated Room , Portable with Carry Bag - Blue
; . Sold by: CAMPROS OUTDOOR ( seller profite ) | Product question ? Ask Seller
: Supplied by: CAMPROS OUTDOOR ( seller profile
Condition : New
Shipping Address :
reba calliste
10813 NW 30 TH ST BLDG 115
GRE 9212 ©
MIAMI , FL 33172 - 2191
United States
Shipping Speed :
FREE Shipping
eee ee
| ie . Payment information
Payment Method : Item ( s ) Subtotal : USD 127.99
visa ending in 3621 Shipping &amp; Handling : USD 14.88
oy ! Free Shipping : - USD 14.88
Billing address - o - - -
reba ’ catliste Total before tax : USD 127.99
10813 NW 30 TH ST BLOG 115 Estimated tax to be collected : USD 8.96
GRE 9212 arn - -
MIAMI , FL 33172 - 2191 Grand Total : USD 136.95
United States Payment Grand Total : XCD 374.85
Credit : Card transactions Visa ending in 3621 : May 20 , 2024 : $136.95
To view the status of your order , return to Order Summary .
Conditions of Use [ Privacy Notice © 1996 - 2024 , Amazon . com , Inc . or its affiliates
|
of .
{ co
| | English | | United States Hed
, a ene !
| Conditions of Use Privacy Nottes | Comscumer Health Dara origac y dit sun PMT Cte ,
. 19 1990 - 2024 , Amazon . cam , dee or oy atin
7 !
https : / / www . amazon . com / gp / css / summary / print . html ? orderID = 112-7624326-93586358 ref = ppx yo 2 ov dt b invoice 1 / 1
i " | ‘
Jk :</t>
        </is>
      </c>
    </row>
    <row r="3">
      <c r="A3" s="24" t="inlineStr">
        <is>
          <t>HAWB9333496-Manifest_Invoice.pdf</t>
        </is>
      </c>
      <c r="B3" s="24" t="inlineStr">
        <is>
          <t>64/100</t>
        </is>
      </c>
      <c r="C3" s="24" t="inlineStr">
        <is>
          <t>FAIR</t>
        </is>
      </c>
      <c r="D3" s="24" t="inlineStr">
        <is>
          <t>Text: 1847 chars; Prices: 2 ($-sign), 9 (decimal); Total: $136.95; Invoice#: 112-7624326-9358635; Real items: 0/1; Structure words: 8/12</t>
        </is>
      </c>
      <c r="E3" s="25" t="inlineStr">
        <is>
          <t>« 5 / 27 / 24 , 6 : 57 PM Amazon . com - Order 112-7624326-9358635
amazoncony
Scee ? ? ' 1
| . bo . .
mF Final Details for Order # 112-7624326-9358635
a Print this page for your records ,
t } ‘
Order Placed : May 17 , 2024
; Amazon . com order number : 112-7624326-9358635
Order Total : USD 136.95
1 ' fc ! -
‘ og Wor Shipped on May 20 , 2024
‘ Items , Ordered Price
‘ 1 of: CAMPROS Tent - 8 - Person - Camping - Tents , Waterproof Windproof Family Tent , 5 Large Mesh Windows , Double Layer , $127.99
it Divided Curtain for Separated Room , Portable with Carry Bag - Blue
; . Sold by: CAMPROS OUTDOOR ( seller profite ) | Product question ? Ask Seller
: Supplied by: CAMPROS OUTDOOR ( seller profile
Condition : New
Shipping Address :
reba calliste
10813 NW 30 TH ST BLDG 115
GRE 9212 ©
MIAMI , FL 33172 - 2191
United States
Shipping Speed :
FREE Shipping
eee ee
| ie . Payment information
Payment Method : Item ( s ) Subtotal : USD 127.99
visa ending in 3621 Shipping &amp; Handling : USD 14.88
oy ! Free Shipping : - USD 14.88
Billing address - o - - -
reba ’ catliste Total before tax : USD 127.99
10813 NW 30 TH ST BLOG 115 Estimated tax to be collected : USD 8.96
GRE 9212 arn - -
MIAMI , FL 33172 - 2191 Grand Total : USD 136.95
United States Payment Grand Total : XCD 374.85
Credit : Card transactions Visa ending in 3621 : May 20 , 2024 : $136.95
To view the status of your order , return to Order Summary .
Conditions of Use [ Privacy Notice © 1996 - 2024 , Amazon . com , Inc . or its affiliates
|
of .
{ co
| | English | | United States Hed
, a ene !
| Conditions of Use Privacy Nottes | Comscumer Health Dara origac y dit sun PMT Cte ,
. 19 1990 - 2024 , Amazon . cam , dee or oy atin
7 !
https : / / www . amazon . com / gp / css / summary / print . html ? orderID = 112-7624326-93586358 ref = ppx yo 2 ov dt b invoice 1 / 1
i " | ‘
Jk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2026-04-26T18:15:34Z</dcterms:created>
  <dcterms:modified xmlns:dcterms="http://purl.org/dc/terms/" xmlns:xsi="http://www.w3.org/2001/XMLSchema-instance" xsi:type="dcterms:W3CDTF">2026-04-26T18:15:39Z</dcterms:modified>
</cp:coreProperties>
</file>