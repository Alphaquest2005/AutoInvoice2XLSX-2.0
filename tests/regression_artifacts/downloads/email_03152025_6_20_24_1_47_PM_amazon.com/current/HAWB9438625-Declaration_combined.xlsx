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112-9428156-0802636</t>
        </is>
      </c>
      <c r="D2" s="2" t="inlineStr">
        <is>
          <t>2024-06-09</t>
        </is>
      </c>
      <c r="E2" s="2" t="inlineStr">
        <is>
          <t>Articles of apparel, knitted or crocheted</t>
        </is>
      </c>
      <c r="F2" s="2" t="inlineStr">
        <is>
          <t>62034290</t>
        </is>
      </c>
      <c r="G2" s="2" t="inlineStr"/>
      <c r="H2" s="2" t="inlineStr"/>
      <c r="I2" s="2" t="inlineStr">
        <is>
          <t>62034290</t>
        </is>
      </c>
      <c r="J2" s="2" t="inlineStr">
        <is>
          <t>CINVlK Men's 100% Cotton Funny Boxer Pajama Short Pants Organic Cotton Loose 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19.99</v>
      </c>
      <c r="P2" s="3" t="n">
        <v>19.99</v>
      </c>
      <c r="Q2" s="3">
        <f>O2*K2</f>
        <v/>
      </c>
      <c r="R2" s="3">
        <f>P2-Q2</f>
        <v/>
      </c>
      <c r="S2" s="3" t="n">
        <v>42.78</v>
      </c>
      <c r="T2" s="3" t="n">
        <v>0</v>
      </c>
      <c r="U2" s="3" t="n">
        <v>0</v>
      </c>
      <c r="V2" s="3" t="n">
        <v>2.8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HAWB9438625-Declaration_combined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62034290</t>
        </is>
      </c>
    </row>
    <row r="3">
      <c r="A3" s="4" t="n"/>
      <c r="B3" s="4" t="n"/>
      <c r="C3" s="4" t="n"/>
      <c r="D3" s="4" t="n"/>
      <c r="E3" s="4" t="n"/>
      <c r="F3" s="4" t="inlineStr">
        <is>
          <t>62034290</t>
        </is>
      </c>
      <c r="G3" s="4" t="n"/>
      <c r="H3" s="4" t="n"/>
      <c r="I3" s="4" t="inlineStr">
        <is>
          <t>AMZ-1</t>
        </is>
      </c>
      <c r="J3" s="4" t="inlineStr">
        <is>
          <t>CINVlK Men's 100% Cotton Funny Boxer Pajama Short Pants Organic Cotton Loose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19.99</v>
      </c>
      <c r="P3" s="5" t="n">
        <v>19.99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112-9428156-0802636</t>
        </is>
      </c>
      <c r="D4" s="2" t="inlineStr">
        <is>
          <t>2024-06-09</t>
        </is>
      </c>
      <c r="E4" s="2" t="inlineStr">
        <is>
          <t>Of cotton</t>
        </is>
      </c>
      <c r="F4" s="2" t="inlineStr">
        <is>
          <t>61071100</t>
        </is>
      </c>
      <c r="G4" s="2" t="inlineStr"/>
      <c r="H4" s="2" t="inlineStr"/>
      <c r="I4" s="2" t="inlineStr">
        <is>
          <t>61071100</t>
        </is>
      </c>
      <c r="J4" s="2" t="inlineStr">
        <is>
          <t>CINVlK Men's Funny Boxers 100% Cotton Soft Short Inseam Pickle Print Loose Fi...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19.99</v>
      </c>
      <c r="P4" s="3" t="n">
        <v>19.99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61071100</t>
        </is>
      </c>
    </row>
    <row r="5">
      <c r="A5" s="4" t="n"/>
      <c r="B5" s="4" t="n"/>
      <c r="C5" s="4" t="n"/>
      <c r="D5" s="4" t="n"/>
      <c r="E5" s="4" t="n"/>
      <c r="F5" s="4" t="inlineStr">
        <is>
          <t>61071100</t>
        </is>
      </c>
      <c r="G5" s="4" t="n"/>
      <c r="H5" s="4" t="n"/>
      <c r="I5" s="4" t="inlineStr">
        <is>
          <t>AMZ-2</t>
        </is>
      </c>
      <c r="J5" s="4" t="inlineStr">
        <is>
          <t>CINVlK Men's Funny Boxers 100% Cotton Soft Short Inseam Pickle Print Loose Fi...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19.99</v>
      </c>
      <c r="P5" s="5" t="n">
        <v>19.99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2.8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47.78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129.81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20.0%)</t>
        </is>
      </c>
      <c r="K24" s="13" t="n"/>
      <c r="L24" s="13" t="n"/>
      <c r="M24" s="13" t="n"/>
      <c r="N24" s="13" t="n"/>
      <c r="O24" s="13" t="n"/>
      <c r="P24" s="15" t="n">
        <v>25.96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61071100: 20% CET (50% of value)</t>
        </is>
      </c>
      <c r="K25" s="13" t="n"/>
      <c r="L25" s="13" t="n"/>
      <c r="M25" s="13" t="n"/>
      <c r="N25" s="13" t="n"/>
      <c r="O25" s="13" t="n"/>
      <c r="P25" s="15" t="n">
        <v>12.98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62034290: 20% CET (50% of value)</t>
        </is>
      </c>
      <c r="K26" s="13" t="n"/>
      <c r="L26" s="13" t="n"/>
      <c r="M26" s="13" t="n"/>
      <c r="N26" s="13" t="n"/>
      <c r="O26" s="13" t="n"/>
      <c r="P26" s="15" t="n">
        <v>12.98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7.79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24.53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58.28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0.4489638702719359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CLIENT DECLARED DUTIES</t>
        </is>
      </c>
      <c r="K31" s="13" t="n"/>
      <c r="L31" s="13" t="n"/>
      <c r="M31" s="13" t="n"/>
      <c r="N31" s="13" t="n"/>
      <c r="O31" s="13" t="n"/>
      <c r="P31" s="15" t="n">
        <v>58.29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9" t="inlineStr">
        <is>
          <t>DUTY VARIANCE (Client − Estimated)</t>
        </is>
      </c>
      <c r="K32" s="13" t="n"/>
      <c r="L32" s="13" t="n"/>
      <c r="M32" s="13" t="n"/>
      <c r="N32" s="13" t="n"/>
      <c r="O32" s="13" t="n"/>
      <c r="P32" s="15" t="n">
        <v>0.01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CET RATE (from client value)</t>
        </is>
      </c>
      <c r="K33" s="13" t="n"/>
      <c r="L33" s="13" t="n"/>
      <c r="M33" s="13" t="n"/>
      <c r="N33" s="13" t="n"/>
      <c r="O33" s="13" t="n"/>
      <c r="P33" s="18" t="n">
        <v>0.2000355703821304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inlineStr">
        <is>
          <t>62034290</t>
        </is>
      </c>
      <c r="G34" s="13" t="n"/>
      <c r="H34" s="13" t="n"/>
      <c r="I34" s="13" t="n"/>
      <c r="J34" s="14" t="inlineStr">
        <is>
          <t>IMPLIED CIF (from declared duty @ 20% CET, XCD)</t>
        </is>
      </c>
      <c r="K34" s="13" t="n"/>
      <c r="L34" s="13" t="n"/>
      <c r="M34" s="13" t="n"/>
      <c r="N34" s="13" t="n"/>
      <c r="O34" s="13" t="n"/>
      <c r="P34" s="15" t="n">
        <v>129.82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inlineStr">
        <is>
          <t>62034290</t>
        </is>
      </c>
    </row>
    <row r="35">
      <c r="A35" s="13" t="n"/>
      <c r="B35" s="13" t="n"/>
      <c r="C35" s="13" t="n"/>
      <c r="D35" s="13" t="n"/>
      <c r="E35" s="13" t="n"/>
      <c r="F35" s="13" t="inlineStr">
        <is>
          <t>62034290</t>
        </is>
      </c>
      <c r="G35" s="13" t="n"/>
      <c r="H35" s="13" t="n"/>
      <c r="I35" s="13" t="n"/>
      <c r="J35" s="14" t="inlineStr">
        <is>
          <t>IMPLIED ITEMS VALUE (USD, net of freight/insurance)</t>
        </is>
      </c>
      <c r="K35" s="13" t="n"/>
      <c r="L35" s="13" t="n"/>
      <c r="M35" s="13" t="n"/>
      <c r="N35" s="13" t="n"/>
      <c r="O35" s="13" t="n"/>
      <c r="P35" s="15" t="n">
        <v>42.78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inlineStr">
        <is>
          <t>62034290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2026-04-24T05:54:20Z</dcterms:created>
  <dcterms:modified xsi:type="dcterms:W3CDTF">2026-04-24T05:54:31Z</dcterms:modified>
</cp:coreProperties>
</file>