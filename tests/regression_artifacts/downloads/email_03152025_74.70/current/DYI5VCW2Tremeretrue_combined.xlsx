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0" fillId="3" borderId="1" pivotButton="0" quotePrefix="0" xfId="0"/>
    <xf numFmtId="0" fontId="4" fillId="3" borderId="1" pivotButton="0" quotePrefix="0" xfId="0"/>
    <xf numFmtId="0" fontId="5" fillId="4" borderId="1" pivotButton="0" quotePrefix="0" xfId="0"/>
    <xf numFmtId="0" fontId="0" fillId="0" borderId="1" pivotButton="0" quotePrefix="0" xfId="0"/>
    <xf numFmtId="0" fontId="6" fillId="0" borderId="1" pivotButton="0" quotePrefix="0" xfId="0"/>
    <xf numFmtId="164" fontId="5" fillId="0" borderId="1" pivotButton="0" quotePrefix="0" xfId="0"/>
    <xf numFmtId="0" fontId="0" fillId="4" borderId="1" pivotButton="0" quotePrefix="0" xfId="0"/>
    <xf numFmtId="164" fontId="5" fillId="4" borderId="1" pivotButton="0" quotePrefix="0" xfId="0"/>
    <xf numFmtId="165" fontId="5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DYI5VCW2Tremeretrue</t>
        </is>
      </c>
      <c r="D2" s="2" t="inlineStr">
        <is>
          <t>Jul 28, 2024, 08:14 PM</t>
        </is>
      </c>
      <c r="E2" s="2" t="inlineStr">
        <is>
          <t>Unclassifiable product</t>
        </is>
      </c>
      <c r="F2" s="2" t="inlineStr">
        <is>
          <t>21069090</t>
        </is>
      </c>
      <c r="G2" s="2" t="inlineStr"/>
      <c r="H2" s="2" t="inlineStr"/>
      <c r="I2" s="2" t="inlineStr">
        <is>
          <t>TRE-1</t>
        </is>
      </c>
      <c r="J2" s="2" t="inlineStr">
        <is>
          <t>Tremeretrue Purchase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63.95</v>
      </c>
      <c r="P2" s="3" t="n">
        <v>63.95</v>
      </c>
      <c r="Q2" s="3">
        <f>O2*K2</f>
        <v/>
      </c>
      <c r="R2" s="3">
        <f>P2-Q2</f>
        <v/>
      </c>
      <c r="S2" s="3" t="n">
        <v>74.7</v>
      </c>
      <c r="T2" s="3" t="n">
        <v>10.75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TREMERET</t>
        </is>
      </c>
      <c r="AA2" s="2" t="inlineStr">
        <is>
          <t>DYI5VCW2Tremeretrue_combined</t>
        </is>
      </c>
      <c r="AB2" s="2" t="inlineStr">
        <is>
          <t>11771 Sunningdale Pl, Waldorf, MD 20602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21069090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7" t="inlineStr">
        <is>
          <t>INVOICE NOTES: Invoice total uncertain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/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inlineStr">
        <is>
          <t>DUTY ESTIMATION (Classification Cross-Check)</t>
        </is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10" t="inlineStr">
        <is>
          <t>CIF (USD) = InvTotal + Freight + Insurance</t>
        </is>
      </c>
      <c r="K11" s="9" t="n"/>
      <c r="L11" s="9" t="n"/>
      <c r="M11" s="9" t="n"/>
      <c r="N11" s="9" t="n"/>
      <c r="O11" s="9" t="n"/>
      <c r="P11" s="11" t="n">
        <v>77.7</v>
      </c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10" t="inlineStr">
        <is>
          <t>CIF (XCD) = CIF × 2.7169</t>
        </is>
      </c>
      <c r="K12" s="9" t="n"/>
      <c r="L12" s="9" t="n"/>
      <c r="M12" s="9" t="n"/>
      <c r="N12" s="9" t="n"/>
      <c r="O12" s="9" t="n"/>
      <c r="P12" s="11" t="n">
        <v>211.1</v>
      </c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10" t="inlineStr">
        <is>
          <t>CET (20%) — Tariff 00000000</t>
        </is>
      </c>
      <c r="K13" s="9" t="n"/>
      <c r="L13" s="9" t="n"/>
      <c r="M13" s="9" t="n"/>
      <c r="N13" s="9" t="n"/>
      <c r="O13" s="9" t="n"/>
      <c r="P13" s="11" t="n">
        <v>42.22</v>
      </c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10" t="inlineStr">
        <is>
          <t>CSC (6%)</t>
        </is>
      </c>
      <c r="K14" s="9" t="n"/>
      <c r="L14" s="9" t="n"/>
      <c r="M14" s="9" t="n"/>
      <c r="N14" s="9" t="n"/>
      <c r="O14" s="9" t="n"/>
      <c r="P14" s="11" t="n">
        <v>12.67</v>
      </c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10" t="inlineStr">
        <is>
          <t>VAT (15%) on CIF+CET+CSC</t>
        </is>
      </c>
      <c r="K15" s="9" t="n"/>
      <c r="L15" s="9" t="n"/>
      <c r="M15" s="9" t="n"/>
      <c r="N15" s="9" t="n"/>
      <c r="O15" s="9" t="n"/>
      <c r="P15" s="11" t="n">
        <v>39.9</v>
      </c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8" t="inlineStr">
        <is>
          <t>ESTIMATED TOTAL DUTIES</t>
        </is>
      </c>
      <c r="K16" s="12" t="n"/>
      <c r="L16" s="12" t="n"/>
      <c r="M16" s="12" t="n"/>
      <c r="N16" s="12" t="n"/>
      <c r="O16" s="12" t="n"/>
      <c r="P16" s="13" t="n">
        <v>94.79000000000001</v>
      </c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10" t="inlineStr">
        <is>
          <t>Effective Duty Rate</t>
        </is>
      </c>
      <c r="K17" s="9" t="n"/>
      <c r="L17" s="9" t="n"/>
      <c r="M17" s="9" t="n"/>
      <c r="N17" s="9" t="n"/>
      <c r="O17" s="9" t="n"/>
      <c r="P17" s="14" t="n">
        <v>0.4490288962576978</v>
      </c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10" t="inlineStr">
        <is>
          <t>CLIENT DECLARED DUTIES</t>
        </is>
      </c>
      <c r="K18" s="9" t="n"/>
      <c r="L18" s="9" t="n"/>
      <c r="M18" s="9" t="n"/>
      <c r="N18" s="9" t="n"/>
      <c r="O18" s="9" t="n"/>
      <c r="P18" s="11" t="n">
        <v>94.79000000000001</v>
      </c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15" t="inlineStr">
        <is>
          <t>DUTY VARIANCE (Client − Estimated)</t>
        </is>
      </c>
      <c r="K19" s="9" t="n"/>
      <c r="L19" s="9" t="n"/>
      <c r="M19" s="9" t="n"/>
      <c r="N19" s="9" t="n"/>
      <c r="O19" s="9" t="n"/>
      <c r="P19" s="11" t="n">
        <v>0</v>
      </c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10" t="inlineStr">
        <is>
          <t>IMPLIED CET RATE (from client value)</t>
        </is>
      </c>
      <c r="K20" s="9" t="n"/>
      <c r="L20" s="9" t="n"/>
      <c r="M20" s="9" t="n"/>
      <c r="N20" s="9" t="n"/>
      <c r="O20" s="9" t="n"/>
      <c r="P20" s="14" t="n">
        <v>0.2000251271806068</v>
      </c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10" t="inlineStr">
        <is>
          <t>IMPLIED CIF (from declared duty @ 20% CET, XCD)</t>
        </is>
      </c>
      <c r="K21" s="9" t="n"/>
      <c r="L21" s="9" t="n"/>
      <c r="M21" s="9" t="n"/>
      <c r="N21" s="9" t="n"/>
      <c r="O21" s="9" t="n"/>
      <c r="P21" s="11" t="n">
        <v>211.11</v>
      </c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10" t="inlineStr">
        <is>
          <t>IMPLIED ITEMS VALUE (USD, net of freight/insurance)</t>
        </is>
      </c>
      <c r="K22" s="9" t="n"/>
      <c r="L22" s="9" t="n"/>
      <c r="M22" s="9" t="n"/>
      <c r="N22" s="9" t="n"/>
      <c r="O22" s="9" t="n"/>
      <c r="P22" s="11" t="n">
        <v>74.7</v>
      </c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2026-04-26T18:18:38Z</dcterms:created>
  <dcterms:modified xmlns:dcterms="http://purl.org/dc/terms/" xmlns:xsi="http://www.w3.org/2001/XMLSchema-instance" xsi:type="dcterms:W3CDTF">2026-04-26T18:18:43Z</dcterms:modified>
</cp:coreProperties>
</file>