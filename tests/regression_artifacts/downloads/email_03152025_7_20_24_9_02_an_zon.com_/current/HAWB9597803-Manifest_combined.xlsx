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113-5352926-0997859</t>
        </is>
      </c>
      <c r="D2" s="2" t="inlineStr"/>
      <c r="E2" s="2" t="inlineStr">
        <is>
          <t>Camera accessories and parts</t>
        </is>
      </c>
      <c r="F2" s="2" t="inlineStr">
        <is>
          <t>96200000</t>
        </is>
      </c>
      <c r="G2" s="2" t="inlineStr"/>
      <c r="H2" s="2" t="inlineStr"/>
      <c r="I2" s="2" t="inlineStr">
        <is>
          <t>96200000</t>
        </is>
      </c>
      <c r="J2" s="2" t="inlineStr">
        <is>
          <t>NEEWER Camera Tripod with Remote , Mini Flexible Tripod Stand with Action Cam...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4.57</v>
      </c>
      <c r="P2" s="3" t="n">
        <v>4.57</v>
      </c>
      <c r="Q2" s="3">
        <f>O2*K2</f>
        <v/>
      </c>
      <c r="R2" s="3">
        <f>P2-Q2</f>
        <v/>
      </c>
      <c r="S2" s="3" t="n">
        <v>172.89</v>
      </c>
      <c r="T2" s="3" t="n">
        <v>0</v>
      </c>
      <c r="U2" s="3" t="n">
        <v>0</v>
      </c>
      <c r="V2" s="3" t="n">
        <v>1.35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HAWB9597803-Manifest_combined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96200000</t>
        </is>
      </c>
    </row>
    <row r="3">
      <c r="A3" s="4" t="n"/>
      <c r="B3" s="4" t="n"/>
      <c r="C3" s="4" t="n"/>
      <c r="D3" s="4" t="n"/>
      <c r="E3" s="4" t="n"/>
      <c r="F3" s="4" t="inlineStr">
        <is>
          <t>96200000</t>
        </is>
      </c>
      <c r="G3" s="4" t="n"/>
      <c r="H3" s="4" t="n"/>
      <c r="I3" s="4" t="inlineStr">
        <is>
          <t>AMZ-1</t>
        </is>
      </c>
      <c r="J3" s="4" t="inlineStr">
        <is>
          <t>NEEWER Camera Tripod with Remote , Mini Flexible Tripod Stand with Action Cam...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4.57</v>
      </c>
      <c r="P3" s="5" t="n">
        <v>4.57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113-5352926-0997859</t>
        </is>
      </c>
      <c r="D4" s="2" t="inlineStr"/>
      <c r="E4" s="2" t="inlineStr">
        <is>
          <t>For cameras</t>
        </is>
      </c>
      <c r="F4" s="2" t="inlineStr">
        <is>
          <t>90069100</t>
        </is>
      </c>
      <c r="G4" s="2" t="inlineStr"/>
      <c r="H4" s="2" t="inlineStr"/>
      <c r="I4" s="2" t="inlineStr">
        <is>
          <t>90069100</t>
        </is>
      </c>
      <c r="J4" s="2" t="inlineStr">
        <is>
          <t>( 2 PacksFotasy Hot Shoe to 1 / 4 Adapter , Camera Hot Shee Mount Adapter , F... (1 items)</t>
        </is>
      </c>
      <c r="K4" s="2" t="n">
        <v>1</v>
      </c>
      <c r="L4" s="2" t="n"/>
      <c r="M4" s="2" t="inlineStr"/>
      <c r="N4" s="2" t="inlineStr">
        <is>
          <t>USD</t>
        </is>
      </c>
      <c r="O4" s="3" t="n">
        <v>6.98</v>
      </c>
      <c r="P4" s="3" t="n">
        <v>6.98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90069100</t>
        </is>
      </c>
    </row>
    <row r="5">
      <c r="A5" s="4" t="n"/>
      <c r="B5" s="4" t="n"/>
      <c r="C5" s="4" t="n"/>
      <c r="D5" s="4" t="n"/>
      <c r="E5" s="4" t="n"/>
      <c r="F5" s="4" t="inlineStr">
        <is>
          <t>90069100</t>
        </is>
      </c>
      <c r="G5" s="4" t="n"/>
      <c r="H5" s="4" t="n"/>
      <c r="I5" s="4" t="inlineStr">
        <is>
          <t>AMZ-2</t>
        </is>
      </c>
      <c r="J5" s="4" t="inlineStr">
        <is>
          <t>( 2 PacksFotasy Hot Shoe to 1 / 4 Adapter , Camera Hot Shee Mount Adapter , F...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6.98</v>
      </c>
      <c r="P5" s="5" t="n">
        <v>6.98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2" t="n"/>
      <c r="B6" s="2" t="inlineStr"/>
      <c r="C6" s="2" t="inlineStr">
        <is>
          <t>113-5352926-0997859</t>
        </is>
      </c>
      <c r="D6" s="2" t="inlineStr"/>
      <c r="E6" s="2" t="inlineStr">
        <is>
          <t>Electrical monitors and receivers</t>
        </is>
      </c>
      <c r="F6" s="2" t="inlineStr">
        <is>
          <t>85286900</t>
        </is>
      </c>
      <c r="G6" s="2" t="inlineStr"/>
      <c r="H6" s="2" t="inlineStr"/>
      <c r="I6" s="2" t="inlineStr">
        <is>
          <t>85286900</t>
        </is>
      </c>
      <c r="J6" s="2" t="inlineStr">
        <is>
          <t>NEEWER F 500 5.5 Inch Camera Field Monitor , HDR Touch Screen with 3 D LUT , ... (1 items)</t>
        </is>
      </c>
      <c r="K6" s="2" t="n">
        <v>1</v>
      </c>
      <c r="L6" s="2" t="n"/>
      <c r="M6" s="2" t="inlineStr"/>
      <c r="N6" s="2" t="inlineStr">
        <is>
          <t>USD</t>
        </is>
      </c>
      <c r="O6" s="3" t="n">
        <v>159.99</v>
      </c>
      <c r="P6" s="3" t="n">
        <v>159.99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85286900</t>
        </is>
      </c>
    </row>
    <row r="7">
      <c r="A7" s="4" t="n"/>
      <c r="B7" s="4" t="n"/>
      <c r="C7" s="4" t="n"/>
      <c r="D7" s="4" t="n"/>
      <c r="E7" s="4" t="n"/>
      <c r="F7" s="4" t="inlineStr">
        <is>
          <t>85286900</t>
        </is>
      </c>
      <c r="G7" s="4" t="n"/>
      <c r="H7" s="4" t="n"/>
      <c r="I7" s="4" t="inlineStr">
        <is>
          <t>AMZ-3</t>
        </is>
      </c>
      <c r="J7" s="4" t="inlineStr">
        <is>
          <t>NEEWER F 500 5.5 Inch Camera Field Monitor , HDR Touch Screen with 3 D LUT , ...</t>
        </is>
      </c>
      <c r="K7" s="4" t="n">
        <v>1</v>
      </c>
      <c r="L7" s="4" t="n"/>
      <c r="M7" s="4" t="inlineStr"/>
      <c r="N7" s="4" t="inlineStr">
        <is>
          <t>USD</t>
        </is>
      </c>
      <c r="O7" s="5" t="n">
        <v>159.99</v>
      </c>
      <c r="P7" s="5" t="n">
        <v>159.99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SUBTOTAL (GROUPED)</t>
        </is>
      </c>
      <c r="K8" s="6" t="n"/>
      <c r="L8" s="6" t="n"/>
      <c r="M8" s="6" t="n"/>
      <c r="N8" s="6" t="n"/>
      <c r="O8" s="6" t="n"/>
      <c r="P8" s="7">
        <f>P2+P4+P6</f>
        <v/>
      </c>
      <c r="Q8" s="7">
        <f>Q2+Q4+Q6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SUBTOTAL (DETAILS)</t>
        </is>
      </c>
      <c r="K9" s="6" t="n"/>
      <c r="L9" s="6" t="n"/>
      <c r="M9" s="6" t="n"/>
      <c r="N9" s="6" t="n"/>
      <c r="O9" s="6" t="n"/>
      <c r="P9" s="7">
        <f>SUM(P2:P7)-P8</f>
        <v/>
      </c>
      <c r="Q9" s="7">
        <f>SUM(Q2:Q7)-Q8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GROUP VERIFICATION</t>
        </is>
      </c>
      <c r="K10" s="8" t="n"/>
      <c r="L10" s="8" t="n"/>
      <c r="M10" s="8" t="n"/>
      <c r="N10" s="8" t="n"/>
      <c r="O10" s="8" t="n"/>
      <c r="P10" s="9">
        <f>P8-P9</f>
        <v/>
      </c>
      <c r="Q10" s="9">
        <f>Q8-Q9</f>
        <v/>
      </c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</row>
    <row r="11"/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INTERNAL FREIGHT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INSURANCE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OTHER COST</t>
        </is>
      </c>
      <c r="K14" s="6" t="n"/>
      <c r="L14" s="6" t="n"/>
      <c r="M14" s="6" t="n"/>
      <c r="N14" s="6" t="n"/>
      <c r="O14" s="6" t="n"/>
      <c r="P14" s="7" t="n">
        <v>1.35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DEDUCTION</t>
        </is>
      </c>
      <c r="K15" s="6" t="n"/>
      <c r="L15" s="6" t="n"/>
      <c r="M15" s="6" t="n"/>
      <c r="N15" s="6" t="n"/>
      <c r="O15" s="6" t="n"/>
      <c r="P15" s="7" t="n">
        <v>0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ADJUSTMENTS</t>
        </is>
      </c>
      <c r="K16" s="6" t="n"/>
      <c r="L16" s="6" t="n"/>
      <c r="M16" s="6" t="n"/>
      <c r="N16" s="6" t="n"/>
      <c r="O16" s="6" t="n"/>
      <c r="P16" s="7">
        <f>(T2+U2+V2-W2)</f>
        <v/>
      </c>
      <c r="Q16" s="7">
        <f>(T2+U2+V2-W2)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NET TOTAL</t>
        </is>
      </c>
      <c r="K18" s="6" t="n"/>
      <c r="L18" s="6" t="n"/>
      <c r="M18" s="6" t="n"/>
      <c r="N18" s="6" t="n"/>
      <c r="O18" s="6" t="n"/>
      <c r="P18" s="7">
        <f>P8+P16</f>
        <v/>
      </c>
      <c r="Q18" s="7">
        <f>Q8+Q16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INVOICE TOTAL</t>
        </is>
      </c>
      <c r="K19" s="6" t="n"/>
      <c r="L19" s="6" t="n"/>
      <c r="M19" s="6" t="n"/>
      <c r="N19" s="6" t="n"/>
      <c r="O19" s="6" t="n"/>
      <c r="P19" s="7">
        <f>S2</f>
        <v/>
      </c>
      <c r="Q19" s="7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/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inlineStr">
        <is>
          <t>VARIANCE CHECK</t>
        </is>
      </c>
      <c r="K21" s="10" t="n"/>
      <c r="L21" s="10" t="n"/>
      <c r="M21" s="10" t="n"/>
      <c r="N21" s="10" t="n"/>
      <c r="O21" s="10" t="n"/>
      <c r="P21" s="11">
        <f>S2-P18</f>
        <v/>
      </c>
      <c r="Q21" s="11">
        <f>S2-Q18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</row>
    <row r="22"/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inlineStr">
        <is>
          <t>DUTY ESTIMATION (Classification Cross-Check)</t>
        </is>
      </c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CIF (USD) = InvTotal + Freight + Insurance</t>
        </is>
      </c>
      <c r="K24" s="13" t="n"/>
      <c r="L24" s="13" t="n"/>
      <c r="M24" s="13" t="n"/>
      <c r="N24" s="13" t="n"/>
      <c r="O24" s="13" t="n"/>
      <c r="P24" s="15" t="n">
        <v>181.89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CIF (XCD) = CIF × 2.7169</t>
        </is>
      </c>
      <c r="K25" s="13" t="n"/>
      <c r="L25" s="13" t="n"/>
      <c r="M25" s="13" t="n"/>
      <c r="N25" s="13" t="n"/>
      <c r="O25" s="13" t="n"/>
      <c r="P25" s="15" t="n">
        <v>494.18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CET (weighted avg 20.0%)</t>
        </is>
      </c>
      <c r="K26" s="13" t="n"/>
      <c r="L26" s="13" t="n"/>
      <c r="M26" s="13" t="n"/>
      <c r="N26" s="13" t="n"/>
      <c r="O26" s="13" t="n"/>
      <c r="P26" s="15" t="n">
        <v>98.84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 xml:space="preserve">  └ 85286900: 20% CET (93% of value)</t>
        </is>
      </c>
      <c r="K27" s="13" t="n"/>
      <c r="L27" s="13" t="n"/>
      <c r="M27" s="13" t="n"/>
      <c r="N27" s="13" t="n"/>
      <c r="O27" s="13" t="n"/>
      <c r="P27" s="15" t="n">
        <v>92.18000000000001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 xml:space="preserve">  └ 90069100: 20% CET (4% of value)</t>
        </is>
      </c>
      <c r="K28" s="13" t="n"/>
      <c r="L28" s="13" t="n"/>
      <c r="M28" s="13" t="n"/>
      <c r="N28" s="13" t="n"/>
      <c r="O28" s="13" t="n"/>
      <c r="P28" s="15" t="n">
        <v>4.02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 xml:space="preserve">  └ 96200000: 20% CET (3% of value)</t>
        </is>
      </c>
      <c r="K29" s="13" t="n"/>
      <c r="L29" s="13" t="n"/>
      <c r="M29" s="13" t="n"/>
      <c r="N29" s="13" t="n"/>
      <c r="O29" s="13" t="n"/>
      <c r="P29" s="15" t="n">
        <v>2.63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CSC (6%)</t>
        </is>
      </c>
      <c r="K30" s="13" t="n"/>
      <c r="L30" s="13" t="n"/>
      <c r="M30" s="13" t="n"/>
      <c r="N30" s="13" t="n"/>
      <c r="O30" s="13" t="n"/>
      <c r="P30" s="15" t="n">
        <v>29.65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VAT (15%) on CIF+CET+CSC</t>
        </is>
      </c>
      <c r="K31" s="13" t="n"/>
      <c r="L31" s="13" t="n"/>
      <c r="M31" s="13" t="n"/>
      <c r="N31" s="13" t="n"/>
      <c r="O31" s="13" t="n"/>
      <c r="P31" s="15" t="n">
        <v>93.40000000000001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2" t="inlineStr">
        <is>
          <t>ESTIMATED TOTAL DUTIES</t>
        </is>
      </c>
      <c r="K32" s="16" t="n"/>
      <c r="L32" s="16" t="n"/>
      <c r="M32" s="16" t="n"/>
      <c r="N32" s="16" t="n"/>
      <c r="O32" s="16" t="n"/>
      <c r="P32" s="17" t="n">
        <v>221.89</v>
      </c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Effective Duty Rate</t>
        </is>
      </c>
      <c r="K33" s="13" t="n"/>
      <c r="L33" s="13" t="n"/>
      <c r="M33" s="13" t="n"/>
      <c r="N33" s="13" t="n"/>
      <c r="O33" s="13" t="n"/>
      <c r="P33" s="18" t="n">
        <v>0.4490064349022623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inlineStr">
        <is>
          <t>CLIENT DECLARED DUTIES</t>
        </is>
      </c>
      <c r="K34" s="13" t="n"/>
      <c r="L34" s="13" t="n"/>
      <c r="M34" s="13" t="n"/>
      <c r="N34" s="13" t="n"/>
      <c r="O34" s="13" t="n"/>
      <c r="P34" s="15" t="n">
        <v>186.59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9" t="inlineStr">
        <is>
          <t>DUTY VARIANCE (Client − Estimated)</t>
        </is>
      </c>
      <c r="K35" s="13" t="n"/>
      <c r="L35" s="13" t="n"/>
      <c r="M35" s="13" t="n"/>
      <c r="N35" s="13" t="n"/>
      <c r="O35" s="13" t="n"/>
      <c r="P35" s="20" t="n">
        <v>-35.3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4" t="inlineStr">
        <is>
          <t>IMPLIED CET RATE (from client value)</t>
        </is>
      </c>
      <c r="K36" s="13" t="n"/>
      <c r="L36" s="13" t="n"/>
      <c r="M36" s="13" t="n"/>
      <c r="N36" s="13" t="n"/>
      <c r="O36" s="13" t="n"/>
      <c r="P36" s="18" t="n">
        <v>0.1378912805930597</v>
      </c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9" t="inlineStr">
        <is>
          <t>⚠ CET MISMATCH: System=20% vs Client≈14% — review classification</t>
        </is>
      </c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inlineStr">
        <is>
          <t>IMPLIED CIF (from declared duty @ 20% CET, XCD)</t>
        </is>
      </c>
      <c r="K38" s="13" t="n"/>
      <c r="L38" s="13" t="n"/>
      <c r="M38" s="13" t="n"/>
      <c r="N38" s="13" t="n"/>
      <c r="O38" s="13" t="n"/>
      <c r="P38" s="15" t="n">
        <v>415.57</v>
      </c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inlineStr">
        <is>
          <t>IMPLIED ITEMS VALUE (USD, net of freight/insurance)</t>
        </is>
      </c>
      <c r="K39" s="13" t="n"/>
      <c r="L39" s="13" t="n"/>
      <c r="M39" s="13" t="n"/>
      <c r="N39" s="13" t="n"/>
      <c r="O39" s="13" t="n"/>
      <c r="P39" s="15" t="n">
        <v>143.96</v>
      </c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2026-04-24T06:00:36Z</dcterms:created>
  <dcterms:modified xsi:type="dcterms:W3CDTF">2026-04-24T06:00:47Z</dcterms:modified>
</cp:coreProperties>
</file>