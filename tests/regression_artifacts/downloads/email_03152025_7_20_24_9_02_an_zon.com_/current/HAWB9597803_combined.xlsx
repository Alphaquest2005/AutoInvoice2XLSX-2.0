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113-5352926-0997859</t>
        </is>
      </c>
      <c r="D2" s="2" t="inlineStr"/>
      <c r="E2" s="2" t="inlineStr">
        <is>
          <t>Camera accessories and parts</t>
        </is>
      </c>
      <c r="F2" s="2" t="inlineStr">
        <is>
          <t>96200000</t>
        </is>
      </c>
      <c r="G2" s="2" t="inlineStr"/>
      <c r="H2" s="2" t="inlineStr"/>
      <c r="I2" s="2" t="inlineStr">
        <is>
          <t>96200000</t>
        </is>
      </c>
      <c r="J2" s="2" t="inlineStr">
        <is>
          <t>NEEWER Camera Tripod with Remote , Mini Flexible Tripod Stand with Action Cam...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4.57</v>
      </c>
      <c r="P2" s="3" t="n">
        <v>4.57</v>
      </c>
      <c r="Q2" s="3">
        <f>O2*K2</f>
        <v/>
      </c>
      <c r="R2" s="3">
        <f>P2-Q2</f>
        <v/>
      </c>
      <c r="S2" s="3" t="n">
        <v>172.89</v>
      </c>
      <c r="T2" s="3" t="n">
        <v>0</v>
      </c>
      <c r="U2" s="3" t="n">
        <v>0</v>
      </c>
      <c r="V2" s="3" t="n">
        <v>1.35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HAWB9597803_combined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96200000</t>
        </is>
      </c>
    </row>
    <row r="3">
      <c r="A3" s="4" t="n"/>
      <c r="B3" s="4" t="n"/>
      <c r="C3" s="4" t="n"/>
      <c r="D3" s="4" t="n"/>
      <c r="E3" s="4" t="n"/>
      <c r="F3" s="4" t="inlineStr">
        <is>
          <t>96200000</t>
        </is>
      </c>
      <c r="G3" s="4" t="n"/>
      <c r="H3" s="4" t="n"/>
      <c r="I3" s="4" t="inlineStr">
        <is>
          <t>AMZ-1</t>
        </is>
      </c>
      <c r="J3" s="4" t="inlineStr">
        <is>
          <t>NEEWER Camera Tripod with Remote , Mini Flexible Tripod Stand with Action Cam...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4.57</v>
      </c>
      <c r="P3" s="5" t="n">
        <v>4.57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113-5352926-0997859</t>
        </is>
      </c>
      <c r="D4" s="2" t="inlineStr"/>
      <c r="E4" s="2" t="inlineStr">
        <is>
          <t>For cameras</t>
        </is>
      </c>
      <c r="F4" s="2" t="inlineStr">
        <is>
          <t>90069100</t>
        </is>
      </c>
      <c r="G4" s="2" t="inlineStr"/>
      <c r="H4" s="2" t="inlineStr"/>
      <c r="I4" s="2" t="inlineStr">
        <is>
          <t>90069100</t>
        </is>
      </c>
      <c r="J4" s="2" t="inlineStr">
        <is>
          <t>( 2 PacksFotasy Hot Shoe to 1 / 4 Adapter , Camera Hot Shee Mount Adapter , F...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6.98</v>
      </c>
      <c r="P4" s="3" t="n">
        <v>6.98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90069100</t>
        </is>
      </c>
    </row>
    <row r="5">
      <c r="A5" s="4" t="n"/>
      <c r="B5" s="4" t="n"/>
      <c r="C5" s="4" t="n"/>
      <c r="D5" s="4" t="n"/>
      <c r="E5" s="4" t="n"/>
      <c r="F5" s="4" t="inlineStr">
        <is>
          <t>90069100</t>
        </is>
      </c>
      <c r="G5" s="4" t="n"/>
      <c r="H5" s="4" t="n"/>
      <c r="I5" s="4" t="inlineStr">
        <is>
          <t>AMZ-2</t>
        </is>
      </c>
      <c r="J5" s="4" t="inlineStr">
        <is>
          <t>( 2 PacksFotasy Hot Shoe to 1 / 4 Adapter , Camera Hot Shee Mount Adapter , F...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6.98</v>
      </c>
      <c r="P5" s="5" t="n">
        <v>6.98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113-5352926-0997859</t>
        </is>
      </c>
      <c r="D6" s="2" t="inlineStr"/>
      <c r="E6" s="2" t="inlineStr">
        <is>
          <t>Capable of directly connecting to and designed for use with an automatic data...</t>
        </is>
      </c>
      <c r="F6" s="2" t="inlineStr">
        <is>
          <t>85285200</t>
        </is>
      </c>
      <c r="G6" s="2" t="inlineStr"/>
      <c r="H6" s="2" t="inlineStr"/>
      <c r="I6" s="2" t="inlineStr">
        <is>
          <t>85285200</t>
        </is>
      </c>
      <c r="J6" s="2" t="inlineStr">
        <is>
          <t>NEEWER F 500 5.5 Inch Camera Field Monitor , HDR Touch Screen with 3 D LUT , ...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159.99</v>
      </c>
      <c r="P6" s="3" t="n">
        <v>159.99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85285200</t>
        </is>
      </c>
    </row>
    <row r="7">
      <c r="A7" s="4" t="n"/>
      <c r="B7" s="4" t="n"/>
      <c r="C7" s="4" t="n"/>
      <c r="D7" s="4" t="n"/>
      <c r="E7" s="4" t="n"/>
      <c r="F7" s="4" t="inlineStr">
        <is>
          <t>85285200</t>
        </is>
      </c>
      <c r="G7" s="4" t="n"/>
      <c r="H7" s="4" t="n"/>
      <c r="I7" s="4" t="inlineStr">
        <is>
          <t>AMZ-3</t>
        </is>
      </c>
      <c r="J7" s="4" t="inlineStr">
        <is>
          <t>NEEWER F 500 5.5 Inch Camera Field Monitor , HDR Touch Screen with 3 D LUT , 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159.99</v>
      </c>
      <c r="P7" s="5" t="n">
        <v>159.99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1.35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inlineStr">
        <is>
          <t>DUTY ESTIMATION (Classification Cross-Check)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(USD) = InvTotal + Freight + Insurance</t>
        </is>
      </c>
      <c r="K24" s="13" t="n"/>
      <c r="L24" s="13" t="n"/>
      <c r="M24" s="13" t="n"/>
      <c r="N24" s="13" t="n"/>
      <c r="O24" s="13" t="n"/>
      <c r="P24" s="15" t="n">
        <v>181.89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CIF (XCD) = CIF × 2.7169</t>
        </is>
      </c>
      <c r="K25" s="13" t="n"/>
      <c r="L25" s="13" t="n"/>
      <c r="M25" s="13" t="n"/>
      <c r="N25" s="13" t="n"/>
      <c r="O25" s="13" t="n"/>
      <c r="P25" s="15" t="n">
        <v>494.18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CET (weighted avg 6.0%)</t>
        </is>
      </c>
      <c r="K26" s="13" t="n"/>
      <c r="L26" s="13" t="n"/>
      <c r="M26" s="13" t="n"/>
      <c r="N26" s="13" t="n"/>
      <c r="O26" s="13" t="n"/>
      <c r="P26" s="15" t="n">
        <v>29.7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85285200: 5% CET (93% of value)</t>
        </is>
      </c>
      <c r="K27" s="13" t="n"/>
      <c r="L27" s="13" t="n"/>
      <c r="M27" s="13" t="n"/>
      <c r="N27" s="13" t="n"/>
      <c r="O27" s="13" t="n"/>
      <c r="P27" s="15" t="n">
        <v>23.05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 xml:space="preserve">  └ 90069100: 20% CET (4% of value)</t>
        </is>
      </c>
      <c r="K28" s="13" t="n"/>
      <c r="L28" s="13" t="n"/>
      <c r="M28" s="13" t="n"/>
      <c r="N28" s="13" t="n"/>
      <c r="O28" s="13" t="n"/>
      <c r="P28" s="15" t="n">
        <v>4.02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 xml:space="preserve">  └ 96200000: 20% CET (3% of value)</t>
        </is>
      </c>
      <c r="K29" s="13" t="n"/>
      <c r="L29" s="13" t="n"/>
      <c r="M29" s="13" t="n"/>
      <c r="N29" s="13" t="n"/>
      <c r="O29" s="13" t="n"/>
      <c r="P29" s="15" t="n">
        <v>2.63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>CSC (6%)</t>
        </is>
      </c>
      <c r="K30" s="13" t="n"/>
      <c r="L30" s="13" t="n"/>
      <c r="M30" s="13" t="n"/>
      <c r="N30" s="13" t="n"/>
      <c r="O30" s="13" t="n"/>
      <c r="P30" s="15" t="n">
        <v>29.65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VAT (15%) on CIF+CET+CSC</t>
        </is>
      </c>
      <c r="K31" s="13" t="n"/>
      <c r="L31" s="13" t="n"/>
      <c r="M31" s="13" t="n"/>
      <c r="N31" s="13" t="n"/>
      <c r="O31" s="13" t="n"/>
      <c r="P31" s="15" t="n">
        <v>83.03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2" t="inlineStr">
        <is>
          <t>ESTIMATED TOTAL DUTIES</t>
        </is>
      </c>
      <c r="K32" s="16" t="n"/>
      <c r="L32" s="16" t="n"/>
      <c r="M32" s="16" t="n"/>
      <c r="N32" s="16" t="n"/>
      <c r="O32" s="16" t="n"/>
      <c r="P32" s="17" t="n">
        <v>142.38</v>
      </c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>Effective Duty Rate</t>
        </is>
      </c>
      <c r="K33" s="13" t="n"/>
      <c r="L33" s="13" t="n"/>
      <c r="M33" s="13" t="n"/>
      <c r="N33" s="13" t="n"/>
      <c r="O33" s="13" t="n"/>
      <c r="P33" s="18" t="n">
        <v>0.2881136428022178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CLIENT DECLARED DUTIES</t>
        </is>
      </c>
      <c r="K34" s="13" t="n"/>
      <c r="L34" s="13" t="n"/>
      <c r="M34" s="13" t="n"/>
      <c r="N34" s="13" t="n"/>
      <c r="O34" s="13" t="n"/>
      <c r="P34" s="15" t="n">
        <v>186.59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9" t="inlineStr">
        <is>
          <t>DUTY VARIANCE (Client − Estimated)</t>
        </is>
      </c>
      <c r="K35" s="13" t="n"/>
      <c r="L35" s="13" t="n"/>
      <c r="M35" s="13" t="n"/>
      <c r="N35" s="13" t="n"/>
      <c r="O35" s="13" t="n"/>
      <c r="P35" s="20" t="n">
        <v>44.21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4" t="inlineStr">
        <is>
          <t>IMPLIED CET RATE (from client value)</t>
        </is>
      </c>
      <c r="K36" s="13" t="n"/>
      <c r="L36" s="13" t="n"/>
      <c r="M36" s="13" t="n"/>
      <c r="N36" s="13" t="n"/>
      <c r="O36" s="13" t="n"/>
      <c r="P36" s="18" t="n">
        <v>0.1378912805930597</v>
      </c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9" t="inlineStr">
        <is>
          <t>⚠ CET MISMATCH: System=6% vs Client≈14% — review classification</t>
        </is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IMPLIED CIF (from declared duty @ 6% CET, XCD)</t>
        </is>
      </c>
      <c r="K38" s="13" t="n"/>
      <c r="L38" s="13" t="n"/>
      <c r="M38" s="13" t="n"/>
      <c r="N38" s="13" t="n"/>
      <c r="O38" s="13" t="n"/>
      <c r="P38" s="15" t="n">
        <v>647.62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inlineStr">
        <is>
          <t>IMPLIED ITEMS VALUE (USD, net of freight/insurance)</t>
        </is>
      </c>
      <c r="K39" s="13" t="n"/>
      <c r="L39" s="13" t="n"/>
      <c r="M39" s="13" t="n"/>
      <c r="N39" s="13" t="n"/>
      <c r="O39" s="13" t="n"/>
      <c r="P39" s="15" t="n">
        <v>229.37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2026-04-26T18:20:15Z</dcterms:created>
  <dcterms:modified xmlns:dcterms="http://purl.org/dc/terms/" xmlns:xsi="http://www.w3.org/2001/XMLSchema-instance" xsi:type="dcterms:W3CDTF">2026-04-26T18:20:15Z</dcterms:modified>
</cp:coreProperties>
</file>