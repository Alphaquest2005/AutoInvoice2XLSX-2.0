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166" fontId="0" fillId="0" borderId="0" pivotButton="0" quotePrefix="0" xfId="0"/>
    <xf numFmtId="166" fontId="8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114-1708026-9220253</t>
        </is>
      </c>
      <c r="D2" s="2" t="n"/>
      <c r="E2" s="2" t="inlineStr">
        <is>
          <t>Sealed beam lamp units</t>
        </is>
      </c>
      <c r="F2" s="2" t="inlineStr">
        <is>
          <t>85122000</t>
        </is>
      </c>
      <c r="G2" s="2" t="n"/>
      <c r="H2" s="2" t="n"/>
      <c r="I2" s="2" t="inlineStr">
        <is>
          <t>AMZ-1</t>
        </is>
      </c>
      <c r="J2" s="2" t="inlineStr">
        <is>
          <t>LASFIT H 4 9003 Bulbs , HB 2 / H 19 / H 1 S / P 43 T High / Low Lights , 400 ...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59.99</v>
      </c>
      <c r="P2" s="3" t="n">
        <v>59.99</v>
      </c>
      <c r="Q2" s="3">
        <f>O2*K2</f>
        <v/>
      </c>
      <c r="R2" s="3">
        <f>P2-Q2</f>
        <v/>
      </c>
      <c r="S2" s="3" t="n">
        <v>64.56</v>
      </c>
      <c r="T2" s="3" t="n">
        <v>0</v>
      </c>
      <c r="U2" s="3" t="n">
        <v>-9</v>
      </c>
      <c r="V2" s="3" t="n">
        <v>4.57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64.56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175.4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85391000</t>
        </is>
      </c>
      <c r="K11" s="7" t="n"/>
      <c r="L11" s="7" t="n"/>
      <c r="M11" s="7" t="n"/>
      <c r="N11" s="7" t="n"/>
      <c r="O11" s="7" t="n"/>
      <c r="P11" s="9" t="n">
        <v>35.08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10.52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33.15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78.75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0.4489737742303306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2" t="inlineStr">
        <is>
          <t>4000-000</t>
        </is>
      </c>
      <c r="B17" s="2" t="n"/>
      <c r="C17" s="2" t="inlineStr">
        <is>
          <t>114-1708026-9220253</t>
        </is>
      </c>
      <c r="D17" s="2" t="n"/>
      <c r="E17" s="2" t="inlineStr">
        <is>
          <t>Other lighting or visual signalling equipment</t>
        </is>
      </c>
      <c r="F17" s="2" t="inlineStr">
        <is>
          <t>85122000</t>
        </is>
      </c>
      <c r="G17" s="2" t="n"/>
      <c r="H17" s="2" t="n"/>
      <c r="I17" s="2" t="inlineStr">
        <is>
          <t>AMZ-1</t>
        </is>
      </c>
      <c r="J17" s="2" t="inlineStr">
        <is>
          <t>LASFIT H 4 9003 Bulbs , HB 2 / H 19 / H 1 S / P 43 T High / Low Lights , 400 ...</t>
        </is>
      </c>
      <c r="K17" s="2" t="n">
        <v>1</v>
      </c>
      <c r="L17" s="2" t="n"/>
      <c r="M17" s="2" t="n"/>
      <c r="N17" s="2" t="inlineStr">
        <is>
          <t>USD</t>
        </is>
      </c>
      <c r="O17" s="3" t="n">
        <v>59.99</v>
      </c>
      <c r="P17" s="3" t="n">
        <v>59.99</v>
      </c>
      <c r="Q17" s="3">
        <f>O17*K17</f>
        <v/>
      </c>
      <c r="R17" s="3">
        <f>P17-Q17</f>
        <v/>
      </c>
      <c r="S17" s="3" t="n">
        <v>64.56</v>
      </c>
      <c r="T17" s="3" t="n">
        <v>0</v>
      </c>
      <c r="U17" s="3" t="n">
        <v>-9</v>
      </c>
      <c r="V17" s="3" t="n">
        <v>4.57</v>
      </c>
      <c r="W17" s="3" t="n">
        <v>0</v>
      </c>
      <c r="X17" s="2" t="n"/>
      <c r="Y17" s="2" t="n"/>
      <c r="Z17" s="2" t="inlineStr">
        <is>
          <t>AMAZON</t>
        </is>
      </c>
      <c r="AA17" s="2" t="inlineStr">
        <is>
          <t>Amazon.com</t>
        </is>
      </c>
      <c r="AB17" s="2" t="inlineStr">
        <is>
          <t>410 Terry Avenue North, Seattle, WA 98109</t>
        </is>
      </c>
      <c r="AC17" s="2" t="inlineStr">
        <is>
          <t>US</t>
        </is>
      </c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85122000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inlineStr">
        <is>
          <t>SUBTOTAL</t>
        </is>
      </c>
      <c r="K18" s="4" t="n"/>
      <c r="L18" s="4" t="n"/>
      <c r="M18" s="4" t="n"/>
      <c r="N18" s="4" t="n"/>
      <c r="O18" s="4" t="n"/>
      <c r="P18" s="5">
        <f>P17</f>
        <v/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ADJUSTMENTS</t>
        </is>
      </c>
      <c r="K19" s="4" t="n"/>
      <c r="L19" s="4" t="n"/>
      <c r="M19" s="4" t="n"/>
      <c r="N19" s="4" t="n"/>
      <c r="O19" s="4" t="n"/>
      <c r="P19" s="5">
        <f>(T17+U17+V17-W17)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NET TOTAL</t>
        </is>
      </c>
      <c r="K20" s="4" t="n"/>
      <c r="L20" s="4" t="n"/>
      <c r="M20" s="4" t="n"/>
      <c r="N20" s="4" t="n"/>
      <c r="O20" s="4" t="n"/>
      <c r="P20" s="5">
        <f>(P18+P19)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VARIANCE CHECK</t>
        </is>
      </c>
      <c r="K21" s="4" t="n"/>
      <c r="L21" s="4" t="n"/>
      <c r="M21" s="4" t="n"/>
      <c r="N21" s="4" t="n"/>
      <c r="O21" s="4" t="n"/>
      <c r="P21" s="5">
        <f>(S17-P20)</f>
        <v/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DUTY ESTIMATION (Classification Cross-Check)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>CIF (USD) = InvTotal + Freight + Insurance</t>
        </is>
      </c>
      <c r="K24" s="7" t="n"/>
      <c r="L24" s="7" t="n"/>
      <c r="M24" s="7" t="n"/>
      <c r="N24" s="7" t="n"/>
      <c r="O24" s="7" t="n"/>
      <c r="P24" s="9" t="n">
        <v>64.56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CIF (XCD) = CIF × 2.7169</t>
        </is>
      </c>
      <c r="K25" s="7" t="n"/>
      <c r="L25" s="7" t="n"/>
      <c r="M25" s="7" t="n"/>
      <c r="N25" s="7" t="n"/>
      <c r="O25" s="7" t="n"/>
      <c r="P25" s="9" t="n">
        <v>175.4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>CET (5%) — Tariff 85122000</t>
        </is>
      </c>
      <c r="K26" s="7" t="n"/>
      <c r="L26" s="7" t="n"/>
      <c r="M26" s="7" t="n"/>
      <c r="N26" s="7" t="n"/>
      <c r="O26" s="7" t="n"/>
      <c r="P26" s="9" t="n">
        <v>8.77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CSC (6%)</t>
        </is>
      </c>
      <c r="K27" s="7" t="n"/>
      <c r="L27" s="7" t="n"/>
      <c r="M27" s="7" t="n"/>
      <c r="N27" s="7" t="n"/>
      <c r="O27" s="7" t="n"/>
      <c r="P27" s="9" t="n">
        <v>10.52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>VAT (15%) on CIF+CET+CSC</t>
        </is>
      </c>
      <c r="K28" s="7" t="n"/>
      <c r="L28" s="7" t="n"/>
      <c r="M28" s="7" t="n"/>
      <c r="N28" s="7" t="n"/>
      <c r="O28" s="7" t="n"/>
      <c r="P28" s="9" t="n">
        <v>29.2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6" t="inlineStr">
        <is>
          <t>ESTIMATED TOTAL DUTIES</t>
        </is>
      </c>
      <c r="K29" s="10" t="n"/>
      <c r="L29" s="10" t="n"/>
      <c r="M29" s="10" t="n"/>
      <c r="N29" s="10" t="n"/>
      <c r="O29" s="10" t="n"/>
      <c r="P29" s="11" t="n">
        <v>48.49</v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>Effective Duty Rate</t>
        </is>
      </c>
      <c r="K30" s="7" t="n"/>
      <c r="L30" s="7" t="n"/>
      <c r="M30" s="7" t="n"/>
      <c r="N30" s="7" t="n"/>
      <c r="O30" s="7" t="n"/>
      <c r="P30" s="12" t="n">
        <v>0.2764538198403649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5" t="inlineStr">
        <is>
          <t>═══ COMBINED GRAND SUMMARY ═══</t>
        </is>
      </c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>
      <c r="L34" s="16" t="inlineStr">
        <is>
          <t>Invoice 114-1708026-9220253</t>
        </is>
      </c>
      <c r="P34" s="17" t="n">
        <v>453.47</v>
      </c>
      <c r="Q34" s="18" t="n">
        <v>-388.91</v>
      </c>
    </row>
    <row r="35">
      <c r="L35" s="16" t="inlineStr">
        <is>
          <t>Invoice 114-1708026-9220253</t>
        </is>
      </c>
      <c r="P35" s="17" t="n">
        <v>392.78</v>
      </c>
      <c r="Q35" s="18" t="n">
        <v>-328.22</v>
      </c>
    </row>
    <row r="37">
      <c r="L37" s="19" t="inlineStr">
        <is>
          <t>GRAND TOTAL</t>
        </is>
      </c>
      <c r="P37" s="20" t="n">
        <v>846.25</v>
      </c>
    </row>
    <row r="38">
      <c r="L38" s="21" t="inlineStr">
        <is>
          <t>GRAND VARIANCE CHECK</t>
        </is>
      </c>
      <c r="P38" s="18" t="n">
        <v>-717.1300000000001</v>
      </c>
    </row>
    <row r="39">
      <c r="L39" s="22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3" t="inlineStr">
        <is>
          <t>PDF File</t>
        </is>
      </c>
      <c r="B1" s="23" t="inlineStr">
        <is>
          <t>Quality Score</t>
        </is>
      </c>
      <c r="C1" s="23" t="inlineStr">
        <is>
          <t>Rating</t>
        </is>
      </c>
      <c r="D1" s="23" t="inlineStr">
        <is>
          <t>Details</t>
        </is>
      </c>
      <c r="E1" s="23" t="inlineStr">
        <is>
          <t>OCR Text (first 2000 chars)</t>
        </is>
      </c>
    </row>
    <row r="2">
      <c r="A2" s="24" t="inlineStr">
        <is>
          <t>114-1708026-9220253.pdf</t>
        </is>
      </c>
      <c r="B2" s="24" t="inlineStr">
        <is>
          <t>77/100</t>
        </is>
      </c>
      <c r="C2" s="24" t="inlineStr">
        <is>
          <t>GOOD</t>
        </is>
      </c>
      <c r="D2" s="24" t="inlineStr">
        <is>
          <t>Text: 1713 chars; Prices: 2 ($-sign), 7 (decimal); Total: $64.56; Invoice#: 114-1708026-9220253; Real items: 1/1; Structure words: 8/12</t>
        </is>
      </c>
      <c r="E2" s="25" t="inlineStr">
        <is>
          <t>7 / 28 / 24 , 10 : 16 AM Amazon . com - Order 114-1708026-9220253
. amazoncom
Final Details for Order # 114-1708026-9220253
Print this page for your records .
Order Placed : July 19 , 2024
Amazon . com order number : 114-1708026-9220253
Order Total : USD 54.56
en
Shipped on July 24 , 2024
Items Ordered Price
1 of: LASFIT H 4 9003 Bulbs , HB 2 / H 19 / H 1 S / P 43 T High / Low Lights , 400 % Super Bright 60 W 6000 LM 6000 K White , 360 $59.99
Adjustable Beam , Plug &amp; Play ( 2 bulbs
Sold by: CT AUTO ( seller profile ) | Product question ? Ask Selter
Supplied by: CT AUTO ( seller profile
Condition : New
Shipping Address :
Leslie Anne Johnson
10813 NW 30 TH ST BLDG 115 GRE 882
MIAMI , FL 33172 - 5068
United States
Shipping Speed :
FREE Shipping
Payment information
Payment Method : Item ( s ) Subtotal : USD 59.99
Visa ending in 0706 Shipping &amp; Handling : USD 7.27
Free Shipping : - USD 7.27
Billing address Your Coupon Savings : - USD 9.00
Lestie Anne Johnson - - - - -
10813 NW 30 TH ST BLDG 115 GRE 882 Total before tax : USD 50.99
MIAMI , FL 33172 - 5068 Estimated tax to be collected : USD 3.57
United States veren
Grand Total : USD 54.56
Payment Grand Total : XCD 149.34
Credit Card transactions Visa ending in 0706 : July 24 , 2024 : $54.56
To view the status of your order , return to Order Summary .
Conditions of Use | Privacy Notice © 1996 - 2024 , Amazon . com , Inc . or its affiliates
Back to top
Conditions of Use Privacy Notice Consumer Health Data Privacy Disclosure Your Ads Privacy Choices
© 7996 - 2024 , Ariazon . com , Inc . or its affiliates
https : / / www . amazon . com / gp / css / summary / print . htm ! ? orderlID = 114-1708026-9220253 &amp; ref = ppx yo 2 ov dt b invoice # 1 / 1</t>
        </is>
      </c>
    </row>
    <row r="3">
      <c r="A3" s="24" t="inlineStr">
        <is>
          <t>HAWB9605543-Manifest_Invoice.pdf</t>
        </is>
      </c>
      <c r="B3" s="24" t="inlineStr">
        <is>
          <t>77/100</t>
        </is>
      </c>
      <c r="C3" s="24" t="inlineStr">
        <is>
          <t>GOOD</t>
        </is>
      </c>
      <c r="D3" s="24" t="inlineStr">
        <is>
          <t>Text: 1713 chars; Prices: 2 ($-sign), 7 (decimal); Total: $64.56; Invoice#: 114-1708026-9220253; Real items: 1/1; Structure words: 8/12</t>
        </is>
      </c>
      <c r="E3" s="25" t="inlineStr">
        <is>
          <t>7 / 28 / 24 , 10 : 16 AM Amazon . com - Order 114-1708026-9220253
. amazoncom
Final Details for Order # 114-1708026-9220253
Print this page for your records .
Order Placed : July 19 , 2024
Amazon . com order number : 114-1708026-9220253
Order Total : USD 54.56
en
Shipped on July 24 , 2024
Items Ordered Price
1 of: LASFIT H 4 9003 Bulbs , HB 2 / H 19 / H 1 S / P 43 T High / Low Lights , 400 % Super Bright 60 W 6000 LM 6000 K White , 360 $59.99
Adjustable Beam , Plug &amp; Play ( 2 bulbs
Sold by: CT AUTO ( seller profile ) | Product question ? Ask Selter
Supplied by: CT AUTO ( seller profile
Condition : New
Shipping Address :
Leslie Anne Johnson
10813 NW 30 TH ST BLDG 115 GRE 882
MIAMI , FL 33172 - 5068
United States
Shipping Speed :
FREE Shipping
Payment information
Payment Method : Item ( s ) Subtotal : USD 59.99
Visa ending in 0706 Shipping &amp; Handling : USD 7.27
Free Shipping : - USD 7.27
Billing address Your Coupon Savings : - USD 9.00
Lestie Anne Johnson - - - - -
10813 NW 30 TH ST BLDG 115 GRE 882 Total before tax : USD 50.99
MIAMI , FL 33172 - 5068 Estimated tax to be collected : USD 3.57
United States veren
Grand Total : USD 54.56
Payment Grand Total : XCD 149.34
Credit Card transactions Visa ending in 0706 : July 24 , 2024 : $54.56
To view the status of your order , return to Order Summary .
Conditions of Use | Privacy Notice © 1996 - 2024 , Amazon . com , Inc . or its affiliates
Back to top
Conditions of Use Privacy Notice Consumer Health Data Privacy Disclosure Your Ads Privacy Choices
© 7996 - 2024 , Ariazon . com , Inc . or its affiliates
https : / / www . amazon . com / gp / css / summary / print . htm ! ? orderlID = 114-1708026-9220253 &amp; ref = ppx yo 2 ov dt b invoice #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2026-04-26T18:20:50Z</dcterms:created>
  <dcterms:modified xmlns:dcterms="http://purl.org/dc/terms/" xmlns:xsi="http://www.w3.org/2001/XMLSchema-instance" xsi:type="dcterms:W3CDTF">2026-04-26T18:20:55Z</dcterms:modified>
</cp:coreProperties>
</file>