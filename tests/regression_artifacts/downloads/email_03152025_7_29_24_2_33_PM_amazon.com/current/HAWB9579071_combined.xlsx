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114-1133554-2261051</t>
        </is>
      </c>
      <c r="D2" s="2" t="inlineStr"/>
      <c r="E2" s="2" t="inlineStr">
        <is>
          <t>BRUSHES</t>
        </is>
      </c>
      <c r="F2" s="2" t="inlineStr">
        <is>
          <t>96039090</t>
        </is>
      </c>
      <c r="G2" s="2" t="inlineStr"/>
      <c r="H2" s="2" t="inlineStr"/>
      <c r="I2" s="2" t="inlineStr">
        <is>
          <t>AMZ-1</t>
        </is>
      </c>
      <c r="J2" s="2" t="inlineStr">
        <is>
          <t>O - Cedar System Easy Wring Spin Mop &amp; Bucket with 3 Extra Refills with Citru...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57.42</v>
      </c>
      <c r="P2" s="3" t="n">
        <v>57.42</v>
      </c>
      <c r="Q2" s="3">
        <f>O2*K2</f>
        <v/>
      </c>
      <c r="R2" s="3">
        <f>P2-Q2</f>
        <v/>
      </c>
      <c r="S2" s="3" t="n">
        <v>61.44</v>
      </c>
      <c r="T2" s="3" t="n">
        <v>0</v>
      </c>
      <c r="U2" s="3" t="n">
        <v>0</v>
      </c>
      <c r="V2" s="3" t="n">
        <v>4.02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HAWB9579071_combined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96039090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74.44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202.25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96039090</t>
        </is>
      </c>
      <c r="K11" s="7" t="n"/>
      <c r="L11" s="7" t="n"/>
      <c r="M11" s="7" t="n"/>
      <c r="N11" s="7" t="n"/>
      <c r="O11" s="7" t="n"/>
      <c r="P11" s="9" t="n">
        <v>40.45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12.13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38.22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90.8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0.4489493201483313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CLIENT DECLARED DUTIES</t>
        </is>
      </c>
      <c r="K16" s="7" t="n"/>
      <c r="L16" s="7" t="n"/>
      <c r="M16" s="7" t="n"/>
      <c r="N16" s="7" t="n"/>
      <c r="O16" s="7" t="n"/>
      <c r="P16" s="9" t="n">
        <v>95.86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13" t="inlineStr">
        <is>
          <t>DUTY VARIANCE (Client − Estimated)</t>
        </is>
      </c>
      <c r="K17" s="7" t="n"/>
      <c r="L17" s="7" t="n"/>
      <c r="M17" s="7" t="n"/>
      <c r="N17" s="7" t="n"/>
      <c r="O17" s="7" t="n"/>
      <c r="P17" s="14" t="n">
        <v>5.06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>IMPLIED CET RATE (from client value)</t>
        </is>
      </c>
      <c r="K18" s="7" t="n"/>
      <c r="L18" s="7" t="n"/>
      <c r="M18" s="7" t="n"/>
      <c r="N18" s="7" t="n"/>
      <c r="O18" s="7" t="n"/>
      <c r="P18" s="12" t="n">
        <v>0.2217111839630247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13" t="inlineStr">
        <is>
          <t>⚠ CET MISMATCH: System=20% vs Client≈22% — review classification</t>
        </is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8" t="inlineStr">
        <is>
          <t>IMPLIED CIF (from declared duty @ 20% CET, XCD)</t>
        </is>
      </c>
      <c r="K20" s="7" t="n"/>
      <c r="L20" s="7" t="n"/>
      <c r="M20" s="7" t="n"/>
      <c r="N20" s="7" t="n"/>
      <c r="O20" s="7" t="n"/>
      <c r="P20" s="9" t="n">
        <v>213.5</v>
      </c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8" t="inlineStr">
        <is>
          <t>IMPLIED ITEMS VALUE (USD, net of freight/insurance)</t>
        </is>
      </c>
      <c r="K21" s="7" t="n"/>
      <c r="L21" s="7" t="n"/>
      <c r="M21" s="7" t="n"/>
      <c r="N21" s="7" t="n"/>
      <c r="O21" s="7" t="n"/>
      <c r="P21" s="9" t="n">
        <v>65.58</v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2026-04-26T18:21:37Z</dcterms:created>
  <dcterms:modified xmlns:dcterms="http://purl.org/dc/terms/" xmlns:xsi="http://www.w3.org/2001/XMLSchema-instance" xsi:type="dcterms:W3CDTF">2026-04-26T18:21:37Z</dcterms:modified>
</cp:coreProperties>
</file>