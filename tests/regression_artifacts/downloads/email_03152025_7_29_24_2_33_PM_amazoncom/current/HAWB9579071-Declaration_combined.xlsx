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9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11"/>
    </font>
    <font>
      <sz val="10"/>
    </font>
    <font>
      <b val="1"/>
      <color rgb="000000FF"/>
      <sz val="11"/>
    </font>
    <font>
      <b val="1"/>
      <color rgb="00FF0000"/>
      <sz val="11"/>
    </font>
    <font>
      <b val="1"/>
      <color rgb="001F4E79"/>
      <sz val="10"/>
    </font>
    <font>
      <color rgb="001F4E79"/>
      <sz val="10"/>
    </font>
    <font>
      <b val="1"/>
      <color rgb="00CC0000"/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  <fill>
      <patternFill patternType="solid">
        <fgColor rgb="00D6E4F0"/>
        <b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3" borderId="1" pivotButton="0" quotePrefix="0" xfId="0"/>
    <xf numFmtId="4" fontId="2" fillId="3" borderId="1" pivotButton="0" quotePrefix="0" xfId="0"/>
    <xf numFmtId="0" fontId="3" fillId="0" borderId="1" pivotButton="0" quotePrefix="0" xfId="0"/>
    <xf numFmtId="4" fontId="3" fillId="0" borderId="1" pivotButton="0" quotePrefix="0" xfId="0"/>
    <xf numFmtId="0" fontId="2" fillId="0" borderId="1" pivotButton="0" quotePrefix="0" xfId="0"/>
    <xf numFmtId="4" fontId="2" fillId="0" borderId="1" pivotButton="0" quotePrefix="0" xfId="0"/>
    <xf numFmtId="0" fontId="4" fillId="0" borderId="1" pivotButton="0" quotePrefix="0" xfId="0"/>
    <xf numFmtId="4" fontId="4" fillId="0" borderId="1" pivotButton="0" quotePrefix="0" xfId="0"/>
    <xf numFmtId="0" fontId="5" fillId="0" borderId="1" pivotButton="0" quotePrefix="0" xfId="0"/>
    <xf numFmtId="4" fontId="5" fillId="0" borderId="1" pivotButton="0" quotePrefix="0" xfId="0"/>
    <xf numFmtId="0" fontId="6" fillId="4" borderId="1" pivotButton="0" quotePrefix="0" xfId="0"/>
    <xf numFmtId="0" fontId="0" fillId="0" borderId="1" pivotButton="0" quotePrefix="0" xfId="0"/>
    <xf numFmtId="0" fontId="7" fillId="0" borderId="1" pivotButton="0" quotePrefix="0" xfId="0"/>
    <xf numFmtId="164" fontId="6" fillId="0" borderId="1" pivotButton="0" quotePrefix="0" xfId="0"/>
    <xf numFmtId="0" fontId="0" fillId="4" borderId="1" pivotButton="0" quotePrefix="0" xfId="0"/>
    <xf numFmtId="164" fontId="6" fillId="4" borderId="1" pivotButton="0" quotePrefix="0" xfId="0"/>
    <xf numFmtId="165" fontId="6" fillId="0" borderId="1" pivotButton="0" quotePrefix="0" xfId="0"/>
    <xf numFmtId="0" fontId="8" fillId="0" borderId="1" pivotButton="0" quotePrefix="0" xfId="0"/>
    <xf numFmtId="164" fontId="8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20" customWidth="1" min="3" max="3"/>
    <col width="12" customWidth="1" min="4" max="4"/>
    <col width="15" customWidth="1" min="5" max="5"/>
    <col width="12" customWidth="1" min="6" max="6"/>
    <col width="22" customWidth="1" min="7" max="7"/>
    <col width="40" customWidth="1" min="8" max="8"/>
    <col width="18" customWidth="1" min="9" max="9"/>
    <col width="45" customWidth="1" min="10" max="10"/>
    <col width="10" customWidth="1" min="11" max="11"/>
    <col width="12" customWidth="1" min="12" max="12"/>
    <col width="8" customWidth="1" min="13" max="13"/>
    <col width="8" customWidth="1" min="14" max="14"/>
    <col width="12" customWidth="1" min="15" max="15"/>
    <col width="12" customWidth="1" min="16" max="16"/>
    <col width="12" customWidth="1" min="17" max="17"/>
    <col width="14" customWidth="1" min="18" max="18"/>
    <col width="14" customWidth="1" min="19" max="19"/>
    <col width="16" customWidth="1" min="20" max="20"/>
    <col width="14" customWidth="1" min="21" max="21"/>
    <col width="14" customWidth="1" min="22" max="22"/>
    <col width="14" customWidth="1" min="23" max="23"/>
    <col width="10" customWidth="1" min="24" max="24"/>
    <col width="12" customWidth="1" min="25" max="25"/>
    <col width="14" customWidth="1" min="26" max="26"/>
    <col width="28" customWidth="1" min="27" max="27"/>
    <col width="40" customWidth="1" min="28" max="28"/>
    <col width="12" customWidth="1" min="29" max="29"/>
    <col width="12" customWidth="1" min="30" max="30"/>
    <col width="18" customWidth="1" min="31" max="31"/>
    <col width="16" customWidth="1" min="32" max="32"/>
    <col width="10" customWidth="1" min="33" max="33"/>
    <col width="10" customWidth="1" min="34" max="34"/>
    <col width="14" customWidth="1" min="35" max="35"/>
    <col width="14" customWidth="1" min="36" max="36"/>
    <col width="12" customWidth="1" min="37" max="37"/>
  </cols>
  <sheetData>
    <row r="1">
      <c r="A1" s="1" t="inlineStr">
        <is>
          <t>Document Type</t>
        </is>
      </c>
      <c r="B1" s="1" t="inlineStr">
        <is>
          <t>PO Number</t>
        </is>
      </c>
      <c r="C1" s="1" t="inlineStr">
        <is>
          <t>Supplier Invoice#</t>
        </is>
      </c>
      <c r="D1" s="1" t="inlineStr">
        <is>
          <t>Date</t>
        </is>
      </c>
      <c r="E1" s="1" t="inlineStr">
        <is>
          <t>Category</t>
        </is>
      </c>
      <c r="F1" s="1" t="inlineStr">
        <is>
          <t>TariffCode</t>
        </is>
      </c>
      <c r="G1" s="1" t="inlineStr">
        <is>
          <t>PO Item Number</t>
        </is>
      </c>
      <c r="H1" s="1" t="inlineStr">
        <is>
          <t>PO Item Description</t>
        </is>
      </c>
      <c r="I1" s="1" t="inlineStr">
        <is>
          <t>Supplier Item Number</t>
        </is>
      </c>
      <c r="J1" s="1" t="inlineStr">
        <is>
          <t>Supplier Item Description</t>
        </is>
      </c>
      <c r="K1" s="1" t="inlineStr">
        <is>
          <t>Quantity</t>
        </is>
      </c>
      <c r="L1" s="1" t="inlineStr">
        <is>
          <t>Per Unit</t>
        </is>
      </c>
      <c r="M1" s="1" t="inlineStr">
        <is>
          <t>UNITS</t>
        </is>
      </c>
      <c r="N1" s="1" t="inlineStr">
        <is>
          <t>Currency</t>
        </is>
      </c>
      <c r="O1" s="1" t="inlineStr">
        <is>
          <t>Cost</t>
        </is>
      </c>
      <c r="P1" s="1" t="inlineStr">
        <is>
          <t>Total Cost</t>
        </is>
      </c>
      <c r="Q1" s="1" t="inlineStr">
        <is>
          <t>Total</t>
        </is>
      </c>
      <c r="R1" s="1" t="inlineStr">
        <is>
          <t>TotalCost Vs Total</t>
        </is>
      </c>
      <c r="S1" s="1" t="inlineStr">
        <is>
          <t>InvoiceTotal</t>
        </is>
      </c>
      <c r="T1" s="1" t="inlineStr">
        <is>
          <t>Total Internal Freight</t>
        </is>
      </c>
      <c r="U1" s="1" t="inlineStr">
        <is>
          <t>Total Insurance</t>
        </is>
      </c>
      <c r="V1" s="1" t="inlineStr">
        <is>
          <t>Total Other Cost</t>
        </is>
      </c>
      <c r="W1" s="1" t="inlineStr">
        <is>
          <t>Total Deduction</t>
        </is>
      </c>
      <c r="X1" s="1" t="inlineStr">
        <is>
          <t>Packages</t>
        </is>
      </c>
      <c r="Y1" s="1" t="inlineStr">
        <is>
          <t>Warehouse</t>
        </is>
      </c>
      <c r="Z1" s="1" t="inlineStr">
        <is>
          <t>Supplier Code</t>
        </is>
      </c>
      <c r="AA1" s="1" t="inlineStr">
        <is>
          <t>Supplier Name</t>
        </is>
      </c>
      <c r="AB1" s="1" t="inlineStr">
        <is>
          <t>Supplier Address</t>
        </is>
      </c>
      <c r="AC1" s="1" t="inlineStr">
        <is>
          <t>Country Code</t>
        </is>
      </c>
      <c r="AD1" s="1" t="inlineStr">
        <is>
          <t>Instructions</t>
        </is>
      </c>
      <c r="AE1" s="1" t="inlineStr">
        <is>
          <t>Previous Declaration</t>
        </is>
      </c>
      <c r="AF1" s="1" t="inlineStr">
        <is>
          <t>Financial Information</t>
        </is>
      </c>
      <c r="AG1" s="1" t="inlineStr">
        <is>
          <t>Gallons</t>
        </is>
      </c>
      <c r="AH1" s="1" t="inlineStr">
        <is>
          <t>Liters</t>
        </is>
      </c>
      <c r="AI1" s="1" t="inlineStr">
        <is>
          <t>INVTotalCost</t>
        </is>
      </c>
      <c r="AJ1" s="1" t="inlineStr">
        <is>
          <t>POTotalCost</t>
        </is>
      </c>
      <c r="AK1" s="1" t="inlineStr">
        <is>
          <t>GroupBy</t>
        </is>
      </c>
    </row>
    <row r="2">
      <c r="A2" s="2" t="inlineStr">
        <is>
          <t>4000-000</t>
        </is>
      </c>
      <c r="B2" s="2" t="inlineStr"/>
      <c r="C2" s="2" t="inlineStr">
        <is>
          <t>114-1133554-2261051</t>
        </is>
      </c>
      <c r="D2" s="2" t="inlineStr"/>
      <c r="E2" s="2" t="inlineStr">
        <is>
          <t>BRUSHES</t>
        </is>
      </c>
      <c r="F2" s="2" t="inlineStr">
        <is>
          <t>96039090</t>
        </is>
      </c>
      <c r="G2" s="2" t="inlineStr"/>
      <c r="H2" s="2" t="inlineStr"/>
      <c r="I2" s="2" t="inlineStr">
        <is>
          <t>96039090</t>
        </is>
      </c>
      <c r="J2" s="2" t="inlineStr">
        <is>
          <t>O - Cedar System Easy Wring Spin Mop &amp; Bucket with 3 Extra Refills with Citru... (1 items)</t>
        </is>
      </c>
      <c r="K2" s="2" t="n">
        <v>1</v>
      </c>
      <c r="L2" s="2" t="n"/>
      <c r="M2" s="2" t="inlineStr"/>
      <c r="N2" s="2" t="inlineStr">
        <is>
          <t>USD</t>
        </is>
      </c>
      <c r="O2" s="3" t="n">
        <v>57.42</v>
      </c>
      <c r="P2" s="3" t="n">
        <v>57.42</v>
      </c>
      <c r="Q2" s="3">
        <f>O2*K2</f>
        <v/>
      </c>
      <c r="R2" s="3">
        <f>P2-Q2</f>
        <v/>
      </c>
      <c r="S2" s="3" t="n">
        <v>61.44</v>
      </c>
      <c r="T2" s="3" t="n">
        <v>0</v>
      </c>
      <c r="U2" s="3" t="n">
        <v>0</v>
      </c>
      <c r="V2" s="3" t="n">
        <v>4.02</v>
      </c>
      <c r="W2" s="3" t="n">
        <v>0</v>
      </c>
      <c r="X2" s="2" t="n">
        <v>1</v>
      </c>
      <c r="Y2" s="2" t="n"/>
      <c r="Z2" s="2" t="inlineStr">
        <is>
          <t>AMAZON</t>
        </is>
      </c>
      <c r="AA2" s="2" t="inlineStr">
        <is>
          <t>HAWB9579071-Declaration_combined</t>
        </is>
      </c>
      <c r="AB2" s="2" t="inlineStr">
        <is>
          <t>410 Terry Avenue North, Seattle, WA 98109</t>
        </is>
      </c>
      <c r="AC2" s="2" t="inlineStr">
        <is>
          <t>US</t>
        </is>
      </c>
      <c r="AD2" s="2" t="n"/>
      <c r="AE2" s="2" t="n"/>
      <c r="AF2" s="2" t="n"/>
      <c r="AG2" s="2" t="n"/>
      <c r="AH2" s="2" t="n"/>
      <c r="AI2" s="2" t="n"/>
      <c r="AJ2" s="2" t="n"/>
      <c r="AK2" s="2" t="inlineStr">
        <is>
          <t>96039090</t>
        </is>
      </c>
    </row>
    <row r="3">
      <c r="A3" s="4" t="n"/>
      <c r="B3" s="4" t="n"/>
      <c r="C3" s="4" t="n"/>
      <c r="D3" s="4" t="n"/>
      <c r="E3" s="4" t="n"/>
      <c r="F3" s="4" t="inlineStr">
        <is>
          <t>96039090</t>
        </is>
      </c>
      <c r="G3" s="4" t="n"/>
      <c r="H3" s="4" t="n"/>
      <c r="I3" s="4" t="inlineStr">
        <is>
          <t>AMZ-1</t>
        </is>
      </c>
      <c r="J3" s="4" t="inlineStr">
        <is>
          <t>O - Cedar System Easy Wring Spin Mop &amp; Bucket with 3 Extra Refills with Citru...</t>
        </is>
      </c>
      <c r="K3" s="4" t="n">
        <v>1</v>
      </c>
      <c r="L3" s="4" t="n"/>
      <c r="M3" s="4" t="inlineStr"/>
      <c r="N3" s="4" t="inlineStr">
        <is>
          <t>USD</t>
        </is>
      </c>
      <c r="O3" s="5" t="n">
        <v>57.42</v>
      </c>
      <c r="P3" s="5" t="n">
        <v>57.42</v>
      </c>
      <c r="Q3" s="5">
        <f>O3*K3</f>
        <v/>
      </c>
      <c r="R3" s="5">
        <f>P3-Q3</f>
        <v/>
      </c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  <c r="AC3" s="4" t="n"/>
      <c r="AD3" s="4" t="n"/>
      <c r="AE3" s="4" t="n"/>
      <c r="AF3" s="4" t="n"/>
      <c r="AG3" s="4" t="n"/>
      <c r="AH3" s="4" t="n"/>
      <c r="AI3" s="4" t="n"/>
      <c r="AJ3" s="4" t="n"/>
      <c r="AK3" s="4" t="n"/>
    </row>
    <row r="4">
      <c r="A4" s="6" t="n"/>
      <c r="B4" s="6" t="n"/>
      <c r="C4" s="6" t="n"/>
      <c r="D4" s="6" t="n"/>
      <c r="E4" s="6" t="n"/>
      <c r="F4" s="6" t="n"/>
      <c r="G4" s="6" t="n"/>
      <c r="H4" s="6" t="n"/>
      <c r="I4" s="6" t="n"/>
      <c r="J4" s="6" t="inlineStr">
        <is>
          <t>SUBTOTAL (GROUPED)</t>
        </is>
      </c>
      <c r="K4" s="6" t="n"/>
      <c r="L4" s="6" t="n"/>
      <c r="M4" s="6" t="n"/>
      <c r="N4" s="6" t="n"/>
      <c r="O4" s="6" t="n"/>
      <c r="P4" s="7">
        <f>P2</f>
        <v/>
      </c>
      <c r="Q4" s="7">
        <f>Q2</f>
        <v/>
      </c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  <c r="AB4" s="6" t="n"/>
      <c r="AC4" s="6" t="n"/>
      <c r="AD4" s="6" t="n"/>
      <c r="AE4" s="6" t="n"/>
      <c r="AF4" s="6" t="n"/>
      <c r="AG4" s="6" t="n"/>
      <c r="AH4" s="6" t="n"/>
      <c r="AI4" s="6" t="n"/>
      <c r="AJ4" s="6" t="n"/>
      <c r="AK4" s="6" t="n"/>
    </row>
    <row r="5">
      <c r="A5" s="6" t="n"/>
      <c r="B5" s="6" t="n"/>
      <c r="C5" s="6" t="n"/>
      <c r="D5" s="6" t="n"/>
      <c r="E5" s="6" t="n"/>
      <c r="F5" s="6" t="n"/>
      <c r="G5" s="6" t="n"/>
      <c r="H5" s="6" t="n"/>
      <c r="I5" s="6" t="n"/>
      <c r="J5" s="6" t="inlineStr">
        <is>
          <t>SUBTOTAL (DETAILS)</t>
        </is>
      </c>
      <c r="K5" s="6" t="n"/>
      <c r="L5" s="6" t="n"/>
      <c r="M5" s="6" t="n"/>
      <c r="N5" s="6" t="n"/>
      <c r="O5" s="6" t="n"/>
      <c r="P5" s="7">
        <f>SUM(P2:P3)-P4</f>
        <v/>
      </c>
      <c r="Q5" s="7">
        <f>SUM(Q2:Q3)-Q4</f>
        <v/>
      </c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  <c r="AB5" s="6" t="n"/>
      <c r="AC5" s="6" t="n"/>
      <c r="AD5" s="6" t="n"/>
      <c r="AE5" s="6" t="n"/>
      <c r="AF5" s="6" t="n"/>
      <c r="AG5" s="6" t="n"/>
      <c r="AH5" s="6" t="n"/>
      <c r="AI5" s="6" t="n"/>
      <c r="AJ5" s="6" t="n"/>
      <c r="AK5" s="6" t="n"/>
    </row>
    <row r="6">
      <c r="A6" s="8" t="n"/>
      <c r="B6" s="8" t="n"/>
      <c r="C6" s="8" t="n"/>
      <c r="D6" s="8" t="n"/>
      <c r="E6" s="8" t="n"/>
      <c r="F6" s="8" t="n"/>
      <c r="G6" s="8" t="n"/>
      <c r="H6" s="8" t="n"/>
      <c r="I6" s="8" t="n"/>
      <c r="J6" s="8" t="inlineStr">
        <is>
          <t>GROUP VERIFICATION</t>
        </is>
      </c>
      <c r="K6" s="8" t="n"/>
      <c r="L6" s="8" t="n"/>
      <c r="M6" s="8" t="n"/>
      <c r="N6" s="8" t="n"/>
      <c r="O6" s="8" t="n"/>
      <c r="P6" s="9">
        <f>P4-P5</f>
        <v/>
      </c>
      <c r="Q6" s="9">
        <f>Q4-Q5</f>
        <v/>
      </c>
      <c r="R6" s="8" t="n"/>
      <c r="S6" s="8" t="n"/>
      <c r="T6" s="8" t="n"/>
      <c r="U6" s="8" t="n"/>
      <c r="V6" s="8" t="n"/>
      <c r="W6" s="8" t="n"/>
      <c r="X6" s="8" t="n"/>
      <c r="Y6" s="8" t="n"/>
      <c r="Z6" s="8" t="n"/>
      <c r="AA6" s="8" t="n"/>
      <c r="AB6" s="8" t="n"/>
      <c r="AC6" s="8" t="n"/>
      <c r="AD6" s="8" t="n"/>
      <c r="AE6" s="8" t="n"/>
      <c r="AF6" s="8" t="n"/>
      <c r="AG6" s="8" t="n"/>
      <c r="AH6" s="8" t="n"/>
      <c r="AI6" s="8" t="n"/>
      <c r="AJ6" s="8" t="n"/>
      <c r="AK6" s="8" t="n"/>
    </row>
    <row r="7"/>
    <row r="8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inlineStr">
        <is>
          <t>TOTAL INTERNAL FREIGHT</t>
        </is>
      </c>
      <c r="K8" s="6" t="n"/>
      <c r="L8" s="6" t="n"/>
      <c r="M8" s="6" t="n"/>
      <c r="N8" s="6" t="n"/>
      <c r="O8" s="6" t="n"/>
      <c r="P8" s="7" t="n">
        <v>0</v>
      </c>
      <c r="Q8" s="7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  <c r="AB8" s="6" t="n"/>
      <c r="AC8" s="6" t="n"/>
      <c r="AD8" s="6" t="n"/>
      <c r="AE8" s="6" t="n"/>
      <c r="AF8" s="6" t="n"/>
      <c r="AG8" s="6" t="n"/>
      <c r="AH8" s="6" t="n"/>
      <c r="AI8" s="6" t="n"/>
      <c r="AJ8" s="6" t="n"/>
      <c r="AK8" s="6" t="n"/>
    </row>
    <row r="9">
      <c r="A9" s="6" t="n"/>
      <c r="B9" s="6" t="n"/>
      <c r="C9" s="6" t="n"/>
      <c r="D9" s="6" t="n"/>
      <c r="E9" s="6" t="n"/>
      <c r="F9" s="6" t="n"/>
      <c r="G9" s="6" t="n"/>
      <c r="H9" s="6" t="n"/>
      <c r="I9" s="6" t="n"/>
      <c r="J9" s="6" t="inlineStr">
        <is>
          <t>TOTAL INSURANCE</t>
        </is>
      </c>
      <c r="K9" s="6" t="n"/>
      <c r="L9" s="6" t="n"/>
      <c r="M9" s="6" t="n"/>
      <c r="N9" s="6" t="n"/>
      <c r="O9" s="6" t="n"/>
      <c r="P9" s="7" t="n">
        <v>0</v>
      </c>
      <c r="Q9" s="7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  <c r="AB9" s="6" t="n"/>
      <c r="AC9" s="6" t="n"/>
      <c r="AD9" s="6" t="n"/>
      <c r="AE9" s="6" t="n"/>
      <c r="AF9" s="6" t="n"/>
      <c r="AG9" s="6" t="n"/>
      <c r="AH9" s="6" t="n"/>
      <c r="AI9" s="6" t="n"/>
      <c r="AJ9" s="6" t="n"/>
      <c r="AK9" s="6" t="n"/>
    </row>
    <row r="10">
      <c r="A10" s="6" t="n"/>
      <c r="B10" s="6" t="n"/>
      <c r="C10" s="6" t="n"/>
      <c r="D10" s="6" t="n"/>
      <c r="E10" s="6" t="n"/>
      <c r="F10" s="6" t="n"/>
      <c r="G10" s="6" t="n"/>
      <c r="H10" s="6" t="n"/>
      <c r="I10" s="6" t="n"/>
      <c r="J10" s="6" t="inlineStr">
        <is>
          <t>TOTAL OTHER COST</t>
        </is>
      </c>
      <c r="K10" s="6" t="n"/>
      <c r="L10" s="6" t="n"/>
      <c r="M10" s="6" t="n"/>
      <c r="N10" s="6" t="n"/>
      <c r="O10" s="6" t="n"/>
      <c r="P10" s="7" t="n">
        <v>4.02</v>
      </c>
      <c r="Q10" s="7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  <c r="AA10" s="6" t="n"/>
      <c r="AB10" s="6" t="n"/>
      <c r="AC10" s="6" t="n"/>
      <c r="AD10" s="6" t="n"/>
      <c r="AE10" s="6" t="n"/>
      <c r="AF10" s="6" t="n"/>
      <c r="AG10" s="6" t="n"/>
      <c r="AH10" s="6" t="n"/>
      <c r="AI10" s="6" t="n"/>
      <c r="AJ10" s="6" t="n"/>
      <c r="AK10" s="6" t="n"/>
    </row>
    <row r="11">
      <c r="A11" s="6" t="n"/>
      <c r="B11" s="6" t="n"/>
      <c r="C11" s="6" t="n"/>
      <c r="D11" s="6" t="n"/>
      <c r="E11" s="6" t="n"/>
      <c r="F11" s="6" t="n"/>
      <c r="G11" s="6" t="n"/>
      <c r="H11" s="6" t="n"/>
      <c r="I11" s="6" t="n"/>
      <c r="J11" s="6" t="inlineStr">
        <is>
          <t>TOTAL DEDUCTION</t>
        </is>
      </c>
      <c r="K11" s="6" t="n"/>
      <c r="L11" s="6" t="n"/>
      <c r="M11" s="6" t="n"/>
      <c r="N11" s="6" t="n"/>
      <c r="O11" s="6" t="n"/>
      <c r="P11" s="7" t="n">
        <v>0</v>
      </c>
      <c r="Q11" s="7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  <c r="AB11" s="6" t="n"/>
      <c r="AC11" s="6" t="n"/>
      <c r="AD11" s="6" t="n"/>
      <c r="AE11" s="6" t="n"/>
      <c r="AF11" s="6" t="n"/>
      <c r="AG11" s="6" t="n"/>
      <c r="AH11" s="6" t="n"/>
      <c r="AI11" s="6" t="n"/>
      <c r="AJ11" s="6" t="n"/>
      <c r="AK11" s="6" t="n"/>
    </row>
    <row r="12">
      <c r="A12" s="6" t="n"/>
      <c r="B12" s="6" t="n"/>
      <c r="C12" s="6" t="n"/>
      <c r="D12" s="6" t="n"/>
      <c r="E12" s="6" t="n"/>
      <c r="F12" s="6" t="n"/>
      <c r="G12" s="6" t="n"/>
      <c r="H12" s="6" t="n"/>
      <c r="I12" s="6" t="n"/>
      <c r="J12" s="6" t="inlineStr">
        <is>
          <t>ADJUSTMENTS</t>
        </is>
      </c>
      <c r="K12" s="6" t="n"/>
      <c r="L12" s="6" t="n"/>
      <c r="M12" s="6" t="n"/>
      <c r="N12" s="6" t="n"/>
      <c r="O12" s="6" t="n"/>
      <c r="P12" s="7">
        <f>(T2+U2+V2-W2)</f>
        <v/>
      </c>
      <c r="Q12" s="7">
        <f>(T2+U2+V2-W2)</f>
        <v/>
      </c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  <c r="AB12" s="6" t="n"/>
      <c r="AC12" s="6" t="n"/>
      <c r="AD12" s="6" t="n"/>
      <c r="AE12" s="6" t="n"/>
      <c r="AF12" s="6" t="n"/>
      <c r="AG12" s="6" t="n"/>
      <c r="AH12" s="6" t="n"/>
      <c r="AI12" s="6" t="n"/>
      <c r="AJ12" s="6" t="n"/>
      <c r="AK12" s="6" t="n"/>
    </row>
    <row r="13"/>
    <row r="14">
      <c r="A14" s="6" t="n"/>
      <c r="B14" s="6" t="n"/>
      <c r="C14" s="6" t="n"/>
      <c r="D14" s="6" t="n"/>
      <c r="E14" s="6" t="n"/>
      <c r="F14" s="6" t="n"/>
      <c r="G14" s="6" t="n"/>
      <c r="H14" s="6" t="n"/>
      <c r="I14" s="6" t="n"/>
      <c r="J14" s="6" t="inlineStr">
        <is>
          <t>NET TOTAL</t>
        </is>
      </c>
      <c r="K14" s="6" t="n"/>
      <c r="L14" s="6" t="n"/>
      <c r="M14" s="6" t="n"/>
      <c r="N14" s="6" t="n"/>
      <c r="O14" s="6" t="n"/>
      <c r="P14" s="7">
        <f>P4+P12</f>
        <v/>
      </c>
      <c r="Q14" s="7">
        <f>Q4+Q12</f>
        <v/>
      </c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  <c r="AA14" s="6" t="n"/>
      <c r="AB14" s="6" t="n"/>
      <c r="AC14" s="6" t="n"/>
      <c r="AD14" s="6" t="n"/>
      <c r="AE14" s="6" t="n"/>
      <c r="AF14" s="6" t="n"/>
      <c r="AG14" s="6" t="n"/>
      <c r="AH14" s="6" t="n"/>
      <c r="AI14" s="6" t="n"/>
      <c r="AJ14" s="6" t="n"/>
      <c r="AK14" s="6" t="n"/>
    </row>
    <row r="15">
      <c r="A15" s="6" t="n"/>
      <c r="B15" s="6" t="n"/>
      <c r="C15" s="6" t="n"/>
      <c r="D15" s="6" t="n"/>
      <c r="E15" s="6" t="n"/>
      <c r="F15" s="6" t="n"/>
      <c r="G15" s="6" t="n"/>
      <c r="H15" s="6" t="n"/>
      <c r="I15" s="6" t="n"/>
      <c r="J15" s="6" t="inlineStr">
        <is>
          <t>INVOICE TOTAL</t>
        </is>
      </c>
      <c r="K15" s="6" t="n"/>
      <c r="L15" s="6" t="n"/>
      <c r="M15" s="6" t="n"/>
      <c r="N15" s="6" t="n"/>
      <c r="O15" s="6" t="n"/>
      <c r="P15" s="7">
        <f>S2</f>
        <v/>
      </c>
      <c r="Q15" s="7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  <c r="AA15" s="6" t="n"/>
      <c r="AB15" s="6" t="n"/>
      <c r="AC15" s="6" t="n"/>
      <c r="AD15" s="6" t="n"/>
      <c r="AE15" s="6" t="n"/>
      <c r="AF15" s="6" t="n"/>
      <c r="AG15" s="6" t="n"/>
      <c r="AH15" s="6" t="n"/>
      <c r="AI15" s="6" t="n"/>
      <c r="AJ15" s="6" t="n"/>
      <c r="AK15" s="6" t="n"/>
    </row>
    <row r="16"/>
    <row r="17">
      <c r="A17" s="10" t="n"/>
      <c r="B17" s="10" t="n"/>
      <c r="C17" s="10" t="n"/>
      <c r="D17" s="10" t="n"/>
      <c r="E17" s="10" t="n"/>
      <c r="F17" s="10" t="n"/>
      <c r="G17" s="10" t="n"/>
      <c r="H17" s="10" t="n"/>
      <c r="I17" s="10" t="n"/>
      <c r="J17" s="10" t="inlineStr">
        <is>
          <t>VARIANCE CHECK</t>
        </is>
      </c>
      <c r="K17" s="10" t="n"/>
      <c r="L17" s="10" t="n"/>
      <c r="M17" s="10" t="n"/>
      <c r="N17" s="10" t="n"/>
      <c r="O17" s="10" t="n"/>
      <c r="P17" s="11">
        <f>S2-P14</f>
        <v/>
      </c>
      <c r="Q17" s="11">
        <f>S2-Q14</f>
        <v/>
      </c>
      <c r="R17" s="10" t="n"/>
      <c r="S17" s="10" t="n"/>
      <c r="T17" s="10" t="n"/>
      <c r="U17" s="10" t="n"/>
      <c r="V17" s="10" t="n"/>
      <c r="W17" s="10" t="n"/>
      <c r="X17" s="10" t="n"/>
      <c r="Y17" s="10" t="n"/>
      <c r="Z17" s="10" t="n"/>
      <c r="AA17" s="10" t="n"/>
      <c r="AB17" s="10" t="n"/>
      <c r="AC17" s="10" t="n"/>
      <c r="AD17" s="10" t="n"/>
      <c r="AE17" s="10" t="n"/>
      <c r="AF17" s="10" t="n"/>
      <c r="AG17" s="10" t="n"/>
      <c r="AH17" s="10" t="n"/>
      <c r="AI17" s="10" t="n"/>
      <c r="AJ17" s="10" t="n"/>
      <c r="AK17" s="10" t="n"/>
    </row>
    <row r="18"/>
    <row r="19">
      <c r="A19" s="12" t="n"/>
      <c r="B19" s="12" t="n"/>
      <c r="C19" s="12" t="n"/>
      <c r="D19" s="12" t="n"/>
      <c r="E19" s="12" t="n"/>
      <c r="F19" s="12" t="n"/>
      <c r="G19" s="12" t="n"/>
      <c r="H19" s="12" t="n"/>
      <c r="I19" s="12" t="n"/>
      <c r="J19" s="12" t="inlineStr">
        <is>
          <t>DUTY ESTIMATION (Classification Cross-Check)</t>
        </is>
      </c>
      <c r="K19" s="12" t="n"/>
      <c r="L19" s="12" t="n"/>
      <c r="M19" s="12" t="n"/>
      <c r="N19" s="12" t="n"/>
      <c r="O19" s="12" t="n"/>
      <c r="P19" s="12" t="n"/>
      <c r="Q19" s="12" t="n"/>
      <c r="R19" s="12" t="n"/>
      <c r="S19" s="12" t="n"/>
      <c r="T19" s="12" t="n"/>
      <c r="U19" s="12" t="n"/>
      <c r="V19" s="12" t="n"/>
      <c r="W19" s="12" t="n"/>
      <c r="X19" s="12" t="n"/>
      <c r="Y19" s="12" t="n"/>
      <c r="Z19" s="12" t="n"/>
      <c r="AA19" s="12" t="n"/>
      <c r="AB19" s="12" t="n"/>
      <c r="AC19" s="12" t="n"/>
      <c r="AD19" s="12" t="n"/>
      <c r="AE19" s="12" t="n"/>
      <c r="AF19" s="12" t="n"/>
      <c r="AG19" s="12" t="n"/>
      <c r="AH19" s="12" t="n"/>
      <c r="AI19" s="12" t="n"/>
      <c r="AJ19" s="12" t="n"/>
      <c r="AK19" s="12" t="n"/>
    </row>
    <row r="20">
      <c r="A20" s="13" t="n"/>
      <c r="B20" s="13" t="n"/>
      <c r="C20" s="13" t="n"/>
      <c r="D20" s="13" t="n"/>
      <c r="E20" s="13" t="n"/>
      <c r="F20" s="13" t="n"/>
      <c r="G20" s="13" t="n"/>
      <c r="H20" s="13" t="n"/>
      <c r="I20" s="13" t="n"/>
      <c r="J20" s="14" t="inlineStr">
        <is>
          <t>CIF (USD) = InvTotal + Freight + Insurance</t>
        </is>
      </c>
      <c r="K20" s="13" t="n"/>
      <c r="L20" s="13" t="n"/>
      <c r="M20" s="13" t="n"/>
      <c r="N20" s="13" t="n"/>
      <c r="O20" s="13" t="n"/>
      <c r="P20" s="15" t="n">
        <v>74.44</v>
      </c>
      <c r="Q20" s="13" t="n"/>
      <c r="R20" s="13" t="n"/>
      <c r="S20" s="13" t="n"/>
      <c r="T20" s="13" t="n"/>
      <c r="U20" s="13" t="n"/>
      <c r="V20" s="13" t="n"/>
      <c r="W20" s="13" t="n"/>
      <c r="X20" s="13" t="n"/>
      <c r="Y20" s="13" t="n"/>
      <c r="Z20" s="13" t="n"/>
      <c r="AA20" s="13" t="n"/>
      <c r="AB20" s="13" t="n"/>
      <c r="AC20" s="13" t="n"/>
      <c r="AD20" s="13" t="n"/>
      <c r="AE20" s="13" t="n"/>
      <c r="AF20" s="13" t="n"/>
      <c r="AG20" s="13" t="n"/>
      <c r="AH20" s="13" t="n"/>
      <c r="AI20" s="13" t="n"/>
      <c r="AJ20" s="13" t="n"/>
      <c r="AK20" s="13" t="n"/>
    </row>
    <row r="21">
      <c r="A21" s="13" t="n"/>
      <c r="B21" s="13" t="n"/>
      <c r="C21" s="13" t="n"/>
      <c r="D21" s="13" t="n"/>
      <c r="E21" s="13" t="n"/>
      <c r="F21" s="13" t="n"/>
      <c r="G21" s="13" t="n"/>
      <c r="H21" s="13" t="n"/>
      <c r="I21" s="13" t="n"/>
      <c r="J21" s="14" t="inlineStr">
        <is>
          <t>CIF (XCD) = CIF × 2.7169</t>
        </is>
      </c>
      <c r="K21" s="13" t="n"/>
      <c r="L21" s="13" t="n"/>
      <c r="M21" s="13" t="n"/>
      <c r="N21" s="13" t="n"/>
      <c r="O21" s="13" t="n"/>
      <c r="P21" s="15" t="n">
        <v>202.25</v>
      </c>
      <c r="Q21" s="13" t="n"/>
      <c r="R21" s="13" t="n"/>
      <c r="S21" s="13" t="n"/>
      <c r="T21" s="13" t="n"/>
      <c r="U21" s="13" t="n"/>
      <c r="V21" s="13" t="n"/>
      <c r="W21" s="13" t="n"/>
      <c r="X21" s="13" t="n"/>
      <c r="Y21" s="13" t="n"/>
      <c r="Z21" s="13" t="n"/>
      <c r="AA21" s="13" t="n"/>
      <c r="AB21" s="13" t="n"/>
      <c r="AC21" s="13" t="n"/>
      <c r="AD21" s="13" t="n"/>
      <c r="AE21" s="13" t="n"/>
      <c r="AF21" s="13" t="n"/>
      <c r="AG21" s="13" t="n"/>
      <c r="AH21" s="13" t="n"/>
      <c r="AI21" s="13" t="n"/>
      <c r="AJ21" s="13" t="n"/>
      <c r="AK21" s="13" t="n"/>
    </row>
    <row r="22">
      <c r="A22" s="13" t="n"/>
      <c r="B22" s="13" t="n"/>
      <c r="C22" s="13" t="n"/>
      <c r="D22" s="13" t="n"/>
      <c r="E22" s="13" t="n"/>
      <c r="F22" s="13" t="n"/>
      <c r="G22" s="13" t="n"/>
      <c r="H22" s="13" t="n"/>
      <c r="I22" s="13" t="n"/>
      <c r="J22" s="14" t="inlineStr">
        <is>
          <t>CET (20%) — Tariff 96039090</t>
        </is>
      </c>
      <c r="K22" s="13" t="n"/>
      <c r="L22" s="13" t="n"/>
      <c r="M22" s="13" t="n"/>
      <c r="N22" s="13" t="n"/>
      <c r="O22" s="13" t="n"/>
      <c r="P22" s="15" t="n">
        <v>40.45</v>
      </c>
      <c r="Q22" s="13" t="n"/>
      <c r="R22" s="13" t="n"/>
      <c r="S22" s="13" t="n"/>
      <c r="T22" s="13" t="n"/>
      <c r="U22" s="13" t="n"/>
      <c r="V22" s="13" t="n"/>
      <c r="W22" s="13" t="n"/>
      <c r="X22" s="13" t="n"/>
      <c r="Y22" s="13" t="n"/>
      <c r="Z22" s="13" t="n"/>
      <c r="AA22" s="13" t="n"/>
      <c r="AB22" s="13" t="n"/>
      <c r="AC22" s="13" t="n"/>
      <c r="AD22" s="13" t="n"/>
      <c r="AE22" s="13" t="n"/>
      <c r="AF22" s="13" t="n"/>
      <c r="AG22" s="13" t="n"/>
      <c r="AH22" s="13" t="n"/>
      <c r="AI22" s="13" t="n"/>
      <c r="AJ22" s="13" t="n"/>
      <c r="AK22" s="13" t="n"/>
    </row>
    <row r="23">
      <c r="A23" s="13" t="n"/>
      <c r="B23" s="13" t="n"/>
      <c r="C23" s="13" t="n"/>
      <c r="D23" s="13" t="n"/>
      <c r="E23" s="13" t="n"/>
      <c r="F23" s="13" t="n"/>
      <c r="G23" s="13" t="n"/>
      <c r="H23" s="13" t="n"/>
      <c r="I23" s="13" t="n"/>
      <c r="J23" s="14" t="inlineStr">
        <is>
          <t>CSC (6%)</t>
        </is>
      </c>
      <c r="K23" s="13" t="n"/>
      <c r="L23" s="13" t="n"/>
      <c r="M23" s="13" t="n"/>
      <c r="N23" s="13" t="n"/>
      <c r="O23" s="13" t="n"/>
      <c r="P23" s="15" t="n">
        <v>12.13</v>
      </c>
      <c r="Q23" s="13" t="n"/>
      <c r="R23" s="13" t="n"/>
      <c r="S23" s="13" t="n"/>
      <c r="T23" s="13" t="n"/>
      <c r="U23" s="13" t="n"/>
      <c r="V23" s="13" t="n"/>
      <c r="W23" s="13" t="n"/>
      <c r="X23" s="13" t="n"/>
      <c r="Y23" s="13" t="n"/>
      <c r="Z23" s="13" t="n"/>
      <c r="AA23" s="13" t="n"/>
      <c r="AB23" s="13" t="n"/>
      <c r="AC23" s="13" t="n"/>
      <c r="AD23" s="13" t="n"/>
      <c r="AE23" s="13" t="n"/>
      <c r="AF23" s="13" t="n"/>
      <c r="AG23" s="13" t="n"/>
      <c r="AH23" s="13" t="n"/>
      <c r="AI23" s="13" t="n"/>
      <c r="AJ23" s="13" t="n"/>
      <c r="AK23" s="13" t="n"/>
    </row>
    <row r="24">
      <c r="A24" s="13" t="n"/>
      <c r="B24" s="13" t="n"/>
      <c r="C24" s="13" t="n"/>
      <c r="D24" s="13" t="n"/>
      <c r="E24" s="13" t="n"/>
      <c r="F24" s="13" t="n"/>
      <c r="G24" s="13" t="n"/>
      <c r="H24" s="13" t="n"/>
      <c r="I24" s="13" t="n"/>
      <c r="J24" s="14" t="inlineStr">
        <is>
          <t>VAT (15%) on CIF+CET+CSC</t>
        </is>
      </c>
      <c r="K24" s="13" t="n"/>
      <c r="L24" s="13" t="n"/>
      <c r="M24" s="13" t="n"/>
      <c r="N24" s="13" t="n"/>
      <c r="O24" s="13" t="n"/>
      <c r="P24" s="15" t="n">
        <v>38.22</v>
      </c>
      <c r="Q24" s="13" t="n"/>
      <c r="R24" s="13" t="n"/>
      <c r="S24" s="13" t="n"/>
      <c r="T24" s="13" t="n"/>
      <c r="U24" s="13" t="n"/>
      <c r="V24" s="13" t="n"/>
      <c r="W24" s="13" t="n"/>
      <c r="X24" s="13" t="n"/>
      <c r="Y24" s="13" t="n"/>
      <c r="Z24" s="13" t="n"/>
      <c r="AA24" s="13" t="n"/>
      <c r="AB24" s="13" t="n"/>
      <c r="AC24" s="13" t="n"/>
      <c r="AD24" s="13" t="n"/>
      <c r="AE24" s="13" t="n"/>
      <c r="AF24" s="13" t="n"/>
      <c r="AG24" s="13" t="n"/>
      <c r="AH24" s="13" t="n"/>
      <c r="AI24" s="13" t="n"/>
      <c r="AJ24" s="13" t="n"/>
      <c r="AK24" s="13" t="n"/>
    </row>
    <row r="25">
      <c r="A25" s="16" t="n"/>
      <c r="B25" s="16" t="n"/>
      <c r="C25" s="16" t="n"/>
      <c r="D25" s="16" t="n"/>
      <c r="E25" s="16" t="n"/>
      <c r="F25" s="16" t="n"/>
      <c r="G25" s="16" t="n"/>
      <c r="H25" s="16" t="n"/>
      <c r="I25" s="16" t="n"/>
      <c r="J25" s="12" t="inlineStr">
        <is>
          <t>ESTIMATED TOTAL DUTIES</t>
        </is>
      </c>
      <c r="K25" s="16" t="n"/>
      <c r="L25" s="16" t="n"/>
      <c r="M25" s="16" t="n"/>
      <c r="N25" s="16" t="n"/>
      <c r="O25" s="16" t="n"/>
      <c r="P25" s="17" t="n">
        <v>90.8</v>
      </c>
      <c r="Q25" s="16" t="n"/>
      <c r="R25" s="16" t="n"/>
      <c r="S25" s="16" t="n"/>
      <c r="T25" s="16" t="n"/>
      <c r="U25" s="16" t="n"/>
      <c r="V25" s="16" t="n"/>
      <c r="W25" s="16" t="n"/>
      <c r="X25" s="16" t="n"/>
      <c r="Y25" s="16" t="n"/>
      <c r="Z25" s="16" t="n"/>
      <c r="AA25" s="16" t="n"/>
      <c r="AB25" s="16" t="n"/>
      <c r="AC25" s="16" t="n"/>
      <c r="AD25" s="16" t="n"/>
      <c r="AE25" s="16" t="n"/>
      <c r="AF25" s="16" t="n"/>
      <c r="AG25" s="16" t="n"/>
      <c r="AH25" s="16" t="n"/>
      <c r="AI25" s="16" t="n"/>
      <c r="AJ25" s="16" t="n"/>
      <c r="AK25" s="16" t="n"/>
    </row>
    <row r="26">
      <c r="A26" s="13" t="n"/>
      <c r="B26" s="13" t="n"/>
      <c r="C26" s="13" t="n"/>
      <c r="D26" s="13" t="n"/>
      <c r="E26" s="13" t="n"/>
      <c r="F26" s="13" t="n"/>
      <c r="G26" s="13" t="n"/>
      <c r="H26" s="13" t="n"/>
      <c r="I26" s="13" t="n"/>
      <c r="J26" s="14" t="inlineStr">
        <is>
          <t>Effective Duty Rate</t>
        </is>
      </c>
      <c r="K26" s="13" t="n"/>
      <c r="L26" s="13" t="n"/>
      <c r="M26" s="13" t="n"/>
      <c r="N26" s="13" t="n"/>
      <c r="O26" s="13" t="n"/>
      <c r="P26" s="18" t="n">
        <v>0.4489493201483313</v>
      </c>
      <c r="Q26" s="13" t="n"/>
      <c r="R26" s="13" t="n"/>
      <c r="S26" s="13" t="n"/>
      <c r="T26" s="13" t="n"/>
      <c r="U26" s="13" t="n"/>
      <c r="V26" s="13" t="n"/>
      <c r="W26" s="13" t="n"/>
      <c r="X26" s="13" t="n"/>
      <c r="Y26" s="13" t="n"/>
      <c r="Z26" s="13" t="n"/>
      <c r="AA26" s="13" t="n"/>
      <c r="AB26" s="13" t="n"/>
      <c r="AC26" s="13" t="n"/>
      <c r="AD26" s="13" t="n"/>
      <c r="AE26" s="13" t="n"/>
      <c r="AF26" s="13" t="n"/>
      <c r="AG26" s="13" t="n"/>
      <c r="AH26" s="13" t="n"/>
      <c r="AI26" s="13" t="n"/>
      <c r="AJ26" s="13" t="n"/>
      <c r="AK26" s="13" t="n"/>
    </row>
    <row r="27">
      <c r="A27" s="13" t="n"/>
      <c r="B27" s="13" t="n"/>
      <c r="C27" s="13" t="n"/>
      <c r="D27" s="13" t="n"/>
      <c r="E27" s="13" t="n"/>
      <c r="F27" s="13" t="n"/>
      <c r="G27" s="13" t="n"/>
      <c r="H27" s="13" t="n"/>
      <c r="I27" s="13" t="n"/>
      <c r="J27" s="14" t="inlineStr">
        <is>
          <t>CLIENT DECLARED DUTIES</t>
        </is>
      </c>
      <c r="K27" s="13" t="n"/>
      <c r="L27" s="13" t="n"/>
      <c r="M27" s="13" t="n"/>
      <c r="N27" s="13" t="n"/>
      <c r="O27" s="13" t="n"/>
      <c r="P27" s="15" t="n">
        <v>95.86</v>
      </c>
      <c r="Q27" s="13" t="n"/>
      <c r="R27" s="13" t="n"/>
      <c r="S27" s="13" t="n"/>
      <c r="T27" s="13" t="n"/>
      <c r="U27" s="13" t="n"/>
      <c r="V27" s="13" t="n"/>
      <c r="W27" s="13" t="n"/>
      <c r="X27" s="13" t="n"/>
      <c r="Y27" s="13" t="n"/>
      <c r="Z27" s="13" t="n"/>
      <c r="AA27" s="13" t="n"/>
      <c r="AB27" s="13" t="n"/>
      <c r="AC27" s="13" t="n"/>
      <c r="AD27" s="13" t="n"/>
      <c r="AE27" s="13" t="n"/>
      <c r="AF27" s="13" t="n"/>
      <c r="AG27" s="13" t="n"/>
      <c r="AH27" s="13" t="n"/>
      <c r="AI27" s="13" t="n"/>
      <c r="AJ27" s="13" t="n"/>
      <c r="AK27" s="13" t="n"/>
    </row>
    <row r="28">
      <c r="A28" s="13" t="n"/>
      <c r="B28" s="13" t="n"/>
      <c r="C28" s="13" t="n"/>
      <c r="D28" s="13" t="n"/>
      <c r="E28" s="13" t="n"/>
      <c r="F28" s="13" t="n"/>
      <c r="G28" s="13" t="n"/>
      <c r="H28" s="13" t="n"/>
      <c r="I28" s="13" t="n"/>
      <c r="J28" s="19" t="inlineStr">
        <is>
          <t>DUTY VARIANCE (Client − Estimated)</t>
        </is>
      </c>
      <c r="K28" s="13" t="n"/>
      <c r="L28" s="13" t="n"/>
      <c r="M28" s="13" t="n"/>
      <c r="N28" s="13" t="n"/>
      <c r="O28" s="13" t="n"/>
      <c r="P28" s="20" t="n">
        <v>5.06</v>
      </c>
      <c r="Q28" s="13" t="n"/>
      <c r="R28" s="13" t="n"/>
      <c r="S28" s="13" t="n"/>
      <c r="T28" s="13" t="n"/>
      <c r="U28" s="13" t="n"/>
      <c r="V28" s="13" t="n"/>
      <c r="W28" s="13" t="n"/>
      <c r="X28" s="13" t="n"/>
      <c r="Y28" s="13" t="n"/>
      <c r="Z28" s="13" t="n"/>
      <c r="AA28" s="13" t="n"/>
      <c r="AB28" s="13" t="n"/>
      <c r="AC28" s="13" t="n"/>
      <c r="AD28" s="13" t="n"/>
      <c r="AE28" s="13" t="n"/>
      <c r="AF28" s="13" t="n"/>
      <c r="AG28" s="13" t="n"/>
      <c r="AH28" s="13" t="n"/>
      <c r="AI28" s="13" t="n"/>
      <c r="AJ28" s="13" t="n"/>
      <c r="AK28" s="13" t="n"/>
    </row>
    <row r="29">
      <c r="A29" s="13" t="n"/>
      <c r="B29" s="13" t="n"/>
      <c r="C29" s="13" t="n"/>
      <c r="D29" s="13" t="n"/>
      <c r="E29" s="13" t="n"/>
      <c r="F29" s="13" t="n"/>
      <c r="G29" s="13" t="n"/>
      <c r="H29" s="13" t="n"/>
      <c r="I29" s="13" t="n"/>
      <c r="J29" s="14" t="inlineStr">
        <is>
          <t>IMPLIED CET RATE (from client value)</t>
        </is>
      </c>
      <c r="K29" s="13" t="n"/>
      <c r="L29" s="13" t="n"/>
      <c r="M29" s="13" t="n"/>
      <c r="N29" s="13" t="n"/>
      <c r="O29" s="13" t="n"/>
      <c r="P29" s="18" t="n">
        <v>0.2217111839630247</v>
      </c>
      <c r="Q29" s="13" t="n"/>
      <c r="R29" s="13" t="n"/>
      <c r="S29" s="13" t="n"/>
      <c r="T29" s="13" t="n"/>
      <c r="U29" s="13" t="n"/>
      <c r="V29" s="13" t="n"/>
      <c r="W29" s="13" t="n"/>
      <c r="X29" s="13" t="n"/>
      <c r="Y29" s="13" t="n"/>
      <c r="Z29" s="13" t="n"/>
      <c r="AA29" s="13" t="n"/>
      <c r="AB29" s="13" t="n"/>
      <c r="AC29" s="13" t="n"/>
      <c r="AD29" s="13" t="n"/>
      <c r="AE29" s="13" t="n"/>
      <c r="AF29" s="13" t="n"/>
      <c r="AG29" s="13" t="n"/>
      <c r="AH29" s="13" t="n"/>
      <c r="AI29" s="13" t="n"/>
      <c r="AJ29" s="13" t="n"/>
      <c r="AK29" s="13" t="n"/>
    </row>
    <row r="30">
      <c r="A30" s="13" t="n"/>
      <c r="B30" s="13" t="n"/>
      <c r="C30" s="13" t="n"/>
      <c r="D30" s="13" t="n"/>
      <c r="E30" s="13" t="n"/>
      <c r="F30" s="13" t="n"/>
      <c r="G30" s="13" t="n"/>
      <c r="H30" s="13" t="n"/>
      <c r="I30" s="13" t="n"/>
      <c r="J30" s="19" t="inlineStr">
        <is>
          <t>⚠ CET MISMATCH: System=20% vs Client≈22% — review classification</t>
        </is>
      </c>
      <c r="K30" s="13" t="n"/>
      <c r="L30" s="13" t="n"/>
      <c r="M30" s="13" t="n"/>
      <c r="N30" s="13" t="n"/>
      <c r="O30" s="13" t="n"/>
      <c r="P30" s="13" t="n"/>
      <c r="Q30" s="13" t="n"/>
      <c r="R30" s="13" t="n"/>
      <c r="S30" s="13" t="n"/>
      <c r="T30" s="13" t="n"/>
      <c r="U30" s="13" t="n"/>
      <c r="V30" s="13" t="n"/>
      <c r="W30" s="13" t="n"/>
      <c r="X30" s="13" t="n"/>
      <c r="Y30" s="13" t="n"/>
      <c r="Z30" s="13" t="n"/>
      <c r="AA30" s="13" t="n"/>
      <c r="AB30" s="13" t="n"/>
      <c r="AC30" s="13" t="n"/>
      <c r="AD30" s="13" t="n"/>
      <c r="AE30" s="13" t="n"/>
      <c r="AF30" s="13" t="n"/>
      <c r="AG30" s="13" t="n"/>
      <c r="AH30" s="13" t="n"/>
      <c r="AI30" s="13" t="n"/>
      <c r="AJ30" s="13" t="n"/>
      <c r="AK30" s="13" t="n"/>
    </row>
    <row r="31">
      <c r="A31" s="13" t="n"/>
      <c r="B31" s="13" t="n"/>
      <c r="C31" s="13" t="n"/>
      <c r="D31" s="13" t="n"/>
      <c r="E31" s="13" t="n"/>
      <c r="F31" s="13" t="inlineStr">
        <is>
          <t>96039090</t>
        </is>
      </c>
      <c r="G31" s="13" t="n"/>
      <c r="H31" s="13" t="n"/>
      <c r="I31" s="13" t="n"/>
      <c r="J31" s="14" t="inlineStr">
        <is>
          <t>IMPLIED CIF (from declared duty @ 20% CET, XCD)</t>
        </is>
      </c>
      <c r="K31" s="13" t="n"/>
      <c r="L31" s="13" t="n"/>
      <c r="M31" s="13" t="n"/>
      <c r="N31" s="13" t="n"/>
      <c r="O31" s="13" t="n"/>
      <c r="P31" s="15" t="n">
        <v>213.5</v>
      </c>
      <c r="Q31" s="13" t="n"/>
      <c r="R31" s="13" t="n"/>
      <c r="S31" s="13" t="n"/>
      <c r="T31" s="13" t="n"/>
      <c r="U31" s="13" t="n"/>
      <c r="V31" s="13" t="n"/>
      <c r="W31" s="13" t="n"/>
      <c r="X31" s="13" t="n"/>
      <c r="Y31" s="13" t="n"/>
      <c r="Z31" s="13" t="n"/>
      <c r="AA31" s="13" t="n"/>
      <c r="AB31" s="13" t="n"/>
      <c r="AC31" s="13" t="n"/>
      <c r="AD31" s="13" t="n"/>
      <c r="AE31" s="13" t="n"/>
      <c r="AF31" s="13" t="n"/>
      <c r="AG31" s="13" t="n"/>
      <c r="AH31" s="13" t="n"/>
      <c r="AI31" s="13" t="n"/>
      <c r="AJ31" s="13" t="n"/>
      <c r="AK31" s="13" t="inlineStr">
        <is>
          <t>96039090</t>
        </is>
      </c>
    </row>
    <row r="32">
      <c r="A32" s="13" t="n"/>
      <c r="B32" s="13" t="n"/>
      <c r="C32" s="13" t="n"/>
      <c r="D32" s="13" t="n"/>
      <c r="E32" s="13" t="n"/>
      <c r="F32" s="13" t="inlineStr">
        <is>
          <t>96039090</t>
        </is>
      </c>
      <c r="G32" s="13" t="n"/>
      <c r="H32" s="13" t="n"/>
      <c r="I32" s="13" t="n"/>
      <c r="J32" s="14" t="inlineStr">
        <is>
          <t>IMPLIED ITEMS VALUE (USD, net of freight/insurance)</t>
        </is>
      </c>
      <c r="K32" s="13" t="n"/>
      <c r="L32" s="13" t="n"/>
      <c r="M32" s="13" t="n"/>
      <c r="N32" s="13" t="n"/>
      <c r="O32" s="13" t="n"/>
      <c r="P32" s="15" t="n">
        <v>65.58</v>
      </c>
      <c r="Q32" s="13" t="n"/>
      <c r="R32" s="13" t="n"/>
      <c r="S32" s="13" t="n"/>
      <c r="T32" s="13" t="n"/>
      <c r="U32" s="13" t="n"/>
      <c r="V32" s="13" t="n"/>
      <c r="W32" s="13" t="n"/>
      <c r="X32" s="13" t="n"/>
      <c r="Y32" s="13" t="n"/>
      <c r="Z32" s="13" t="n"/>
      <c r="AA32" s="13" t="n"/>
      <c r="AB32" s="13" t="n"/>
      <c r="AC32" s="13" t="n"/>
      <c r="AD32" s="13" t="n"/>
      <c r="AE32" s="13" t="n"/>
      <c r="AF32" s="13" t="n"/>
      <c r="AG32" s="13" t="n"/>
      <c r="AH32" s="13" t="n"/>
      <c r="AI32" s="13" t="n"/>
      <c r="AJ32" s="13" t="n"/>
      <c r="AK32" s="13" t="inlineStr">
        <is>
          <t>96039090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2026-04-24T06:05:28Z</dcterms:created>
  <dcterms:modified xsi:type="dcterms:W3CDTF">2026-04-24T06:05:38Z</dcterms:modified>
</cp:coreProperties>
</file>