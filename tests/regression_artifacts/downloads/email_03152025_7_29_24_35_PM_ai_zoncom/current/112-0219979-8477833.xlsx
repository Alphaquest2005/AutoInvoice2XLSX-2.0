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0" fontId="6" fillId="0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112-0219979-8477833</t>
        </is>
      </c>
      <c r="D2" s="2" t="inlineStr"/>
      <c r="E2" s="2" t="inlineStr">
        <is>
          <t>Fruit or vegetable juice extractors</t>
        </is>
      </c>
      <c r="F2" s="2" t="inlineStr">
        <is>
          <t>85094020</t>
        </is>
      </c>
      <c r="G2" s="2" t="inlineStr"/>
      <c r="H2" s="2" t="inlineStr"/>
      <c r="I2" s="2" t="inlineStr">
        <is>
          <t>AMZ-1</t>
        </is>
      </c>
      <c r="J2" s="2" t="inlineStr">
        <is>
          <t>Cuisinart Soft Serve Ice Cream Machine - Mix It In Ice Cream Maker for Frozen...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142.99</v>
      </c>
      <c r="P2" s="3" t="n">
        <v>142.99</v>
      </c>
      <c r="Q2" s="3">
        <f>O2*K2</f>
        <v/>
      </c>
      <c r="R2" s="3">
        <f>P2-Q2</f>
        <v/>
      </c>
      <c r="S2" s="3" t="n">
        <v>153</v>
      </c>
      <c r="T2" s="3" t="n">
        <v>0</v>
      </c>
      <c r="U2" s="3" t="n">
        <v>0</v>
      </c>
      <c r="V2" s="3" t="n">
        <v>10.01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112-0219979-8477833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85094020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192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521.64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(20%) — Tariff 85094020</t>
        </is>
      </c>
      <c r="K11" s="7" t="n"/>
      <c r="L11" s="7" t="n"/>
      <c r="M11" s="7" t="n"/>
      <c r="N11" s="7" t="n"/>
      <c r="O11" s="7" t="n"/>
      <c r="P11" s="9" t="n">
        <v>104.33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31.3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98.59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234.22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0.4490069779924852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8" t="inlineStr">
        <is>
          <t>CLIENT DECLARED DUTIES</t>
        </is>
      </c>
      <c r="K16" s="7" t="n"/>
      <c r="L16" s="7" t="n"/>
      <c r="M16" s="7" t="n"/>
      <c r="N16" s="7" t="n"/>
      <c r="O16" s="7" t="n"/>
      <c r="P16" s="9" t="n">
        <v>24</v>
      </c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13" t="inlineStr">
        <is>
          <t>DUTY VARIANCE (Client − Estimated)</t>
        </is>
      </c>
      <c r="K17" s="7" t="n"/>
      <c r="L17" s="7" t="n"/>
      <c r="M17" s="7" t="n"/>
      <c r="N17" s="7" t="n"/>
      <c r="O17" s="7" t="n"/>
      <c r="P17" s="14" t="n">
        <v>-210.22</v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8" t="inlineStr">
        <is>
          <t>IMPLIED CIF (from declared duty @ 20% CET, XCD)</t>
        </is>
      </c>
      <c r="K18" s="7" t="n"/>
      <c r="L18" s="7" t="n"/>
      <c r="M18" s="7" t="n"/>
      <c r="N18" s="7" t="n"/>
      <c r="O18" s="7" t="n"/>
      <c r="P18" s="9" t="n">
        <v>53.45</v>
      </c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8" t="inlineStr">
        <is>
          <t>IMPLIED ITEMS VALUE (USD, net of freight/insurance)</t>
        </is>
      </c>
      <c r="K19" s="7" t="n"/>
      <c r="L19" s="7" t="n"/>
      <c r="M19" s="7" t="n"/>
      <c r="N19" s="7" t="n"/>
      <c r="O19" s="7" t="n"/>
      <c r="P19" s="9" t="n">
        <v>0</v>
      </c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2026-04-26T18:23:00Z</dcterms:created>
  <dcterms:modified xmlns:dcterms="http://purl.org/dc/terms/" xmlns:xsi="http://www.w3.org/2001/XMLSchema-instance" xsi:type="dcterms:W3CDTF">2026-04-26T18:23:00Z</dcterms:modified>
</cp:coreProperties>
</file>