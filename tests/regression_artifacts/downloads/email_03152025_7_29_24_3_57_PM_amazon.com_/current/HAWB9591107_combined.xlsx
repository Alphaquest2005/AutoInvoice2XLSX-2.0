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111-9341313-9838630</t>
        </is>
      </c>
      <c r="D2" s="2" t="inlineStr"/>
      <c r="E2" s="2" t="inlineStr">
        <is>
          <t>Electrical machinery and equipment</t>
        </is>
      </c>
      <c r="F2" s="2" t="inlineStr">
        <is>
          <t>84719000</t>
        </is>
      </c>
      <c r="G2" s="2" t="inlineStr"/>
      <c r="H2" s="2" t="inlineStr"/>
      <c r="I2" s="2" t="inlineStr">
        <is>
          <t>84719000</t>
        </is>
      </c>
      <c r="J2" s="2" t="inlineStr">
        <is>
          <t>Anker 14 in 1 USB C Docking Station , USB C Hub Triple Display , With 4 K HDM... (1 items)</t>
        </is>
      </c>
      <c r="K2" s="2" t="n">
        <v>7</v>
      </c>
      <c r="L2" s="2" t="n"/>
      <c r="M2" s="2" t="inlineStr"/>
      <c r="N2" s="2" t="inlineStr">
        <is>
          <t>USD</t>
        </is>
      </c>
      <c r="O2" s="3" t="n">
        <v>74.98999999999999</v>
      </c>
      <c r="P2" s="3" t="n">
        <v>524.9299999999999</v>
      </c>
      <c r="Q2" s="3">
        <f>O2*K2</f>
        <v/>
      </c>
      <c r="R2" s="3">
        <f>P2-Q2</f>
        <v/>
      </c>
      <c r="S2" s="3" t="n">
        <v>671.84</v>
      </c>
      <c r="T2" s="3" t="n">
        <v>0</v>
      </c>
      <c r="U2" s="3" t="n">
        <v>-1.3</v>
      </c>
      <c r="V2" s="3" t="n">
        <v>42.95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HAWB9591107_combined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84719000</t>
        </is>
      </c>
    </row>
    <row r="3">
      <c r="A3" s="4" t="n"/>
      <c r="B3" s="4" t="n"/>
      <c r="C3" s="4" t="n"/>
      <c r="D3" s="4" t="n"/>
      <c r="E3" s="4" t="n"/>
      <c r="F3" s="4" t="inlineStr">
        <is>
          <t>84719000</t>
        </is>
      </c>
      <c r="G3" s="4" t="n"/>
      <c r="H3" s="4" t="n"/>
      <c r="I3" s="4" t="inlineStr">
        <is>
          <t>AMZ-1</t>
        </is>
      </c>
      <c r="J3" s="4" t="inlineStr">
        <is>
          <t>Anker 14 in 1 USB C Docking Station , USB C Hub Triple Display , With 4 K HDM...</t>
        </is>
      </c>
      <c r="K3" s="4" t="n">
        <v>7</v>
      </c>
      <c r="L3" s="4" t="n"/>
      <c r="M3" s="4" t="inlineStr"/>
      <c r="N3" s="4" t="inlineStr">
        <is>
          <t>USD</t>
        </is>
      </c>
      <c r="O3" s="5" t="n">
        <v>74.98999999999999</v>
      </c>
      <c r="P3" s="5" t="n">
        <v>524.9299999999999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inlineStr"/>
      <c r="C4" s="2" t="inlineStr">
        <is>
          <t>111-9341313-9838630</t>
        </is>
      </c>
      <c r="D4" s="2" t="inlineStr"/>
      <c r="E4" s="2" t="inlineStr">
        <is>
          <t>BAGS &amp; LUGGAGE</t>
        </is>
      </c>
      <c r="F4" s="2" t="inlineStr">
        <is>
          <t>42022200</t>
        </is>
      </c>
      <c r="G4" s="2" t="inlineStr"/>
      <c r="H4" s="2" t="inlineStr"/>
      <c r="I4" s="2" t="inlineStr">
        <is>
          <t>42022200</t>
        </is>
      </c>
      <c r="J4" s="2" t="inlineStr">
        <is>
          <t>MOSISO Laptop Shoulder Bag Compatible with MacBook Air 15 inch M 2 A 2941 202... (1 items)</t>
        </is>
      </c>
      <c r="K4" s="2" t="n">
        <v>4</v>
      </c>
      <c r="L4" s="2" t="n"/>
      <c r="M4" s="2" t="inlineStr"/>
      <c r="N4" s="2" t="inlineStr">
        <is>
          <t>USD</t>
        </is>
      </c>
      <c r="O4" s="3" t="n">
        <v>25.99</v>
      </c>
      <c r="P4" s="3" t="n">
        <v>103.96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42022200</t>
        </is>
      </c>
    </row>
    <row r="5">
      <c r="A5" s="4" t="n"/>
      <c r="B5" s="4" t="n"/>
      <c r="C5" s="4" t="n"/>
      <c r="D5" s="4" t="n"/>
      <c r="E5" s="4" t="n"/>
      <c r="F5" s="4" t="inlineStr">
        <is>
          <t>42022200</t>
        </is>
      </c>
      <c r="G5" s="4" t="n"/>
      <c r="H5" s="4" t="n"/>
      <c r="I5" s="4" t="inlineStr">
        <is>
          <t>AMZ-2</t>
        </is>
      </c>
      <c r="J5" s="4" t="inlineStr">
        <is>
          <t>MOSISO Laptop Shoulder Bag Compatible with MacBook Air 15 inch M 2 A 2941 202...</t>
        </is>
      </c>
      <c r="K5" s="4" t="n">
        <v>4</v>
      </c>
      <c r="L5" s="4" t="n"/>
      <c r="M5" s="4" t="inlineStr"/>
      <c r="N5" s="4" t="inlineStr">
        <is>
          <t>USD</t>
        </is>
      </c>
      <c r="O5" s="5" t="n">
        <v>25.99</v>
      </c>
      <c r="P5" s="5" t="n">
        <v>103.96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(GROUPED)</t>
        </is>
      </c>
      <c r="K6" s="6" t="n"/>
      <c r="L6" s="6" t="n"/>
      <c r="M6" s="6" t="n"/>
      <c r="N6" s="6" t="n"/>
      <c r="O6" s="6" t="n"/>
      <c r="P6" s="7">
        <f>P2+P4</f>
        <v/>
      </c>
      <c r="Q6" s="7">
        <f>Q2+Q4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inlineStr">
        <is>
          <t>SUBTOTAL (DETAILS)</t>
        </is>
      </c>
      <c r="K7" s="6" t="n"/>
      <c r="L7" s="6" t="n"/>
      <c r="M7" s="6" t="n"/>
      <c r="N7" s="6" t="n"/>
      <c r="O7" s="6" t="n"/>
      <c r="P7" s="7">
        <f>SUM(P2:P5)-P6</f>
        <v/>
      </c>
      <c r="Q7" s="7">
        <f>SUM(Q2:Q5)-Q6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inlineStr">
        <is>
          <t>GROUP VERIFICATION</t>
        </is>
      </c>
      <c r="K8" s="8" t="n"/>
      <c r="L8" s="8" t="n"/>
      <c r="M8" s="8" t="n"/>
      <c r="N8" s="8" t="n"/>
      <c r="O8" s="8" t="n"/>
      <c r="P8" s="9">
        <f>P6-P7</f>
        <v/>
      </c>
      <c r="Q8" s="9">
        <f>Q6-Q7</f>
        <v/>
      </c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</row>
    <row r="9"/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INTERNAL FREIGHT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INSURANCE</t>
        </is>
      </c>
      <c r="K11" s="6" t="n"/>
      <c r="L11" s="6" t="n"/>
      <c r="M11" s="6" t="n"/>
      <c r="N11" s="6" t="n"/>
      <c r="O11" s="6" t="n"/>
      <c r="P11" s="7" t="n">
        <v>-1.3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OTHER COST</t>
        </is>
      </c>
      <c r="K12" s="6" t="n"/>
      <c r="L12" s="6" t="n"/>
      <c r="M12" s="6" t="n"/>
      <c r="N12" s="6" t="n"/>
      <c r="O12" s="6" t="n"/>
      <c r="P12" s="7" t="n">
        <v>42.95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DEDUCTION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ADJUSTMENTS</t>
        </is>
      </c>
      <c r="K14" s="6" t="n"/>
      <c r="L14" s="6" t="n"/>
      <c r="M14" s="6" t="n"/>
      <c r="N14" s="6" t="n"/>
      <c r="O14" s="6" t="n"/>
      <c r="P14" s="7">
        <f>(T2+U2+V2-W2)</f>
        <v/>
      </c>
      <c r="Q14" s="7">
        <f>(T2+U2+V2-W2)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NET TOTAL</t>
        </is>
      </c>
      <c r="K16" s="6" t="n"/>
      <c r="L16" s="6" t="n"/>
      <c r="M16" s="6" t="n"/>
      <c r="N16" s="6" t="n"/>
      <c r="O16" s="6" t="n"/>
      <c r="P16" s="7">
        <f>P6+P14</f>
        <v/>
      </c>
      <c r="Q16" s="7">
        <f>Q6+Q14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INVOICE TOTAL</t>
        </is>
      </c>
      <c r="K17" s="6" t="n"/>
      <c r="L17" s="6" t="n"/>
      <c r="M17" s="6" t="n"/>
      <c r="N17" s="6" t="n"/>
      <c r="O17" s="6" t="n"/>
      <c r="P17" s="7">
        <f>S2</f>
        <v/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/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inlineStr">
        <is>
          <t>VARIANCE CHECK</t>
        </is>
      </c>
      <c r="K19" s="10" t="n"/>
      <c r="L19" s="10" t="n"/>
      <c r="M19" s="10" t="n"/>
      <c r="N19" s="10" t="n"/>
      <c r="O19" s="10" t="n"/>
      <c r="P19" s="11">
        <f>S2-P16</f>
        <v/>
      </c>
      <c r="Q19" s="11">
        <f>S2-Q16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</row>
    <row r="20"/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inlineStr">
        <is>
          <t>DUTY ESTIMATION (Classification Cross-Check)</t>
        </is>
      </c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CIF (USD) = InvTotal + Freight + Insurance</t>
        </is>
      </c>
      <c r="K22" s="13" t="n"/>
      <c r="L22" s="13" t="n"/>
      <c r="M22" s="13" t="n"/>
      <c r="N22" s="13" t="n"/>
      <c r="O22" s="13" t="n"/>
      <c r="P22" s="15" t="n">
        <v>692.84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CIF (XCD) = CIF × 2.7169</t>
        </is>
      </c>
      <c r="K23" s="13" t="n"/>
      <c r="L23" s="13" t="n"/>
      <c r="M23" s="13" t="n"/>
      <c r="N23" s="13" t="n"/>
      <c r="O23" s="13" t="n"/>
      <c r="P23" s="15" t="n">
        <v>1882.38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CET (weighted avg 7.5%)</t>
        </is>
      </c>
      <c r="K24" s="13" t="n"/>
      <c r="L24" s="13" t="n"/>
      <c r="M24" s="13" t="n"/>
      <c r="N24" s="13" t="n"/>
      <c r="O24" s="13" t="n"/>
      <c r="P24" s="15" t="n">
        <v>140.79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 xml:space="preserve">  └ 42022200: 20% CET (17% of value)</t>
        </is>
      </c>
      <c r="K25" s="13" t="n"/>
      <c r="L25" s="13" t="n"/>
      <c r="M25" s="13" t="n"/>
      <c r="N25" s="13" t="n"/>
      <c r="O25" s="13" t="n"/>
      <c r="P25" s="15" t="n">
        <v>62.23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 xml:space="preserve">  └ 84719000: 5% CET (83% of value)</t>
        </is>
      </c>
      <c r="K26" s="13" t="n"/>
      <c r="L26" s="13" t="n"/>
      <c r="M26" s="13" t="n"/>
      <c r="N26" s="13" t="n"/>
      <c r="O26" s="13" t="n"/>
      <c r="P26" s="15" t="n">
        <v>78.56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CSC (6%)</t>
        </is>
      </c>
      <c r="K27" s="13" t="n"/>
      <c r="L27" s="13" t="n"/>
      <c r="M27" s="13" t="n"/>
      <c r="N27" s="13" t="n"/>
      <c r="O27" s="13" t="n"/>
      <c r="P27" s="15" t="n">
        <v>112.94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VAT (15%) on CIF+CET+CSC</t>
        </is>
      </c>
      <c r="K28" s="13" t="n"/>
      <c r="L28" s="13" t="n"/>
      <c r="M28" s="13" t="n"/>
      <c r="N28" s="13" t="n"/>
      <c r="O28" s="13" t="n"/>
      <c r="P28" s="15" t="n">
        <v>320.42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2" t="inlineStr">
        <is>
          <t>ESTIMATED TOTAL DUTIES</t>
        </is>
      </c>
      <c r="K29" s="16" t="n"/>
      <c r="L29" s="16" t="n"/>
      <c r="M29" s="16" t="n"/>
      <c r="N29" s="16" t="n"/>
      <c r="O29" s="16" t="n"/>
      <c r="P29" s="17" t="n">
        <v>574.15</v>
      </c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Effective Duty Rate</t>
        </is>
      </c>
      <c r="K30" s="13" t="n"/>
      <c r="L30" s="13" t="n"/>
      <c r="M30" s="13" t="n"/>
      <c r="N30" s="13" t="n"/>
      <c r="O30" s="13" t="n"/>
      <c r="P30" s="18" t="n">
        <v>0.3050128029409577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CLIENT DECLARED DUTIES</t>
        </is>
      </c>
      <c r="K31" s="13" t="n"/>
      <c r="L31" s="13" t="n"/>
      <c r="M31" s="13" t="n"/>
      <c r="N31" s="13" t="n"/>
      <c r="O31" s="13" t="n"/>
      <c r="P31" s="15" t="n">
        <v>592.66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9" t="inlineStr">
        <is>
          <t>DUTY VARIANCE (Client − Estimated)</t>
        </is>
      </c>
      <c r="K32" s="13" t="n"/>
      <c r="L32" s="13" t="n"/>
      <c r="M32" s="13" t="n"/>
      <c r="N32" s="13" t="n"/>
      <c r="O32" s="13" t="n"/>
      <c r="P32" s="20" t="n">
        <v>18.51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>IMPLIED CET RATE (from client value)</t>
        </is>
      </c>
      <c r="K33" s="13" t="n"/>
      <c r="L33" s="13" t="n"/>
      <c r="M33" s="13" t="n"/>
      <c r="N33" s="13" t="n"/>
      <c r="O33" s="13" t="n"/>
      <c r="P33" s="18" t="n">
        <v>0.08334443398897877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inlineStr">
        <is>
          <t>IMPLIED CIF (from declared duty @ 7% CET, XCD)</t>
        </is>
      </c>
      <c r="K34" s="13" t="n"/>
      <c r="L34" s="13" t="n"/>
      <c r="M34" s="13" t="n"/>
      <c r="N34" s="13" t="n"/>
      <c r="O34" s="13" t="n"/>
      <c r="P34" s="15" t="n">
        <v>1943.05</v>
      </c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4" t="inlineStr">
        <is>
          <t>IMPLIED ITEMS VALUE (USD, net of freight/insurance)</t>
        </is>
      </c>
      <c r="K35" s="13" t="n"/>
      <c r="L35" s="13" t="n"/>
      <c r="M35" s="13" t="n"/>
      <c r="N35" s="13" t="n"/>
      <c r="O35" s="13" t="n"/>
      <c r="P35" s="15" t="n">
        <v>694.17</v>
      </c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2026-04-26T18:23:50Z</dcterms:created>
  <dcterms:modified xmlns:dcterms="http://purl.org/dc/terms/" xmlns:xsi="http://www.w3.org/2001/XMLSchema-instance" xsi:type="dcterms:W3CDTF">2026-04-26T18:23:50Z</dcterms:modified>
</cp:coreProperties>
</file>