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Invoices" sheetId="1" state="visible" r:id="rId1"/>
    <sheet xmlns:r="http://schemas.openxmlformats.org/officeDocument/2006/relationships" name="OCR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&quot;$&quot;#,##0.00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FFFFFF"/>
      <sz val="12"/>
    </font>
    <font>
      <b val="1"/>
    </font>
    <font>
      <b val="1"/>
      <color rgb="00FF0000"/>
    </font>
    <font>
      <i val="1"/>
      <color rgb="00666666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0E0E0"/>
        <bgColor rgb="00E0E0E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0" fillId="4" borderId="0" pivotButton="0" quotePrefix="0" xfId="0"/>
    <xf numFmtId="0" fontId="0" fillId="2" borderId="0" pivotButton="0" quotePrefix="0" xfId="0"/>
    <xf numFmtId="0" fontId="6" fillId="2" borderId="0" pivotButton="0" quotePrefix="0" xfId="0"/>
    <xf numFmtId="0" fontId="7" fillId="0" borderId="0" pivotButton="0" quotePrefix="0" xfId="0"/>
    <xf numFmtId="166" fontId="0" fillId="0" borderId="0" pivotButton="0" quotePrefix="0" xfId="0"/>
    <xf numFmtId="166" fontId="8" fillId="0" borderId="0" pivotButton="0" quotePrefix="0" xfId="0"/>
    <xf numFmtId="0" fontId="3" fillId="0" borderId="0" pivotButton="0" quotePrefix="0" xfId="0"/>
    <xf numFmtId="166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0" pivotButton="0" quotePrefix="0" xfId="0"/>
    <xf numFmtId="0" fontId="0" fillId="5" borderId="0" pivotButton="0" quotePrefix="0" xfId="0"/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n"/>
      <c r="C2" s="2" t="inlineStr">
        <is>
          <t>112-1892394-4362604</t>
        </is>
      </c>
      <c r="D2" s="2" t="inlineStr">
        <is>
          <t>2024-07-31</t>
        </is>
      </c>
      <c r="E2" s="2" t="inlineStr">
        <is>
          <t>MIRRORS</t>
        </is>
      </c>
      <c r="F2" s="2" t="inlineStr">
        <is>
          <t>70099100</t>
        </is>
      </c>
      <c r="G2" s="2" t="n"/>
      <c r="H2" s="2" t="n"/>
      <c r="I2" s="2" t="inlineStr">
        <is>
          <t>AMZ-1</t>
        </is>
      </c>
      <c r="J2" s="2" t="inlineStr">
        <is>
          <t>Dorman 56768 Driver Side Door Mirror Glass Compatible with Select Mitsubishi ...</t>
        </is>
      </c>
      <c r="K2" s="2" t="n">
        <v>1</v>
      </c>
      <c r="L2" s="2" t="n"/>
      <c r="M2" s="2" t="n"/>
      <c r="N2" s="2" t="inlineStr">
        <is>
          <t>USD</t>
        </is>
      </c>
      <c r="O2" s="3" t="n">
        <v>14.81</v>
      </c>
      <c r="P2" s="3" t="n">
        <v>14.81</v>
      </c>
      <c r="Q2" s="3">
        <f>O2*K2</f>
        <v/>
      </c>
      <c r="R2" s="3">
        <f>P2-Q2</f>
        <v/>
      </c>
      <c r="S2" s="3" t="n">
        <v>15.85</v>
      </c>
      <c r="T2" s="3" t="n">
        <v>0</v>
      </c>
      <c r="U2" s="3" t="n">
        <v>0</v>
      </c>
      <c r="V2" s="3" t="n">
        <v>1.04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70099100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15.85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43.06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(5%) — Tariff 70099100</t>
        </is>
      </c>
      <c r="K11" s="7" t="n"/>
      <c r="L11" s="7" t="n"/>
      <c r="M11" s="7" t="n"/>
      <c r="N11" s="7" t="n"/>
      <c r="O11" s="7" t="n"/>
      <c r="P11" s="9" t="n">
        <v>2.15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2.58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7.17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11.9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0.2763585694379935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</row>
    <row r="17">
      <c r="A17" s="2" t="inlineStr">
        <is>
          <t>4000-000</t>
        </is>
      </c>
      <c r="B17" s="2" t="n"/>
      <c r="C17" s="2" t="inlineStr">
        <is>
          <t>112-1892394-4362604</t>
        </is>
      </c>
      <c r="D17" s="2" t="n"/>
      <c r="E17" s="2" t="inlineStr">
        <is>
          <t>MIRRORS</t>
        </is>
      </c>
      <c r="F17" s="2" t="inlineStr">
        <is>
          <t>70099100</t>
        </is>
      </c>
      <c r="G17" s="2" t="n"/>
      <c r="H17" s="2" t="n"/>
      <c r="I17" s="2" t="inlineStr">
        <is>
          <t>AMZ-1</t>
        </is>
      </c>
      <c r="J17" s="2" t="inlineStr">
        <is>
          <t>Dorman 56768 Driver Side Door Mirror Glass Compatible with Select Mitsubishi ...</t>
        </is>
      </c>
      <c r="K17" s="2" t="n">
        <v>1</v>
      </c>
      <c r="L17" s="2" t="n"/>
      <c r="M17" s="2" t="n"/>
      <c r="N17" s="2" t="inlineStr">
        <is>
          <t>USD</t>
        </is>
      </c>
      <c r="O17" s="3" t="n">
        <v>14.81</v>
      </c>
      <c r="P17" s="3" t="n">
        <v>14.81</v>
      </c>
      <c r="Q17" s="3">
        <f>O17*K17</f>
        <v/>
      </c>
      <c r="R17" s="3">
        <f>P17-Q17</f>
        <v/>
      </c>
      <c r="S17" s="3" t="n">
        <v>15.85</v>
      </c>
      <c r="T17" s="3" t="n">
        <v>0</v>
      </c>
      <c r="U17" s="3" t="n">
        <v>0</v>
      </c>
      <c r="V17" s="3" t="n">
        <v>1.04</v>
      </c>
      <c r="W17" s="3" t="n">
        <v>0</v>
      </c>
      <c r="X17" s="2" t="n"/>
      <c r="Y17" s="2" t="n"/>
      <c r="Z17" s="2" t="inlineStr">
        <is>
          <t>AMAZON</t>
        </is>
      </c>
      <c r="AA17" s="2" t="inlineStr">
        <is>
          <t>Amazon.com</t>
        </is>
      </c>
      <c r="AB17" s="2" t="inlineStr">
        <is>
          <t>410 Terry Avenue North, Seattle, WA 98109</t>
        </is>
      </c>
      <c r="AC17" s="2" t="inlineStr">
        <is>
          <t>US</t>
        </is>
      </c>
      <c r="AD17" s="2" t="n"/>
      <c r="AE17" s="2" t="n"/>
      <c r="AF17" s="2" t="n"/>
      <c r="AG17" s="2" t="n"/>
      <c r="AH17" s="2" t="n"/>
      <c r="AI17" s="2" t="n"/>
      <c r="AJ17" s="2" t="n"/>
      <c r="AK17" s="2" t="inlineStr">
        <is>
          <t>70099100</t>
        </is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inlineStr">
        <is>
          <t>SUBTOTAL</t>
        </is>
      </c>
      <c r="K18" s="4" t="n"/>
      <c r="L18" s="4" t="n"/>
      <c r="M18" s="4" t="n"/>
      <c r="N18" s="4" t="n"/>
      <c r="O18" s="4" t="n"/>
      <c r="P18" s="5">
        <f>P17</f>
        <v/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inlineStr">
        <is>
          <t>ADJUSTMENTS</t>
        </is>
      </c>
      <c r="K19" s="4" t="n"/>
      <c r="L19" s="4" t="n"/>
      <c r="M19" s="4" t="n"/>
      <c r="N19" s="4" t="n"/>
      <c r="O19" s="4" t="n"/>
      <c r="P19" s="5">
        <f>(T17+U17+V17-W17)</f>
        <v/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inlineStr">
        <is>
          <t>NET TOTAL</t>
        </is>
      </c>
      <c r="K20" s="4" t="n"/>
      <c r="L20" s="4" t="n"/>
      <c r="M20" s="4" t="n"/>
      <c r="N20" s="4" t="n"/>
      <c r="O20" s="4" t="n"/>
      <c r="P20" s="5">
        <f>(P18+P19)</f>
        <v/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inlineStr">
        <is>
          <t>VARIANCE CHECK</t>
        </is>
      </c>
      <c r="K21" s="4" t="n"/>
      <c r="L21" s="4" t="n"/>
      <c r="M21" s="4" t="n"/>
      <c r="N21" s="4" t="n"/>
      <c r="O21" s="4" t="n"/>
      <c r="P21" s="5">
        <f>(S17-P20)</f>
        <v/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</row>
    <row r="22"/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inlineStr">
        <is>
          <t>DUTY ESTIMATION (Classification Cross-Check)</t>
        </is>
      </c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8" t="inlineStr">
        <is>
          <t>CIF (USD) = InvTotal + Freight + Insurance</t>
        </is>
      </c>
      <c r="K24" s="7" t="n"/>
      <c r="L24" s="7" t="n"/>
      <c r="M24" s="7" t="n"/>
      <c r="N24" s="7" t="n"/>
      <c r="O24" s="7" t="n"/>
      <c r="P24" s="9" t="n">
        <v>15.85</v>
      </c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8" t="inlineStr">
        <is>
          <t>CIF (XCD) = CIF × 2.7169</t>
        </is>
      </c>
      <c r="K25" s="7" t="n"/>
      <c r="L25" s="7" t="n"/>
      <c r="M25" s="7" t="n"/>
      <c r="N25" s="7" t="n"/>
      <c r="O25" s="7" t="n"/>
      <c r="P25" s="9" t="n">
        <v>43.06</v>
      </c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8" t="inlineStr">
        <is>
          <t>CET (5%) — Tariff 70099100</t>
        </is>
      </c>
      <c r="K26" s="7" t="n"/>
      <c r="L26" s="7" t="n"/>
      <c r="M26" s="7" t="n"/>
      <c r="N26" s="7" t="n"/>
      <c r="O26" s="7" t="n"/>
      <c r="P26" s="9" t="n">
        <v>2.15</v>
      </c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8" t="inlineStr">
        <is>
          <t>CSC (6%)</t>
        </is>
      </c>
      <c r="K27" s="7" t="n"/>
      <c r="L27" s="7" t="n"/>
      <c r="M27" s="7" t="n"/>
      <c r="N27" s="7" t="n"/>
      <c r="O27" s="7" t="n"/>
      <c r="P27" s="9" t="n">
        <v>2.58</v>
      </c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8" t="inlineStr">
        <is>
          <t>VAT (15%) on CIF+CET+CSC</t>
        </is>
      </c>
      <c r="K28" s="7" t="n"/>
      <c r="L28" s="7" t="n"/>
      <c r="M28" s="7" t="n"/>
      <c r="N28" s="7" t="n"/>
      <c r="O28" s="7" t="n"/>
      <c r="P28" s="9" t="n">
        <v>7.17</v>
      </c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6" t="inlineStr">
        <is>
          <t>ESTIMATED TOTAL DUTIES</t>
        </is>
      </c>
      <c r="K29" s="10" t="n"/>
      <c r="L29" s="10" t="n"/>
      <c r="M29" s="10" t="n"/>
      <c r="N29" s="10" t="n"/>
      <c r="O29" s="10" t="n"/>
      <c r="P29" s="11" t="n">
        <v>11.9</v>
      </c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8" t="inlineStr">
        <is>
          <t>Effective Duty Rate</t>
        </is>
      </c>
      <c r="K30" s="7" t="n"/>
      <c r="L30" s="7" t="n"/>
      <c r="M30" s="7" t="n"/>
      <c r="N30" s="7" t="n"/>
      <c r="O30" s="7" t="n"/>
      <c r="P30" s="12" t="n">
        <v>0.2763585694379935</v>
      </c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</row>
    <row r="31"/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5" t="inlineStr">
        <is>
          <t>═══ COMBINED GRAND SUMMARY ═══</t>
        </is>
      </c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</row>
    <row r="34">
      <c r="L34" s="16" t="inlineStr">
        <is>
          <t>Invoice 112-1892394-4362604</t>
        </is>
      </c>
      <c r="P34" s="17" t="n">
        <v>98.84</v>
      </c>
      <c r="Q34" s="18" t="n">
        <v>-82.98999999999999</v>
      </c>
    </row>
    <row r="35">
      <c r="L35" s="16" t="inlineStr">
        <is>
          <t>Invoice 112-1892394-4362604</t>
        </is>
      </c>
      <c r="P35" s="17" t="n">
        <v>98.84</v>
      </c>
      <c r="Q35" s="18" t="n">
        <v>-82.98999999999999</v>
      </c>
    </row>
    <row r="36"/>
    <row r="37">
      <c r="L37" s="19" t="inlineStr">
        <is>
          <t>GRAND TOTAL</t>
        </is>
      </c>
      <c r="P37" s="20" t="n">
        <v>197.68</v>
      </c>
    </row>
    <row r="38">
      <c r="L38" s="21" t="inlineStr">
        <is>
          <t>GRAND VARIANCE CHECK</t>
        </is>
      </c>
      <c r="P38" s="18" t="n">
        <v>-165.98</v>
      </c>
    </row>
    <row r="39">
      <c r="L39" s="22" t="inlineStr">
        <is>
          <t>Combined 2 invoice files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60" customWidth="1" min="4" max="4"/>
    <col width="100" customWidth="1" min="5" max="5"/>
  </cols>
  <sheetData>
    <row r="1">
      <c r="A1" s="23" t="inlineStr">
        <is>
          <t>PDF File</t>
        </is>
      </c>
      <c r="B1" s="23" t="inlineStr">
        <is>
          <t>Quality Score</t>
        </is>
      </c>
      <c r="C1" s="23" t="inlineStr">
        <is>
          <t>Rating</t>
        </is>
      </c>
      <c r="D1" s="23" t="inlineStr">
        <is>
          <t>Details</t>
        </is>
      </c>
      <c r="E1" s="23" t="inlineStr">
        <is>
          <t>OCR Text (first 2000 chars)</t>
        </is>
      </c>
    </row>
    <row r="2">
      <c r="A2" s="24" t="inlineStr">
        <is>
          <t>112-1892394-4362604.pdf</t>
        </is>
      </c>
      <c r="B2" s="24" t="inlineStr">
        <is>
          <t>90/100</t>
        </is>
      </c>
      <c r="C2" s="24" t="inlineStr">
        <is>
          <t>GOOD</t>
        </is>
      </c>
      <c r="D2" s="24" t="inlineStr">
        <is>
          <t>Text: 1421 chars; Prices: 7 ($-sign), 3 (decimal); Total: $15.85; Invoice#: 112-1892394-4362604; Real items: 1/1; Structure words: 8/12</t>
        </is>
      </c>
      <c r="E2" s="25" t="inlineStr">
        <is>
          <t>Aug 2, 2024, 9:05 PM
Amazon.com
Amazon.com - Order 112-1892394-4362604
Final Details for Order #112-1892394-4362604
Print this page for your records.
Order Placed: July 31, 2024
Amazon.com order number: 112-1892394-4362604
Order Total: $0.00
Shipped on August 2, 2024
Items Ordered
1 of: Dorman 56768 Driver Side Door Mirror Glass Compatible with Select Mitsubishi Models
Sold by: Amazon.com Services, Inc
Supplied by: Other
Condition: New
Shipping Address:
Desean Emery
10813 NW 30TH ST STE 115 GRE 7265
MIAMI, FL 33172-2191
United States
Shipping Speed:
FREE Prime Delivery
Payment information
Payment Method:
Amazon gift card balance
Item(s) Subtotal: $14.81
Shipping &amp; Handling: $0.00
------
Billing address
Total before tax: $14.81
Desean Emery
Estimated tax to be collected: $1.04
10813 NW 30TH ST STE 115 GRE 7265
Gift Card Amount: -$15.85
MIAMI, FL 33172-2191
------
United States
Grand Total: $0.00
To view the status of your order, return to Order Summary.
Have an issue with your gift card? Read about common issues or contact us.
Conditions of Use | Privacy Notice © 1996-2024, Amazon.com, Inc. or its affiliates
English United States Help
Conditions of Use Privacy Notice Consumer Health Data Privacy Disclosure Your Ads Privacy Choices
© 1996-2024, Amazon.com, Inc. or its affiliates
https://www.amazon.com/gp/css/summary/print.html?orderID=112-1892394-4362604&amp;ref=ppx_yo2ov_dt_b_invoice#
1/1</t>
        </is>
      </c>
    </row>
    <row r="3">
      <c r="A3" s="24" t="inlineStr">
        <is>
          <t>HAWB9671027-Manifest_Invoice.pdf</t>
        </is>
      </c>
      <c r="B3" s="24" t="inlineStr">
        <is>
          <t>90/100</t>
        </is>
      </c>
      <c r="C3" s="24" t="inlineStr">
        <is>
          <t>GOOD</t>
        </is>
      </c>
      <c r="D3" s="24" t="inlineStr">
        <is>
          <t>Text: 1507 chars; Prices: 8 ($-sign), 4 (decimal); Total: $15.85; Invoice#: 112-1892394-4362604; Real items: 1/1; Structure words: 9/12</t>
        </is>
      </c>
      <c r="E3" s="25" t="inlineStr">
        <is>
          <t>( ane 9 : 05 PM Amazon . com - Order 112-1892394-4362604
amazoncom
eee ”
Final Details for Order # 112-1892394-4362604
Print this page for your records .
Order Placed : July 31 , 2024
Amazon . com order number : 112-1892394-4362604
Order Total : $0.00
Shipped on August 2 , 2024
Items Ordered Price
1 of: Dorman 56768 Driver Side Door Mirror Glass Compatible with Select Mitsubishi Models $14.81
Sold by: Amazon . com Services , Inc
Supplied by: Other
Condition : New
Shipping Address :
Desean Emery
10813 NW 30 TH ST STE 115 GRE 7265
MIAMI , FL 33172 - 2191
United States
Shipping Speed :
FREE Prime Delivery
Payment information
Payment Method : Item ( s ) Subtotal : $14.81
Amazon gift card balance Shipping &amp; Handling : $0.00
Billing address Total before tax : $14.81
Desean Emery Estimated tax to be collected : $1.04
10813 NW 30 TH ST STE 115 GRE 7265 Gift Card Amount : - $15.85
MIAMI , FL 33172 - 2191 - - - - -
United States Grand Total : $0.00
To view the status of your order , return to Order Summary .
Have an issue with your gift card ? Read about common issues or contact us .
Conditions of Use | Privacy Notice © 1996 - 2024 , Amazon . com , Inc . or its affiliates
| English | | United States | Hele
Carditions of Use Privacy Notice Consumer Health Data Privacy Disclosure Your Ads Privacy Choices
% 1996 - 2024 , Amiuzan . cain , inc . or ics attitiates
https : / Avww . amazon . com / gp / css / summary / print . html ? orderlD = 112-1892394-4362604 &amp; ref = ppx yo 2 ov dt b invoice # WwW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2026-04-26T18:24:03Z</dcterms:created>
  <dcterms:modified xmlns:dcterms="http://purl.org/dc/terms/" xmlns:xsi="http://www.w3.org/2001/XMLSchema-instance" xsi:type="dcterms:W3CDTF">2026-04-26T18:24:04Z</dcterms:modified>
</cp:coreProperties>
</file>