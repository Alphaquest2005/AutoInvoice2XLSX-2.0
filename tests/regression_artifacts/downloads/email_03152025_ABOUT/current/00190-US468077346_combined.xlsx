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Invoices" sheetId="1" state="visible" r:id="rId1"/>
    <sheet xmlns:r="http://schemas.openxmlformats.org/officeDocument/2006/relationships"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0" fillId="6" borderId="0" pivotButton="0" quotePrefix="0" xfId="0"/>
    <xf numFmtId="0" fontId="0" fillId="2" borderId="0" pivotButton="0" quotePrefix="0" xfId="0"/>
    <xf numFmtId="0" fontId="9" fillId="2" borderId="0" pivotButton="0" quotePrefix="0" xfId="0"/>
    <xf numFmtId="0" fontId="10" fillId="0" borderId="0" pivotButton="0" quotePrefix="0" xfId="0"/>
    <xf numFmtId="166" fontId="0" fillId="0" borderId="0" pivotButton="0" quotePrefix="0" xfId="0"/>
    <xf numFmtId="166" fontId="1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00190-US68077350</t>
        </is>
      </c>
      <c r="D2" s="2" t="inlineStr">
        <is>
          <t>2024-08-18</t>
        </is>
      </c>
      <c r="E2" s="2" t="inlineStr">
        <is>
          <t>Footwear</t>
        </is>
      </c>
      <c r="F2" s="2" t="inlineStr">
        <is>
          <t>64041990</t>
        </is>
      </c>
      <c r="G2" s="2" t="n"/>
      <c r="H2" s="2" t="n"/>
      <c r="I2" s="2" t="inlineStr">
        <is>
          <t>64041990</t>
        </is>
      </c>
      <c r="J2" s="2" t="inlineStr">
        <is>
          <t>Multiflex SL V Little Kids' Sneakers (+3 more) (4 items)</t>
        </is>
      </c>
      <c r="K2" s="2" t="n">
        <v>4</v>
      </c>
      <c r="L2" s="2" t="n"/>
      <c r="M2" s="2" t="n"/>
      <c r="N2" s="2" t="inlineStr">
        <is>
          <t>USD</t>
        </is>
      </c>
      <c r="O2" s="3" t="n">
        <v>30.49</v>
      </c>
      <c r="P2" s="3" t="n">
        <v>121.96</v>
      </c>
      <c r="Q2" s="3">
        <f>O2*K2</f>
        <v/>
      </c>
      <c r="R2" s="3">
        <f>P2-Q2</f>
        <v/>
      </c>
      <c r="S2" s="3" t="n">
        <v>121.96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PUMA</t>
        </is>
      </c>
      <c r="AA2" s="2" t="inlineStr">
        <is>
          <t>PUMA NORTH AMERICA, INC.</t>
        </is>
      </c>
      <c r="AB2" s="2" t="inlineStr">
        <is>
          <t>455 Grand Union Boulevard SOMERVILLE, MA 02145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64041990</t>
        </is>
      </c>
    </row>
    <row r="3">
      <c r="A3" s="4" t="n"/>
      <c r="B3" s="4" t="n"/>
      <c r="C3" s="4" t="n"/>
      <c r="D3" s="4" t="n"/>
      <c r="E3" s="4" t="n"/>
      <c r="F3" s="4" t="inlineStr">
        <is>
          <t>64041990</t>
        </is>
      </c>
      <c r="G3" s="4" t="n"/>
      <c r="H3" s="4" t="n"/>
      <c r="I3" s="4" t="inlineStr">
        <is>
          <t>PUMA-1</t>
        </is>
      </c>
      <c r="J3" s="4" t="inlineStr">
        <is>
          <t>Multiflex SL V Little Kids' Sneakers</t>
        </is>
      </c>
      <c r="K3" s="4" t="n">
        <v>1</v>
      </c>
      <c r="L3" s="4" t="n"/>
      <c r="M3" s="4" t="n"/>
      <c r="N3" s="4" t="inlineStr">
        <is>
          <t>USD</t>
        </is>
      </c>
      <c r="O3" s="5" t="n">
        <v>29.99</v>
      </c>
      <c r="P3" s="5" t="n">
        <v>29.99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64041990</t>
        </is>
      </c>
      <c r="G4" s="4" t="n"/>
      <c r="H4" s="4" t="n"/>
      <c r="I4" s="4" t="inlineStr">
        <is>
          <t>PUMA-2</t>
        </is>
      </c>
      <c r="J4" s="4" t="inlineStr">
        <is>
          <t>Multiflex SL V Little Kids' Sneakers</t>
        </is>
      </c>
      <c r="K4" s="4" t="n">
        <v>1</v>
      </c>
      <c r="L4" s="4" t="n"/>
      <c r="M4" s="4" t="n"/>
      <c r="N4" s="4" t="inlineStr">
        <is>
          <t>USD</t>
        </is>
      </c>
      <c r="O4" s="5" t="n">
        <v>29.99</v>
      </c>
      <c r="P4" s="5" t="n">
        <v>29.99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64041990</t>
        </is>
      </c>
      <c r="G5" s="4" t="n"/>
      <c r="H5" s="4" t="n"/>
      <c r="I5" s="4" t="inlineStr">
        <is>
          <t>PUMA-3</t>
        </is>
      </c>
      <c r="J5" s="4" t="inlineStr">
        <is>
          <t>Turin III Men's Sneakers</t>
        </is>
      </c>
      <c r="K5" s="4" t="n">
        <v>1</v>
      </c>
      <c r="L5" s="4" t="n"/>
      <c r="M5" s="4" t="n"/>
      <c r="N5" s="4" t="inlineStr">
        <is>
          <t>USD</t>
        </is>
      </c>
      <c r="O5" s="5" t="n">
        <v>30.99</v>
      </c>
      <c r="P5" s="5" t="n">
        <v>30.99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inlineStr">
        <is>
          <t>64041990</t>
        </is>
      </c>
      <c r="G6" s="4" t="n"/>
      <c r="H6" s="4" t="n"/>
      <c r="I6" s="4" t="inlineStr">
        <is>
          <t>PUMA-4</t>
        </is>
      </c>
      <c r="J6" s="4" t="inlineStr">
        <is>
          <t>Turin III Men's Sneakers</t>
        </is>
      </c>
      <c r="K6" s="4" t="n">
        <v>1</v>
      </c>
      <c r="L6" s="4" t="n"/>
      <c r="M6" s="4" t="n"/>
      <c r="N6" s="4" t="inlineStr">
        <is>
          <t>USD</t>
        </is>
      </c>
      <c r="O6" s="5" t="n">
        <v>30.99</v>
      </c>
      <c r="P6" s="5" t="n">
        <v>30.99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(GROUPED)</t>
        </is>
      </c>
      <c r="K7" s="6" t="n"/>
      <c r="L7" s="6" t="n"/>
      <c r="M7" s="6" t="n"/>
      <c r="N7" s="6" t="n"/>
      <c r="O7" s="6" t="n"/>
      <c r="P7" s="7">
        <f>P2</f>
        <v/>
      </c>
      <c r="Q7" s="7">
        <f>Q2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(DETAILS)</t>
        </is>
      </c>
      <c r="K8" s="6" t="n"/>
      <c r="L8" s="6" t="n"/>
      <c r="M8" s="6" t="n"/>
      <c r="N8" s="6" t="n"/>
      <c r="O8" s="6" t="n"/>
      <c r="P8" s="7">
        <f>SUM(P2:P6)-P7</f>
        <v/>
      </c>
      <c r="Q8" s="7">
        <f>SUM(Q2:Q6)-Q7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GROUP VERIFICATION</t>
        </is>
      </c>
      <c r="K9" s="8" t="n"/>
      <c r="L9" s="8" t="n"/>
      <c r="M9" s="8" t="n"/>
      <c r="N9" s="8" t="n"/>
      <c r="O9" s="8" t="n"/>
      <c r="P9" s="9">
        <f>P7-P8</f>
        <v/>
      </c>
      <c r="Q9" s="9">
        <f>Q7-Q8</f>
        <v/>
      </c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</row>
    <row r="10"/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INTERNAL FREIGHT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INSURANCE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OTHER COST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DEDUCTION</t>
        </is>
      </c>
      <c r="K14" s="6" t="n"/>
      <c r="L14" s="6" t="n"/>
      <c r="M14" s="6" t="n"/>
      <c r="N14" s="6" t="n"/>
      <c r="O14" s="6" t="n"/>
      <c r="P14" s="7" t="n">
        <v>0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ADJUSTMENTS</t>
        </is>
      </c>
      <c r="K15" s="6" t="n"/>
      <c r="L15" s="6" t="n"/>
      <c r="M15" s="6" t="n"/>
      <c r="N15" s="6" t="n"/>
      <c r="O15" s="6" t="n"/>
      <c r="P15" s="7">
        <f>(T2+U2+V2-W2)</f>
        <v/>
      </c>
      <c r="Q15" s="7">
        <f>(T2+U2+V2-W2)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NET TOTAL</t>
        </is>
      </c>
      <c r="K17" s="6" t="n"/>
      <c r="L17" s="6" t="n"/>
      <c r="M17" s="6" t="n"/>
      <c r="N17" s="6" t="n"/>
      <c r="O17" s="6" t="n"/>
      <c r="P17" s="7">
        <f>P7+P15</f>
        <v/>
      </c>
      <c r="Q17" s="7">
        <f>Q7+Q15</f>
        <v/>
      </c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INVOICE TOTAL</t>
        </is>
      </c>
      <c r="K18" s="6" t="n"/>
      <c r="L18" s="6" t="n"/>
      <c r="M18" s="6" t="n"/>
      <c r="N18" s="6" t="n"/>
      <c r="O18" s="6" t="n"/>
      <c r="P18" s="7">
        <f>S2</f>
        <v/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/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inlineStr">
        <is>
          <t>VARIANCE CHECK</t>
        </is>
      </c>
      <c r="K20" s="10" t="n"/>
      <c r="L20" s="10" t="n"/>
      <c r="M20" s="10" t="n"/>
      <c r="N20" s="10" t="n"/>
      <c r="O20" s="10" t="n"/>
      <c r="P20" s="11">
        <f>S2-P17</f>
        <v/>
      </c>
      <c r="Q20" s="11">
        <f>S2-Q17</f>
        <v/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</row>
    <row r="21"/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3" t="inlineStr">
        <is>
          <t>INVOICE NOTES: Invoice total uncertain</t>
        </is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</row>
    <row r="23"/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inlineStr">
        <is>
          <t>DUTY ESTIMATION (Classification Cross-Check)</t>
        </is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CIF (USD) = InvTotal + Freight + Insurance</t>
        </is>
      </c>
      <c r="K25" s="15" t="n"/>
      <c r="L25" s="15" t="n"/>
      <c r="M25" s="15" t="n"/>
      <c r="N25" s="15" t="n"/>
      <c r="O25" s="15" t="n"/>
      <c r="P25" s="17" t="n">
        <v>121.96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CIF (XCD) = CIF × 2.7169</t>
        </is>
      </c>
      <c r="K26" s="15" t="n"/>
      <c r="L26" s="15" t="n"/>
      <c r="M26" s="15" t="n"/>
      <c r="N26" s="15" t="n"/>
      <c r="O26" s="15" t="n"/>
      <c r="P26" s="17" t="n">
        <v>331.35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CET (20%) — Tariff 64041990</t>
        </is>
      </c>
      <c r="K27" s="15" t="n"/>
      <c r="L27" s="15" t="n"/>
      <c r="M27" s="15" t="n"/>
      <c r="N27" s="15" t="n"/>
      <c r="O27" s="15" t="n"/>
      <c r="P27" s="17" t="n">
        <v>66.27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CSC (6%)</t>
        </is>
      </c>
      <c r="K28" s="15" t="n"/>
      <c r="L28" s="15" t="n"/>
      <c r="M28" s="15" t="n"/>
      <c r="N28" s="15" t="n"/>
      <c r="O28" s="15" t="n"/>
      <c r="P28" s="17" t="n">
        <v>19.88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VAT (15%) on CIF+CET+CSC</t>
        </is>
      </c>
      <c r="K29" s="15" t="n"/>
      <c r="L29" s="15" t="n"/>
      <c r="M29" s="15" t="n"/>
      <c r="N29" s="15" t="n"/>
      <c r="O29" s="15" t="n"/>
      <c r="P29" s="17" t="n">
        <v>62.62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4" t="inlineStr">
        <is>
          <t>ESTIMATED TOTAL DUTIES</t>
        </is>
      </c>
      <c r="K30" s="18" t="n"/>
      <c r="L30" s="18" t="n"/>
      <c r="M30" s="18" t="n"/>
      <c r="N30" s="18" t="n"/>
      <c r="O30" s="18" t="n"/>
      <c r="P30" s="19" t="n">
        <v>148.77</v>
      </c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Effective Duty Rate</t>
        </is>
      </c>
      <c r="K31" s="15" t="n"/>
      <c r="L31" s="15" t="n"/>
      <c r="M31" s="15" t="n"/>
      <c r="N31" s="15" t="n"/>
      <c r="O31" s="15" t="n"/>
      <c r="P31" s="20" t="n">
        <v>0.4489814395654142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" t="inlineStr">
        <is>
          <t>4000-000</t>
        </is>
      </c>
      <c r="B33" s="2" t="n"/>
      <c r="C33" s="2" t="inlineStr">
        <is>
          <t>00190</t>
        </is>
      </c>
      <c r="D33" s="2" t="n"/>
      <c r="E33" s="2" t="inlineStr">
        <is>
          <t>Tennis shoes, basketball shoes, gym shoes, training shoes and the like</t>
        </is>
      </c>
      <c r="F33" s="2" t="inlineStr">
        <is>
          <t>64041120</t>
        </is>
      </c>
      <c r="G33" s="2" t="n"/>
      <c r="H33" s="2" t="n"/>
      <c r="I33" s="2" t="inlineStr">
        <is>
          <t>64041120</t>
        </is>
      </c>
      <c r="J33" s="2" t="inlineStr">
        <is>
          <t>Multiflex SL V Little Kids' Sneakers (+3 more) (4 items)</t>
        </is>
      </c>
      <c r="K33" s="2" t="n">
        <v>4</v>
      </c>
      <c r="L33" s="2" t="n"/>
      <c r="M33" s="2" t="n"/>
      <c r="N33" s="2" t="inlineStr">
        <is>
          <t>USD</t>
        </is>
      </c>
      <c r="O33" s="3" t="n">
        <v>30.49</v>
      </c>
      <c r="P33" s="3" t="n">
        <v>121.96</v>
      </c>
      <c r="Q33" s="3">
        <f>O33*K33</f>
        <v/>
      </c>
      <c r="R33" s="3">
        <f>P33-Q33</f>
        <v/>
      </c>
      <c r="S33" s="3" t="n">
        <v>121.96</v>
      </c>
      <c r="T33" s="3" t="n">
        <v>0</v>
      </c>
      <c r="U33" s="3" t="n">
        <v>0</v>
      </c>
      <c r="V33" s="3" t="n">
        <v>0</v>
      </c>
      <c r="W33" s="3" t="n">
        <v>0</v>
      </c>
      <c r="X33" s="2" t="n"/>
      <c r="Y33" s="2" t="n"/>
      <c r="Z33" s="2" t="inlineStr">
        <is>
          <t>PUMA</t>
        </is>
      </c>
      <c r="AA33" s="2" t="inlineStr">
        <is>
          <t>PUMA NORTH AMERICA, INC.</t>
        </is>
      </c>
      <c r="AB33" s="2" t="inlineStr">
        <is>
          <t>455 Grand Union Boulevard SOMERVILLE, MA 02145</t>
        </is>
      </c>
      <c r="AC33" s="2" t="inlineStr">
        <is>
          <t>US</t>
        </is>
      </c>
      <c r="AD33" s="2" t="n"/>
      <c r="AE33" s="2" t="n"/>
      <c r="AF33" s="2" t="n"/>
      <c r="AG33" s="2" t="n"/>
      <c r="AH33" s="2" t="n"/>
      <c r="AI33" s="2" t="n"/>
      <c r="AJ33" s="2" t="n"/>
      <c r="AK33" s="2" t="inlineStr">
        <is>
          <t>64041120</t>
        </is>
      </c>
    </row>
    <row r="34">
      <c r="A34" s="4" t="n"/>
      <c r="B34" s="4" t="n"/>
      <c r="C34" s="4" t="n"/>
      <c r="D34" s="4" t="n"/>
      <c r="E34" s="4" t="n"/>
      <c r="F34" s="4" t="inlineStr">
        <is>
          <t>64041120</t>
        </is>
      </c>
      <c r="G34" s="4" t="n"/>
      <c r="H34" s="4" t="n"/>
      <c r="I34" s="4" t="inlineStr">
        <is>
          <t>PUMA-1</t>
        </is>
      </c>
      <c r="J34" s="4" t="inlineStr">
        <is>
          <t>Multiflex SL V Little Kids' Sneakers</t>
        </is>
      </c>
      <c r="K34" s="4" t="n">
        <v>1</v>
      </c>
      <c r="L34" s="4" t="n"/>
      <c r="M34" s="4" t="n"/>
      <c r="N34" s="4" t="inlineStr">
        <is>
          <t>USD</t>
        </is>
      </c>
      <c r="O34" s="5" t="n">
        <v>29.99</v>
      </c>
      <c r="P34" s="5" t="n">
        <v>29.99</v>
      </c>
      <c r="Q34" s="5">
        <f>O34*K34</f>
        <v/>
      </c>
      <c r="R34" s="5">
        <f>P34-Q34</f>
        <v/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</row>
    <row r="35">
      <c r="A35" s="4" t="n"/>
      <c r="B35" s="4" t="n"/>
      <c r="C35" s="4" t="n"/>
      <c r="D35" s="4" t="n"/>
      <c r="E35" s="4" t="n"/>
      <c r="F35" s="4" t="inlineStr">
        <is>
          <t>64041120</t>
        </is>
      </c>
      <c r="G35" s="4" t="n"/>
      <c r="H35" s="4" t="n"/>
      <c r="I35" s="4" t="inlineStr">
        <is>
          <t>PUMA-2</t>
        </is>
      </c>
      <c r="J35" s="4" t="inlineStr">
        <is>
          <t>Multiflex SL V Little Kids' Sneakers</t>
        </is>
      </c>
      <c r="K35" s="4" t="n">
        <v>1</v>
      </c>
      <c r="L35" s="4" t="n"/>
      <c r="M35" s="4" t="n"/>
      <c r="N35" s="4" t="inlineStr">
        <is>
          <t>USD</t>
        </is>
      </c>
      <c r="O35" s="5" t="n">
        <v>29.99</v>
      </c>
      <c r="P35" s="5" t="n">
        <v>29.99</v>
      </c>
      <c r="Q35" s="5">
        <f>O35*K35</f>
        <v/>
      </c>
      <c r="R35" s="5">
        <f>P35-Q35</f>
        <v/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s="4" t="n"/>
      <c r="B36" s="4" t="n"/>
      <c r="C36" s="4" t="n"/>
      <c r="D36" s="4" t="n"/>
      <c r="E36" s="4" t="n"/>
      <c r="F36" s="4" t="inlineStr">
        <is>
          <t>64041120</t>
        </is>
      </c>
      <c r="G36" s="4" t="n"/>
      <c r="H36" s="4" t="n"/>
      <c r="I36" s="4" t="inlineStr">
        <is>
          <t>PUMA-3</t>
        </is>
      </c>
      <c r="J36" s="4" t="inlineStr">
        <is>
          <t>Turin III Men's Sneakers</t>
        </is>
      </c>
      <c r="K36" s="4" t="n">
        <v>1</v>
      </c>
      <c r="L36" s="4" t="n"/>
      <c r="M36" s="4" t="n"/>
      <c r="N36" s="4" t="inlineStr">
        <is>
          <t>USD</t>
        </is>
      </c>
      <c r="O36" s="5" t="n">
        <v>30.99</v>
      </c>
      <c r="P36" s="5" t="n">
        <v>30.99</v>
      </c>
      <c r="Q36" s="5">
        <f>O36*K36</f>
        <v/>
      </c>
      <c r="R36" s="5">
        <f>P36-Q36</f>
        <v/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>
      <c r="A37" s="4" t="n"/>
      <c r="B37" s="4" t="n"/>
      <c r="C37" s="4" t="n"/>
      <c r="D37" s="4" t="n"/>
      <c r="E37" s="4" t="n"/>
      <c r="F37" s="4" t="inlineStr">
        <is>
          <t>64041120</t>
        </is>
      </c>
      <c r="G37" s="4" t="n"/>
      <c r="H37" s="4" t="n"/>
      <c r="I37" s="4" t="inlineStr">
        <is>
          <t>PUMA-4</t>
        </is>
      </c>
      <c r="J37" s="4" t="inlineStr">
        <is>
          <t>Turin III Men's Sneakers</t>
        </is>
      </c>
      <c r="K37" s="4" t="n">
        <v>1</v>
      </c>
      <c r="L37" s="4" t="n"/>
      <c r="M37" s="4" t="n"/>
      <c r="N37" s="4" t="inlineStr">
        <is>
          <t>USD</t>
        </is>
      </c>
      <c r="O37" s="5" t="n">
        <v>30.99</v>
      </c>
      <c r="P37" s="5" t="n">
        <v>30.99</v>
      </c>
      <c r="Q37" s="5">
        <f>O37*K37</f>
        <v/>
      </c>
      <c r="R37" s="5">
        <f>P37-Q37</f>
        <v/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inlineStr">
        <is>
          <t>SUBTOTAL (GROUPED)</t>
        </is>
      </c>
      <c r="K38" s="6" t="n"/>
      <c r="L38" s="6" t="n"/>
      <c r="M38" s="6" t="n"/>
      <c r="N38" s="6" t="n"/>
      <c r="O38" s="6" t="n"/>
      <c r="P38" s="7">
        <f>P33</f>
        <v/>
      </c>
      <c r="Q38" s="7">
        <f>Q33</f>
        <v/>
      </c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inlineStr">
        <is>
          <t>SUBTOTAL (DETAILS)</t>
        </is>
      </c>
      <c r="K39" s="6" t="n"/>
      <c r="L39" s="6" t="n"/>
      <c r="M39" s="6" t="n"/>
      <c r="N39" s="6" t="n"/>
      <c r="O39" s="6" t="n"/>
      <c r="P39" s="7">
        <f>SUM(P33:P37)-P38</f>
        <v/>
      </c>
      <c r="Q39" s="7">
        <f>SUM(Q33:Q37)-Q38</f>
        <v/>
      </c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inlineStr">
        <is>
          <t>GROUP VERIFICATION</t>
        </is>
      </c>
      <c r="K40" s="8" t="n"/>
      <c r="L40" s="8" t="n"/>
      <c r="M40" s="8" t="n"/>
      <c r="N40" s="8" t="n"/>
      <c r="O40" s="8" t="n"/>
      <c r="P40" s="9">
        <f>P38-P39</f>
        <v/>
      </c>
      <c r="Q40" s="9">
        <f>Q38-Q39</f>
        <v/>
      </c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</row>
    <row r="41"/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inlineStr">
        <is>
          <t>TOTAL INTERNAL FREIGHT</t>
        </is>
      </c>
      <c r="K42" s="6" t="n"/>
      <c r="L42" s="6" t="n"/>
      <c r="M42" s="6" t="n"/>
      <c r="N42" s="6" t="n"/>
      <c r="O42" s="6" t="n"/>
      <c r="P42" s="7" t="n">
        <v>0</v>
      </c>
      <c r="Q42" s="7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inlineStr">
        <is>
          <t>TOTAL INSURANCE</t>
        </is>
      </c>
      <c r="K43" s="6" t="n"/>
      <c r="L43" s="6" t="n"/>
      <c r="M43" s="6" t="n"/>
      <c r="N43" s="6" t="n"/>
      <c r="O43" s="6" t="n"/>
      <c r="P43" s="7" t="n">
        <v>0</v>
      </c>
      <c r="Q43" s="7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inlineStr">
        <is>
          <t>TOTAL OTHER COST</t>
        </is>
      </c>
      <c r="K44" s="6" t="n"/>
      <c r="L44" s="6" t="n"/>
      <c r="M44" s="6" t="n"/>
      <c r="N44" s="6" t="n"/>
      <c r="O44" s="6" t="n"/>
      <c r="P44" s="7" t="n">
        <v>0</v>
      </c>
      <c r="Q44" s="7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inlineStr">
        <is>
          <t>TOTAL DEDUCTION</t>
        </is>
      </c>
      <c r="K45" s="6" t="n"/>
      <c r="L45" s="6" t="n"/>
      <c r="M45" s="6" t="n"/>
      <c r="N45" s="6" t="n"/>
      <c r="O45" s="6" t="n"/>
      <c r="P45" s="7" t="n">
        <v>0</v>
      </c>
      <c r="Q45" s="7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inlineStr">
        <is>
          <t>ADJUSTMENTS</t>
        </is>
      </c>
      <c r="K46" s="6" t="n"/>
      <c r="L46" s="6" t="n"/>
      <c r="M46" s="6" t="n"/>
      <c r="N46" s="6" t="n"/>
      <c r="O46" s="6" t="n"/>
      <c r="P46" s="7">
        <f>(T33+U33+V33-W33)</f>
        <v/>
      </c>
      <c r="Q46" s="7">
        <f>(T33+U33+V33-W33)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/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inlineStr">
        <is>
          <t>NET TOTAL</t>
        </is>
      </c>
      <c r="K48" s="6" t="n"/>
      <c r="L48" s="6" t="n"/>
      <c r="M48" s="6" t="n"/>
      <c r="N48" s="6" t="n"/>
      <c r="O48" s="6" t="n"/>
      <c r="P48" s="7">
        <f>P38+P46</f>
        <v/>
      </c>
      <c r="Q48" s="7">
        <f>Q38+Q46</f>
        <v/>
      </c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inlineStr">
        <is>
          <t>INVOICE TOTAL</t>
        </is>
      </c>
      <c r="K49" s="6" t="n"/>
      <c r="L49" s="6" t="n"/>
      <c r="M49" s="6" t="n"/>
      <c r="N49" s="6" t="n"/>
      <c r="O49" s="6" t="n"/>
      <c r="P49" s="7">
        <f>S33</f>
        <v/>
      </c>
      <c r="Q49" s="7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/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inlineStr">
        <is>
          <t>VARIANCE CHECK</t>
        </is>
      </c>
      <c r="K51" s="10" t="n"/>
      <c r="L51" s="10" t="n"/>
      <c r="M51" s="10" t="n"/>
      <c r="N51" s="10" t="n"/>
      <c r="O51" s="10" t="n"/>
      <c r="P51" s="11">
        <f>S33-P48</f>
        <v/>
      </c>
      <c r="Q51" s="11">
        <f>S33-Q48</f>
        <v/>
      </c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</row>
    <row r="52"/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3" t="inlineStr">
        <is>
          <t>INVOICE NOTES: Invoice total uncertain</t>
        </is>
      </c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</row>
    <row r="54"/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inlineStr">
        <is>
          <t>DUTY ESTIMATION (Classification Cross-Check)</t>
        </is>
      </c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14" t="n"/>
      <c r="AK55" s="14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inlineStr">
        <is>
          <t>CIF (USD) = InvTotal + Freight + Insurance</t>
        </is>
      </c>
      <c r="K56" s="15" t="n"/>
      <c r="L56" s="15" t="n"/>
      <c r="M56" s="15" t="n"/>
      <c r="N56" s="15" t="n"/>
      <c r="O56" s="15" t="n"/>
      <c r="P56" s="17" t="n">
        <v>121.96</v>
      </c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6" t="inlineStr">
        <is>
          <t>CIF (XCD) = CIF × 2.7169</t>
        </is>
      </c>
      <c r="K57" s="15" t="n"/>
      <c r="L57" s="15" t="n"/>
      <c r="M57" s="15" t="n"/>
      <c r="N57" s="15" t="n"/>
      <c r="O57" s="15" t="n"/>
      <c r="P57" s="17" t="n">
        <v>331.35</v>
      </c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6" t="inlineStr">
        <is>
          <t>CET (20%) — Tariff 64041120</t>
        </is>
      </c>
      <c r="K58" s="15" t="n"/>
      <c r="L58" s="15" t="n"/>
      <c r="M58" s="15" t="n"/>
      <c r="N58" s="15" t="n"/>
      <c r="O58" s="15" t="n"/>
      <c r="P58" s="17" t="n">
        <v>66.27</v>
      </c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6" t="inlineStr">
        <is>
          <t>CSC (6%)</t>
        </is>
      </c>
      <c r="K59" s="15" t="n"/>
      <c r="L59" s="15" t="n"/>
      <c r="M59" s="15" t="n"/>
      <c r="N59" s="15" t="n"/>
      <c r="O59" s="15" t="n"/>
      <c r="P59" s="17" t="n">
        <v>19.88</v>
      </c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6" t="inlineStr">
        <is>
          <t>VAT (15%) on CIF+CET+CSC</t>
        </is>
      </c>
      <c r="K60" s="15" t="n"/>
      <c r="L60" s="15" t="n"/>
      <c r="M60" s="15" t="n"/>
      <c r="N60" s="15" t="n"/>
      <c r="O60" s="15" t="n"/>
      <c r="P60" s="17" t="n">
        <v>62.62</v>
      </c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4" t="inlineStr">
        <is>
          <t>ESTIMATED TOTAL DUTIES</t>
        </is>
      </c>
      <c r="K61" s="18" t="n"/>
      <c r="L61" s="18" t="n"/>
      <c r="M61" s="18" t="n"/>
      <c r="N61" s="18" t="n"/>
      <c r="O61" s="18" t="n"/>
      <c r="P61" s="19" t="n">
        <v>148.77</v>
      </c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6" t="inlineStr">
        <is>
          <t>Effective Duty Rate</t>
        </is>
      </c>
      <c r="K62" s="15" t="n"/>
      <c r="L62" s="15" t="n"/>
      <c r="M62" s="15" t="n"/>
      <c r="N62" s="15" t="n"/>
      <c r="O62" s="15" t="n"/>
      <c r="P62" s="20" t="n">
        <v>0.4489814395654142</v>
      </c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</row>
    <row r="63"/>
    <row r="64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</row>
    <row r="65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3" t="inlineStr">
        <is>
          <t>═══ COMBINED GRAND SUMMARY ═══</t>
        </is>
      </c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</row>
    <row r="66">
      <c r="L66" s="24" t="inlineStr">
        <is>
          <t>Invoice 00190-US68077350</t>
        </is>
      </c>
      <c r="P66" s="25" t="n">
        <v>873.26</v>
      </c>
      <c r="Q66" s="26" t="n">
        <v>-751.3</v>
      </c>
    </row>
    <row r="67">
      <c r="L67" s="24" t="inlineStr">
        <is>
          <t>Invoice 00190</t>
        </is>
      </c>
      <c r="P67" s="25" t="n">
        <v>873.26</v>
      </c>
      <c r="Q67" s="26" t="n">
        <v>-751.3</v>
      </c>
    </row>
    <row r="68"/>
    <row r="69">
      <c r="L69" s="27" t="inlineStr">
        <is>
          <t>GRAND TOTAL</t>
        </is>
      </c>
      <c r="P69" s="28" t="n">
        <v>1746.52</v>
      </c>
    </row>
    <row r="70">
      <c r="L70" s="29" t="inlineStr">
        <is>
          <t>GRAND VARIANCE CHECK</t>
        </is>
      </c>
      <c r="P70" s="26" t="n">
        <v>-1502.6</v>
      </c>
    </row>
    <row r="71">
      <c r="L71" s="30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31" t="inlineStr">
        <is>
          <t>PDF File</t>
        </is>
      </c>
      <c r="B1" s="31" t="inlineStr">
        <is>
          <t>Quality Score</t>
        </is>
      </c>
      <c r="C1" s="31" t="inlineStr">
        <is>
          <t>Rating</t>
        </is>
      </c>
      <c r="D1" s="31" t="inlineStr">
        <is>
          <t>Details</t>
        </is>
      </c>
      <c r="E1" s="31" t="inlineStr">
        <is>
          <t>OCR Text (first 2000 chars)</t>
        </is>
      </c>
    </row>
    <row r="2">
      <c r="A2" s="32" t="inlineStr">
        <is>
          <t>00190.pdf</t>
        </is>
      </c>
      <c r="B2" s="32" t="inlineStr">
        <is>
          <t>80/100</t>
        </is>
      </c>
      <c r="C2" s="32" t="inlineStr">
        <is>
          <t>GOOD</t>
        </is>
      </c>
      <c r="D2" s="32" t="inlineStr">
        <is>
          <t>Text: 1679 chars; Prices: 7 ($-sign), 9 (decimal); Total: MISSING; Invoice#: 00190-US68077350; Real items: 4/4; Structure words: 7/12</t>
        </is>
      </c>
      <c r="E2" s="33" t="inlineStr">
        <is>
          <t>FREE AND EASY RETURNS  SEE DETAILS
Home  &lt; My Account  Order Details
Order details
My account
LOGOUT
Order Number 00190-US68077350
Date ordered: 8/18/2024
Order status: SHIPPED
Tracking: Click Here
ORDERED ITEMS
Multiflex SL V Little Kids' Sneakers
Quantity: 1
NO LONGER AVAILABLE
$29.99
8292 ⓔ
8293 ①
Feedback
Multiflex SL V Little Kids' Sneakers
Color: Puma White-Puma White
Size: 1
Style Number: 380740_06
Quantity: 1
$29.99
IN STOCK
Multiflex SL V Little Kids' Sneakers
Color: Puma White-Puma White
Size: 1.5
Style Number: 380740_06
Quantity: 1
$29.99
IN STOCK
Turin III Men's Sneakers
Color: Puma Black-Puma Black
Size: 13
Style Number: 383037_01
Quantity: 1
$30.99
IN STOCK
Turin III Men's Sneakers
Color: Puma White-Puma White
Size: 12
Style Number: 383037_02
Quantity: 1
$30.99
IN STOCK
Feedback
SHIPPING &amp; BILLING
Shipping Address:
Dawseanne Williams
10813 Northwest 30th Street
STE 115 Gre7454
Doral
FL 33172
US
Shipment Method:
Expedited - $20.00 .
Billing Address:
Dawseanne Williams
10813 Northwest 30th Street
STE 115 Gre7454
Doral
FL 33172
US
Contact Info:
Email: dawsiswilliams@yahoo.com
Phone: 4734586918
Billing Method
Visa ************4954
Number Of Products 5
Total Amount $135.21 
89 97
61.98
151.95
BACK TO ORDER HISTORY
Feedback
Shipping and Delivery
Terms &amp; Conditions
Do Not Sell or Share My Information
Store Locator
Buy a Gift Card
Service Discounts
Promotion Exclusions
Cookie Settings
SUPPORT
ABOUT
Company
Corporate News
Press Center
#REFORM
Investors
Sustainability
Careers
ABOUT
STAY UP TO DATE
Sign Up for Email
STAY UP TO DATE
EXPLORE
EXPLORE
Feedback
© PUMA NORTH AMERICA, INC.
IMPRINT AND LEGAL DATA
WEB ID: 987 105 384</t>
        </is>
      </c>
    </row>
    <row r="3">
      <c r="A3" s="32" t="inlineStr">
        <is>
          <t>00190-US468077346_Invoice.pdf</t>
        </is>
      </c>
      <c r="B3" s="32" t="inlineStr">
        <is>
          <t>80/100</t>
        </is>
      </c>
      <c r="C3" s="32" t="inlineStr">
        <is>
          <t>GOOD</t>
        </is>
      </c>
      <c r="D3" s="32" t="inlineStr">
        <is>
          <t>Text: 2211 chars; Prices: 6 ($-sign), 9 (decimal); Total: MISSING; Invoice#: 00190; Real items: 4/4; Structure words: 7/12</t>
        </is>
      </c>
      <c r="E3" s="33" t="inlineStr">
        <is>
          <t xml:space="preserve">Shipping and Detvery a . ; am
Terms &amp; Candi on: a Py
Do Not Selior :na st Say dere ves ee Te OR ROR ST IRE:
Store Locator ho SL aca 2 Siore
Buy a Gift Care Bobo os tars
Service Discourn: Bs
' Promotion Excty.: ors Cole ee
Cookie Settings
SUPPOR?
ABOUT
Company
Corporate New:
Press Center
#REFORM
Investors .
Sustainability
Careers
ABOUT
STAY UP FG oo” =
Sign Up for Emm:
STAY UP YO fos
EXPLORE
a |
}
EXPLORE
- — oe ee ee ee ee oe ree re coe ee PLE as .
Fea rrenn Be [w)
orca =]
oem ene omnes ~ AOL = Rr Rk A oe oe ee ee ee ee eee ee ne ne a ne ee ee tee ~ ee ee men eet ee aie pn at SR i ee agenda g
LL
\ {i © PUMA NORTH AMERICA, INC.
Ne, IMPRINT AND LEGAL DATA
WEB ID: 987 105 384
Shipping and Qehvery
Terms &amp; Condit: oo:
Store Locator
Promotion Excivs 2:2
STAY UP Td 227%
EXPLORI:
Do Not Sell or Share My Information
Promotion Exclusions
Privacy Policy
Returns Policy
Puma Supply Company Chain
Puma NYC Flagship Store
Butterfly Store
Nordstrom
Feedback
SHIPPING &amp; BILLING
Shipping Address:
Dawseanne Williams
10813 Northwest 30th Street
STE 115 Gre7454
Doral
FL 33172
US
Shipment Method:
Expedited - $20.00 .
Billing Address:
Dawseanne Williams
10813 Northwest 30th Street
STE 115 Gre7454
Doral
FL 33172
US
Contact Info:
Email: dawsiswilliams@yahoo.com
Phone: 4734586918
Billing Method
Visa ************4954
Number Of Products 5
Total Amount $135.21 
BACK TO ORDER HISTORY
Feedback
89.97
61.98
151.95
Multiflex SL V Little Kids' Sneakers
Color: Puma White-Puma White
Size: 1
Style Number: 380740_06
Quantity: 1
$29.99
IN STOCK
Multiflex SL V Little Kids' Sneakers
Color: Puma White-Puma White
Size: 1.5
Style Number: 380740_06
Quantity: 1
$29.99
IN STOCK
Turin III Men's Sneakers
Color: Puma Black-Puma Black
Size: 13
Style Number: 383037_01
Quantity: 1
$30.99
IN STOCK
Turin III Men's Sneakers
Color: Puma White-Puma White
Size: 12
Style Number: 383037_02
Quantity: 1
$30.99
IN STOCK
Feedback
FREE ANDEASY EASY RETURNS SEE RETAILS
Home &lt; MyAccount Account Order Details
Order details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2026-04-26T18:25:47Z</dcterms:created>
  <dcterms:modified xmlns:dcterms="http://purl.org/dc/terms/" xmlns:xsi="http://www.w3.org/2001/XMLSchema-instance" xsi:type="dcterms:W3CDTF">2026-04-26T18:25:48Z</dcterms:modified>
</cp:coreProperties>
</file>