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00190-US68077350</t>
        </is>
      </c>
      <c r="D2" s="2" t="inlineStr">
        <is>
          <t>2024-08-18</t>
        </is>
      </c>
      <c r="E2" s="2" t="inlineStr">
        <is>
          <t>Footwear</t>
        </is>
      </c>
      <c r="F2" s="2" t="inlineStr">
        <is>
          <t>64041990</t>
        </is>
      </c>
      <c r="G2" s="2" t="inlineStr"/>
      <c r="H2" s="2" t="inlineStr"/>
      <c r="I2" s="2" t="inlineStr">
        <is>
          <t>64041990</t>
        </is>
      </c>
      <c r="J2" s="2" t="inlineStr">
        <is>
          <t>Multiflex SL V Little Kids' Sneakers (+2 more) (3 items)</t>
        </is>
      </c>
      <c r="K2" s="2" t="n">
        <v>3</v>
      </c>
      <c r="L2" s="2" t="n"/>
      <c r="M2" s="2" t="inlineStr"/>
      <c r="N2" s="2" t="inlineStr">
        <is>
          <t>USD</t>
        </is>
      </c>
      <c r="O2" s="3" t="n">
        <v>30.65666666666667</v>
      </c>
      <c r="P2" s="3" t="n">
        <v>91.97</v>
      </c>
      <c r="Q2" s="3">
        <f>O2*K2</f>
        <v/>
      </c>
      <c r="R2" s="3">
        <f>P2-Q2</f>
        <v/>
      </c>
      <c r="S2" s="3" t="n">
        <v>110.97</v>
      </c>
      <c r="T2" s="3" t="n">
        <v>19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PUMA</t>
        </is>
      </c>
      <c r="AA2" s="2" t="inlineStr">
        <is>
          <t>PUMA NORTH AMERICA, INC.</t>
        </is>
      </c>
      <c r="AB2" s="2" t="inlineStr">
        <is>
          <t>455 Grand Union Boulevard SOMERVILLE, MA 02145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64041990</t>
        </is>
      </c>
    </row>
    <row r="3">
      <c r="A3" s="4" t="n"/>
      <c r="B3" s="4" t="n"/>
      <c r="C3" s="4" t="n"/>
      <c r="D3" s="4" t="n"/>
      <c r="E3" s="4" t="n"/>
      <c r="F3" s="4" t="inlineStr">
        <is>
          <t>64041990</t>
        </is>
      </c>
      <c r="G3" s="4" t="n"/>
      <c r="H3" s="4" t="n"/>
      <c r="I3" s="4" t="inlineStr">
        <is>
          <t>PUMA-1</t>
        </is>
      </c>
      <c r="J3" s="4" t="inlineStr">
        <is>
          <t>Multiflex SL V Little Kids' Sneakers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29.99</v>
      </c>
      <c r="P3" s="5" t="n">
        <v>29.99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64041990</t>
        </is>
      </c>
      <c r="G4" s="4" t="n"/>
      <c r="H4" s="4" t="n"/>
      <c r="I4" s="4" t="inlineStr">
        <is>
          <t>PUMA-3</t>
        </is>
      </c>
      <c r="J4" s="4" t="inlineStr">
        <is>
          <t>Turin III Men's Sneakers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30.99</v>
      </c>
      <c r="P4" s="5" t="n">
        <v>30.99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64041990</t>
        </is>
      </c>
      <c r="G5" s="4" t="n"/>
      <c r="H5" s="4" t="n"/>
      <c r="I5" s="4" t="inlineStr">
        <is>
          <t>PUMA-4</t>
        </is>
      </c>
      <c r="J5" s="4" t="inlineStr">
        <is>
          <t>Turin III Men's Sneakers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30.99</v>
      </c>
      <c r="P5" s="5" t="n">
        <v>30.99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</f>
        <v/>
      </c>
      <c r="Q6" s="7">
        <f>Q2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19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 t="inlineStr">
        <is>
          <t>INVOICE NOTES: Invoice total uncertain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/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inlineStr">
        <is>
          <t>DUTY ESTIMATION (Classification Cross-Check)</t>
        </is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CIF (USD) = InvTotal + Freight + Insurance</t>
        </is>
      </c>
      <c r="K24" s="15" t="n"/>
      <c r="L24" s="15" t="n"/>
      <c r="M24" s="15" t="n"/>
      <c r="N24" s="15" t="n"/>
      <c r="O24" s="15" t="n"/>
      <c r="P24" s="17" t="n">
        <v>129.97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CIF (XCD) = CIF × 2.7169</t>
        </is>
      </c>
      <c r="K25" s="15" t="n"/>
      <c r="L25" s="15" t="n"/>
      <c r="M25" s="15" t="n"/>
      <c r="N25" s="15" t="n"/>
      <c r="O25" s="15" t="n"/>
      <c r="P25" s="17" t="n">
        <v>353.12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CET (20%) — Tariff 64041990</t>
        </is>
      </c>
      <c r="K26" s="15" t="n"/>
      <c r="L26" s="15" t="n"/>
      <c r="M26" s="15" t="n"/>
      <c r="N26" s="15" t="n"/>
      <c r="O26" s="15" t="n"/>
      <c r="P26" s="17" t="n">
        <v>70.62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CSC (6%)</t>
        </is>
      </c>
      <c r="K27" s="15" t="n"/>
      <c r="L27" s="15" t="n"/>
      <c r="M27" s="15" t="n"/>
      <c r="N27" s="15" t="n"/>
      <c r="O27" s="15" t="n"/>
      <c r="P27" s="17" t="n">
        <v>21.19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VAT (15%) on CIF+CET+CSC</t>
        </is>
      </c>
      <c r="K28" s="15" t="n"/>
      <c r="L28" s="15" t="n"/>
      <c r="M28" s="15" t="n"/>
      <c r="N28" s="15" t="n"/>
      <c r="O28" s="15" t="n"/>
      <c r="P28" s="17" t="n">
        <v>66.73999999999999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4" t="inlineStr">
        <is>
          <t>ESTIMATED TOTAL DUTIES</t>
        </is>
      </c>
      <c r="K29" s="18" t="n"/>
      <c r="L29" s="18" t="n"/>
      <c r="M29" s="18" t="n"/>
      <c r="N29" s="18" t="n"/>
      <c r="O29" s="18" t="n"/>
      <c r="P29" s="19" t="n">
        <v>158.55</v>
      </c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Effective Duty Rate</t>
        </is>
      </c>
      <c r="K30" s="15" t="n"/>
      <c r="L30" s="15" t="n"/>
      <c r="M30" s="15" t="n"/>
      <c r="N30" s="15" t="n"/>
      <c r="O30" s="15" t="n"/>
      <c r="P30" s="20" t="n">
        <v>0.4489975079293159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CLIENT DECLARED DUTIES</t>
        </is>
      </c>
      <c r="K31" s="15" t="n"/>
      <c r="L31" s="15" t="n"/>
      <c r="M31" s="15" t="n"/>
      <c r="N31" s="15" t="n"/>
      <c r="O31" s="15" t="n"/>
      <c r="P31" s="17" t="n">
        <v>116.11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21" t="inlineStr">
        <is>
          <t>DUTY VARIANCE (Client − Estimated)</t>
        </is>
      </c>
      <c r="K32" s="15" t="n"/>
      <c r="L32" s="15" t="n"/>
      <c r="M32" s="15" t="n"/>
      <c r="N32" s="15" t="n"/>
      <c r="O32" s="15" t="n"/>
      <c r="P32" s="22" t="n">
        <v>-42.44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IMPLIED CET RATE (from client value)</t>
        </is>
      </c>
      <c r="K33" s="15" t="n"/>
      <c r="L33" s="15" t="n"/>
      <c r="M33" s="15" t="n"/>
      <c r="N33" s="15" t="n"/>
      <c r="O33" s="15" t="n"/>
      <c r="P33" s="20" t="n">
        <v>0.0954884655542641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21" t="inlineStr">
        <is>
          <t>⚠ CET MISMATCH: System=20% vs Client≈10% — review classification</t>
        </is>
      </c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>IMPLIED CIF (from declared duty @ 20% CET, XCD)</t>
        </is>
      </c>
      <c r="K35" s="15" t="n"/>
      <c r="L35" s="15" t="n"/>
      <c r="M35" s="15" t="n"/>
      <c r="N35" s="15" t="n"/>
      <c r="O35" s="15" t="n"/>
      <c r="P35" s="17" t="n">
        <v>258.6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>IMPLIED ITEMS VALUE (USD, net of freight/insurance)</t>
        </is>
      </c>
      <c r="K36" s="15" t="n"/>
      <c r="L36" s="15" t="n"/>
      <c r="M36" s="15" t="n"/>
      <c r="N36" s="15" t="n"/>
      <c r="O36" s="15" t="n"/>
      <c r="P36" s="17" t="n">
        <v>76.18000000000001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/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inlineStr">
        <is>
          <t>Items on other declaration(s) (1 items)</t>
        </is>
      </c>
      <c r="K38" s="23" t="n"/>
      <c r="L38" s="23" t="n"/>
      <c r="M38" s="23" t="n"/>
      <c r="N38" s="23" t="n"/>
      <c r="O38" s="23" t="n"/>
      <c r="P38" s="24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3" t="n"/>
      <c r="B39" s="23" t="n"/>
      <c r="C39" s="23" t="n"/>
      <c r="D39" s="23" t="n"/>
      <c r="E39" s="23" t="inlineStr">
        <is>
          <t>Footwear</t>
        </is>
      </c>
      <c r="F39" s="23" t="inlineStr">
        <is>
          <t>64041990</t>
        </is>
      </c>
      <c r="G39" s="23" t="n"/>
      <c r="H39" s="23" t="n"/>
      <c r="I39" s="23" t="n"/>
      <c r="J39" s="23" t="inlineStr">
        <is>
          <t>Multiflex SL V Little Kids' Sneakers (1 items)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29.99</v>
      </c>
      <c r="P39" s="24" t="n">
        <v>29.99</v>
      </c>
      <c r="Q39" s="24" t="n"/>
      <c r="R39" s="24" t="n"/>
      <c r="S39" s="24" t="n"/>
      <c r="T39" s="24" t="n"/>
      <c r="U39" s="24" t="n"/>
      <c r="V39" s="24" t="n"/>
      <c r="W39" s="24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inlineStr">
        <is>
          <t>PUMA-2</t>
        </is>
      </c>
      <c r="J40" s="25" t="inlineStr">
        <is>
          <t>Multiflex SL V Little Kids' Sneakers</t>
        </is>
      </c>
      <c r="K40" s="25" t="n">
        <v>1</v>
      </c>
      <c r="L40" s="25" t="n"/>
      <c r="M40" s="25" t="n"/>
      <c r="N40" s="25" t="inlineStr">
        <is>
          <t>USD</t>
        </is>
      </c>
      <c r="O40" s="26" t="n">
        <v>29.99</v>
      </c>
      <c r="P40" s="26" t="n">
        <v>29.99</v>
      </c>
      <c r="Q40" s="26" t="n"/>
      <c r="R40" s="26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inlineStr">
        <is>
          <t>REFERENCE SUBTOTAL</t>
        </is>
      </c>
      <c r="K41" s="27" t="n"/>
      <c r="L41" s="27" t="n"/>
      <c r="M41" s="27" t="n"/>
      <c r="N41" s="27" t="n"/>
      <c r="O41" s="27" t="n"/>
      <c r="P41" s="28" t="n">
        <v>29.99</v>
      </c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inlineStr">
        <is>
          <t>REFERENCE FREIGHT</t>
        </is>
      </c>
      <c r="K42" s="27" t="n"/>
      <c r="L42" s="27" t="n"/>
      <c r="M42" s="27" t="n"/>
      <c r="N42" s="27" t="n"/>
      <c r="O42" s="27" t="n"/>
      <c r="P42" s="28" t="n">
        <v>5</v>
      </c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inlineStr">
        <is>
          <t>REFERENCE INSURANCE</t>
        </is>
      </c>
      <c r="K43" s="27" t="n"/>
      <c r="L43" s="27" t="n"/>
      <c r="M43" s="27" t="n"/>
      <c r="N43" s="27" t="n"/>
      <c r="O43" s="27" t="n"/>
      <c r="P43" s="28" t="n">
        <v>0</v>
      </c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inlineStr">
        <is>
          <t>REFERENCE OTHER COST</t>
        </is>
      </c>
      <c r="K44" s="27" t="n"/>
      <c r="L44" s="27" t="n"/>
      <c r="M44" s="27" t="n"/>
      <c r="N44" s="27" t="n"/>
      <c r="O44" s="27" t="n"/>
      <c r="P44" s="28" t="n">
        <v>0</v>
      </c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inlineStr">
        <is>
          <t>REFERENCE DEDUCTION</t>
        </is>
      </c>
      <c r="K45" s="27" t="n"/>
      <c r="L45" s="27" t="n"/>
      <c r="M45" s="27" t="n"/>
      <c r="N45" s="27" t="n"/>
      <c r="O45" s="27" t="n"/>
      <c r="P45" s="28" t="n">
        <v>0</v>
      </c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inlineStr">
        <is>
          <t>REFERENCE ADJUSTMENTS</t>
        </is>
      </c>
      <c r="K46" s="27" t="n"/>
      <c r="L46" s="27" t="n"/>
      <c r="M46" s="27" t="n"/>
      <c r="N46" s="27" t="n"/>
      <c r="O46" s="27" t="n"/>
      <c r="P46" s="28">
        <f>P42+P43+P44-P45</f>
        <v/>
      </c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inlineStr">
        <is>
          <t>REFERENCE NET TOTAL</t>
        </is>
      </c>
      <c r="K47" s="27" t="n"/>
      <c r="L47" s="27" t="n"/>
      <c r="M47" s="27" t="n"/>
      <c r="N47" s="27" t="n"/>
      <c r="O47" s="27" t="n"/>
      <c r="P47" s="28">
        <f>P41+P46</f>
        <v/>
      </c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inlineStr">
        <is>
          <t>COMBINED ITEMS TOTAL</t>
        </is>
      </c>
      <c r="K49" s="27" t="n"/>
      <c r="L49" s="27" t="n"/>
      <c r="M49" s="27" t="n"/>
      <c r="N49" s="27" t="n"/>
      <c r="O49" s="27" t="n"/>
      <c r="P49" s="28">
        <f>P6+P41</f>
        <v/>
      </c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inlineStr">
        <is>
          <t>FULL INVOICE FREIGHT</t>
        </is>
      </c>
      <c r="K50" s="27" t="n"/>
      <c r="L50" s="27" t="n"/>
      <c r="M50" s="27" t="n"/>
      <c r="N50" s="27" t="n"/>
      <c r="O50" s="27" t="n"/>
      <c r="P50" s="28">
        <f>P10+P42</f>
        <v/>
      </c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inlineStr">
        <is>
          <t>FULL INVOICE INSURANCE</t>
        </is>
      </c>
      <c r="K51" s="27" t="n"/>
      <c r="L51" s="27" t="n"/>
      <c r="M51" s="27" t="n"/>
      <c r="N51" s="27" t="n"/>
      <c r="O51" s="27" t="n"/>
      <c r="P51" s="28">
        <f>P11+P43</f>
        <v/>
      </c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inlineStr">
        <is>
          <t>FULL INVOICE OTHER COST</t>
        </is>
      </c>
      <c r="K52" s="27" t="n"/>
      <c r="L52" s="27" t="n"/>
      <c r="M52" s="27" t="n"/>
      <c r="N52" s="27" t="n"/>
      <c r="O52" s="27" t="n"/>
      <c r="P52" s="28">
        <f>P12+P44</f>
        <v/>
      </c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inlineStr">
        <is>
          <t>FULL INVOICE DEDUCTION</t>
        </is>
      </c>
      <c r="K53" s="27" t="n"/>
      <c r="L53" s="27" t="n"/>
      <c r="M53" s="27" t="n"/>
      <c r="N53" s="27" t="n"/>
      <c r="O53" s="27" t="n"/>
      <c r="P53" s="28">
        <f>P13+P45</f>
        <v/>
      </c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inlineStr">
        <is>
          <t>FULL ADJUSTMENTS</t>
        </is>
      </c>
      <c r="K54" s="27" t="n"/>
      <c r="L54" s="27" t="n"/>
      <c r="M54" s="27" t="n"/>
      <c r="N54" s="27" t="n"/>
      <c r="O54" s="27" t="n"/>
      <c r="P54" s="28">
        <f>P50+P51+P52-P53</f>
        <v/>
      </c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COMBINED NET TOTAL</t>
        </is>
      </c>
      <c r="K55" s="27" t="n"/>
      <c r="L55" s="27" t="n"/>
      <c r="M55" s="27" t="n"/>
      <c r="N55" s="27" t="n"/>
      <c r="O55" s="27" t="n"/>
      <c r="P55" s="28">
        <f>P49+P54</f>
        <v/>
      </c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inlineStr">
        <is>
          <t>FULL INVOICE TOTAL</t>
        </is>
      </c>
      <c r="K56" s="27" t="n"/>
      <c r="L56" s="27" t="n"/>
      <c r="M56" s="27" t="n"/>
      <c r="N56" s="27" t="n"/>
      <c r="O56" s="27" t="n"/>
      <c r="P56" s="28" t="n">
        <v>145.96</v>
      </c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inlineStr">
        <is>
          <t>COMBINED VARIANCE CHECK</t>
        </is>
      </c>
      <c r="K57" s="27" t="n"/>
      <c r="L57" s="27" t="n"/>
      <c r="M57" s="27" t="n"/>
      <c r="N57" s="27" t="n"/>
      <c r="O57" s="27" t="n"/>
      <c r="P57" s="28">
        <f>P56-P55</f>
        <v/>
      </c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2026-04-26T18:25:54Z</dcterms:created>
  <dcterms:modified xmlns:dcterms="http://purl.org/dc/terms/" xmlns:xsi="http://www.w3.org/2001/XMLSchema-instance" xsi:type="dcterms:W3CDTF">2026-04-26T18:25:54Z</dcterms:modified>
</cp:coreProperties>
</file>