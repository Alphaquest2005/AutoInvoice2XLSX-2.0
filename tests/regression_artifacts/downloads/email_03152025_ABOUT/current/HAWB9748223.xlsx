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00190-US68077350</t>
        </is>
      </c>
      <c r="D2" s="2" t="inlineStr">
        <is>
          <t>2024-08-18</t>
        </is>
      </c>
      <c r="E2" s="2" t="inlineStr">
        <is>
          <t>Footwear</t>
        </is>
      </c>
      <c r="F2" s="2" t="inlineStr">
        <is>
          <t>64041990</t>
        </is>
      </c>
      <c r="G2" s="2" t="inlineStr"/>
      <c r="H2" s="2" t="inlineStr"/>
      <c r="I2" s="2" t="inlineStr">
        <is>
          <t>PUMA-2</t>
        </is>
      </c>
      <c r="J2" s="2" t="inlineStr">
        <is>
          <t>Multiflex SL V Little Kids' Sneakers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29.99</v>
      </c>
      <c r="P2" s="3" t="n">
        <v>29.99</v>
      </c>
      <c r="Q2" s="3">
        <f>O2*K2</f>
        <v/>
      </c>
      <c r="R2" s="3">
        <f>P2-Q2</f>
        <v/>
      </c>
      <c r="S2" s="3" t="n">
        <v>34.99</v>
      </c>
      <c r="T2" s="3" t="n">
        <v>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PUMA</t>
        </is>
      </c>
      <c r="AA2" s="2" t="inlineStr">
        <is>
          <t>PUMA NORTH AMERICA, INC.</t>
        </is>
      </c>
      <c r="AB2" s="2" t="inlineStr">
        <is>
          <t>455 Grand Union Boulevard SOMERVILLE, MA 02145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Invoice total uncertain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39.99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108.65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64041990</t>
        </is>
      </c>
      <c r="K13" s="9" t="n"/>
      <c r="L13" s="9" t="n"/>
      <c r="M13" s="9" t="n"/>
      <c r="N13" s="9" t="n"/>
      <c r="O13" s="9" t="n"/>
      <c r="P13" s="11" t="n">
        <v>21.73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6.52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20.54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48.79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0.4490566037735849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inlineStr">
        <is>
          <t>CLIENT DECLARED DUTIES</t>
        </is>
      </c>
      <c r="K18" s="9" t="n"/>
      <c r="L18" s="9" t="n"/>
      <c r="M18" s="9" t="n"/>
      <c r="N18" s="9" t="n"/>
      <c r="O18" s="9" t="n"/>
      <c r="P18" s="11" t="n">
        <v>35.54</v>
      </c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5" t="inlineStr">
        <is>
          <t>DUTY VARIANCE (Client − Estimated)</t>
        </is>
      </c>
      <c r="K19" s="9" t="n"/>
      <c r="L19" s="9" t="n"/>
      <c r="M19" s="9" t="n"/>
      <c r="N19" s="9" t="n"/>
      <c r="O19" s="9" t="n"/>
      <c r="P19" s="16" t="n">
        <v>-13.25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inlineStr">
        <is>
          <t>IMPLIED CET RATE (from client value)</t>
        </is>
      </c>
      <c r="K20" s="9" t="n"/>
      <c r="L20" s="9" t="n"/>
      <c r="M20" s="9" t="n"/>
      <c r="N20" s="9" t="n"/>
      <c r="O20" s="9" t="n"/>
      <c r="P20" s="14" t="n">
        <v>0.09400468196642588</v>
      </c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5" t="inlineStr">
        <is>
          <t>⚠ CET MISMATCH: System=20% vs Client≈9% — review classification</t>
        </is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0" t="inlineStr">
        <is>
          <t>IMPLIED CIF (from declared duty @ 20% CET, XCD)</t>
        </is>
      </c>
      <c r="K22" s="9" t="n"/>
      <c r="L22" s="9" t="n"/>
      <c r="M22" s="9" t="n"/>
      <c r="N22" s="9" t="n"/>
      <c r="O22" s="9" t="n"/>
      <c r="P22" s="11" t="n">
        <v>79.15000000000001</v>
      </c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0" t="inlineStr">
        <is>
          <t>IMPLIED ITEMS VALUE (USD, net of freight/insurance)</t>
        </is>
      </c>
      <c r="K23" s="9" t="n"/>
      <c r="L23" s="9" t="n"/>
      <c r="M23" s="9" t="n"/>
      <c r="N23" s="9" t="n"/>
      <c r="O23" s="9" t="n"/>
      <c r="P23" s="11" t="n">
        <v>24.13</v>
      </c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</row>
    <row r="24"/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inlineStr">
        <is>
          <t>Items on other declaration(s) (3 items)</t>
        </is>
      </c>
      <c r="K25" s="17" t="n"/>
      <c r="L25" s="17" t="n"/>
      <c r="M25" s="17" t="n"/>
      <c r="N25" s="17" t="n"/>
      <c r="O25" s="17" t="n"/>
      <c r="P25" s="18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7" t="n"/>
      <c r="B26" s="17" t="n"/>
      <c r="C26" s="17" t="n"/>
      <c r="D26" s="17" t="n"/>
      <c r="E26" s="17" t="inlineStr">
        <is>
          <t>Footwear</t>
        </is>
      </c>
      <c r="F26" s="17" t="inlineStr">
        <is>
          <t>64041990</t>
        </is>
      </c>
      <c r="G26" s="17" t="n"/>
      <c r="H26" s="17" t="n"/>
      <c r="I26" s="17" t="n"/>
      <c r="J26" s="17" t="inlineStr">
        <is>
          <t>Multiflex SL V Little Kids' Sneakers (+2 more) (3 items)</t>
        </is>
      </c>
      <c r="K26" s="17" t="n">
        <v>3</v>
      </c>
      <c r="L26" s="17" t="n"/>
      <c r="M26" s="17" t="n"/>
      <c r="N26" s="17" t="inlineStr">
        <is>
          <t>USD</t>
        </is>
      </c>
      <c r="O26" s="18" t="n">
        <v>30.65666666666667</v>
      </c>
      <c r="P26" s="18" t="n">
        <v>91.97</v>
      </c>
      <c r="Q26" s="18" t="n"/>
      <c r="R26" s="18" t="n"/>
      <c r="S26" s="18" t="n"/>
      <c r="T26" s="18" t="n"/>
      <c r="U26" s="18" t="n"/>
      <c r="V26" s="18" t="n"/>
      <c r="W26" s="18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inlineStr">
        <is>
          <t>PUMA-1</t>
        </is>
      </c>
      <c r="J27" s="19" t="inlineStr">
        <is>
          <t>Multiflex SL V Little Kids' Sneakers</t>
        </is>
      </c>
      <c r="K27" s="19" t="n">
        <v>1</v>
      </c>
      <c r="L27" s="19" t="n"/>
      <c r="M27" s="19" t="n"/>
      <c r="N27" s="19" t="inlineStr">
        <is>
          <t>USD</t>
        </is>
      </c>
      <c r="O27" s="20" t="n">
        <v>29.99</v>
      </c>
      <c r="P27" s="20" t="n">
        <v>29.99</v>
      </c>
      <c r="Q27" s="20" t="n"/>
      <c r="R27" s="20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inlineStr">
        <is>
          <t>PUMA-3</t>
        </is>
      </c>
      <c r="J28" s="19" t="inlineStr">
        <is>
          <t>Turin III Men's Sneakers</t>
        </is>
      </c>
      <c r="K28" s="19" t="n">
        <v>1</v>
      </c>
      <c r="L28" s="19" t="n"/>
      <c r="M28" s="19" t="n"/>
      <c r="N28" s="19" t="inlineStr">
        <is>
          <t>USD</t>
        </is>
      </c>
      <c r="O28" s="20" t="n">
        <v>30.99</v>
      </c>
      <c r="P28" s="20" t="n">
        <v>30.99</v>
      </c>
      <c r="Q28" s="20" t="n"/>
      <c r="R28" s="20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inlineStr">
        <is>
          <t>PUMA-4</t>
        </is>
      </c>
      <c r="J29" s="19" t="inlineStr">
        <is>
          <t>Turin III Men's Sneakers</t>
        </is>
      </c>
      <c r="K29" s="19" t="n">
        <v>1</v>
      </c>
      <c r="L29" s="19" t="n"/>
      <c r="M29" s="19" t="n"/>
      <c r="N29" s="19" t="inlineStr">
        <is>
          <t>USD</t>
        </is>
      </c>
      <c r="O29" s="20" t="n">
        <v>30.99</v>
      </c>
      <c r="P29" s="20" t="n">
        <v>30.99</v>
      </c>
      <c r="Q29" s="20" t="n"/>
      <c r="R29" s="20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REFERENCE SUBTOTAL</t>
        </is>
      </c>
      <c r="K30" s="21" t="n"/>
      <c r="L30" s="21" t="n"/>
      <c r="M30" s="21" t="n"/>
      <c r="N30" s="21" t="n"/>
      <c r="O30" s="21" t="n"/>
      <c r="P30" s="22" t="n">
        <v>91.97</v>
      </c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REFERENCE FREIGHT</t>
        </is>
      </c>
      <c r="K31" s="21" t="n"/>
      <c r="L31" s="21" t="n"/>
      <c r="M31" s="21" t="n"/>
      <c r="N31" s="21" t="n"/>
      <c r="O31" s="21" t="n"/>
      <c r="P31" s="22" t="n">
        <v>19</v>
      </c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REFERENCE INSURANCE</t>
        </is>
      </c>
      <c r="K32" s="21" t="n"/>
      <c r="L32" s="21" t="n"/>
      <c r="M32" s="21" t="n"/>
      <c r="N32" s="21" t="n"/>
      <c r="O32" s="21" t="n"/>
      <c r="P32" s="22" t="n">
        <v>0</v>
      </c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inlineStr">
        <is>
          <t>REFERENCE OTHER COST</t>
        </is>
      </c>
      <c r="K33" s="21" t="n"/>
      <c r="L33" s="21" t="n"/>
      <c r="M33" s="21" t="n"/>
      <c r="N33" s="21" t="n"/>
      <c r="O33" s="21" t="n"/>
      <c r="P33" s="22" t="n">
        <v>0</v>
      </c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inlineStr">
        <is>
          <t>REFERENCE DEDUCTION</t>
        </is>
      </c>
      <c r="K34" s="21" t="n"/>
      <c r="L34" s="21" t="n"/>
      <c r="M34" s="21" t="n"/>
      <c r="N34" s="21" t="n"/>
      <c r="O34" s="21" t="n"/>
      <c r="P34" s="22" t="n">
        <v>0</v>
      </c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inlineStr">
        <is>
          <t>REFERENCE ADJUSTMENTS</t>
        </is>
      </c>
      <c r="K35" s="21" t="n"/>
      <c r="L35" s="21" t="n"/>
      <c r="M35" s="21" t="n"/>
      <c r="N35" s="21" t="n"/>
      <c r="O35" s="21" t="n"/>
      <c r="P35" s="22">
        <f>P31+P32+P33-P34</f>
        <v/>
      </c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inlineStr">
        <is>
          <t>REFERENCE NET TOTAL</t>
        </is>
      </c>
      <c r="K36" s="21" t="n"/>
      <c r="L36" s="21" t="n"/>
      <c r="M36" s="21" t="n"/>
      <c r="N36" s="21" t="n"/>
      <c r="O36" s="21" t="n"/>
      <c r="P36" s="22">
        <f>P30+P35</f>
        <v/>
      </c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inlineStr">
        <is>
          <t>COMBINED ITEMS TOTAL</t>
        </is>
      </c>
      <c r="K38" s="21" t="n"/>
      <c r="L38" s="21" t="n"/>
      <c r="M38" s="21" t="n"/>
      <c r="N38" s="21" t="n"/>
      <c r="O38" s="21" t="n"/>
      <c r="P38" s="22">
        <f>P3+P30</f>
        <v/>
      </c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inlineStr">
        <is>
          <t>FULL INVOICE FREIGHT</t>
        </is>
      </c>
      <c r="K39" s="21" t="n"/>
      <c r="L39" s="21" t="n"/>
      <c r="M39" s="21" t="n"/>
      <c r="N39" s="21" t="n"/>
      <c r="O39" s="21" t="n"/>
      <c r="P39" s="22">
        <f>T2+P31</f>
        <v/>
      </c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inlineStr">
        <is>
          <t>FULL INVOICE INSURANCE</t>
        </is>
      </c>
      <c r="K40" s="21" t="n"/>
      <c r="L40" s="21" t="n"/>
      <c r="M40" s="21" t="n"/>
      <c r="N40" s="21" t="n"/>
      <c r="O40" s="21" t="n"/>
      <c r="P40" s="22">
        <f>U2+P32</f>
        <v/>
      </c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inlineStr">
        <is>
          <t>FULL INVOICE OTHER COST</t>
        </is>
      </c>
      <c r="K41" s="21" t="n"/>
      <c r="L41" s="21" t="n"/>
      <c r="M41" s="21" t="n"/>
      <c r="N41" s="21" t="n"/>
      <c r="O41" s="21" t="n"/>
      <c r="P41" s="22">
        <f>V2+P33</f>
        <v/>
      </c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inlineStr">
        <is>
          <t>FULL INVOICE DEDUCTION</t>
        </is>
      </c>
      <c r="K42" s="21" t="n"/>
      <c r="L42" s="21" t="n"/>
      <c r="M42" s="21" t="n"/>
      <c r="N42" s="21" t="n"/>
      <c r="O42" s="21" t="n"/>
      <c r="P42" s="22">
        <f>W2+P34</f>
        <v/>
      </c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inlineStr">
        <is>
          <t>FULL ADJUSTMENTS</t>
        </is>
      </c>
      <c r="K43" s="21" t="n"/>
      <c r="L43" s="21" t="n"/>
      <c r="M43" s="21" t="n"/>
      <c r="N43" s="21" t="n"/>
      <c r="O43" s="21" t="n"/>
      <c r="P43" s="22">
        <f>P39+P40+P41-P42</f>
        <v/>
      </c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inlineStr">
        <is>
          <t>COMBINED NET TOTAL</t>
        </is>
      </c>
      <c r="K44" s="21" t="n"/>
      <c r="L44" s="21" t="n"/>
      <c r="M44" s="21" t="n"/>
      <c r="N44" s="21" t="n"/>
      <c r="O44" s="21" t="n"/>
      <c r="P44" s="22">
        <f>P38+P43</f>
        <v/>
      </c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inlineStr">
        <is>
          <t>FULL INVOICE TOTAL</t>
        </is>
      </c>
      <c r="K45" s="21" t="n"/>
      <c r="L45" s="21" t="n"/>
      <c r="M45" s="21" t="n"/>
      <c r="N45" s="21" t="n"/>
      <c r="O45" s="21" t="n"/>
      <c r="P45" s="22" t="n">
        <v>145.96</v>
      </c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inlineStr">
        <is>
          <t>COMBINED VARIANCE CHECK</t>
        </is>
      </c>
      <c r="K46" s="21" t="n"/>
      <c r="L46" s="21" t="n"/>
      <c r="M46" s="21" t="n"/>
      <c r="N46" s="21" t="n"/>
      <c r="O46" s="21" t="n"/>
      <c r="P46" s="22">
        <f>P45-P44</f>
        <v/>
      </c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2026-04-26T18:25:55Z</dcterms:created>
  <dcterms:modified xmlns:dcterms="http://purl.org/dc/terms/" xmlns:xsi="http://www.w3.org/2001/XMLSchema-instance" xsi:type="dcterms:W3CDTF">2026-04-26T18:25:55Z</dcterms:modified>
</cp:coreProperties>
</file>