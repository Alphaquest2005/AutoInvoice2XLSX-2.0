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  <xf numFmtId="0" fontId="9" fillId="5" borderId="1" pivotButton="0" quotePrefix="0" xfId="0"/>
    <xf numFmtId="4" fontId="9" fillId="5" borderId="1" pivotButton="0" quotePrefix="0" xfId="0"/>
    <xf numFmtId="0" fontId="10" fillId="0" borderId="1" pivotButton="0" quotePrefix="0" xfId="0"/>
    <xf numFmtId="4" fontId="10" fillId="0" borderId="1" pivotButton="0" quotePrefix="0" xfId="0"/>
    <xf numFmtId="0" fontId="9" fillId="0" borderId="1" pivotButton="0" quotePrefix="0" xfId="0"/>
    <xf numFmtId="4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111-1616806-9805016</t>
        </is>
      </c>
      <c r="D2" s="2" t="inlineStr"/>
      <c r="E2" s="2" t="inlineStr">
        <is>
          <t>Of cotton</t>
        </is>
      </c>
      <c r="F2" s="2" t="inlineStr">
        <is>
          <t>61082100</t>
        </is>
      </c>
      <c r="G2" s="2" t="inlineStr"/>
      <c r="H2" s="2" t="inlineStr"/>
      <c r="I2" s="2" t="inlineStr">
        <is>
          <t>61082100</t>
        </is>
      </c>
      <c r="J2" s="2" t="inlineStr">
        <is>
          <t>Hanes Boys ' and Toddler Underwear , Comfort Flex and ComfortSoft Boxer Brief... (+1 more) (2 items)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20.745</v>
      </c>
      <c r="P2" s="3" t="n">
        <v>41.48999999999999</v>
      </c>
      <c r="Q2" s="3">
        <f>O2*K2</f>
        <v/>
      </c>
      <c r="R2" s="3">
        <f>P2-Q2</f>
        <v/>
      </c>
      <c r="S2" s="3" t="n">
        <v>100.55</v>
      </c>
      <c r="T2" s="3" t="n">
        <v>11</v>
      </c>
      <c r="U2" s="3" t="n">
        <v>0</v>
      </c>
      <c r="V2" s="3" t="n">
        <v>5.86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61082100</t>
        </is>
      </c>
    </row>
    <row r="3">
      <c r="A3" s="4" t="n"/>
      <c r="B3" s="4" t="n"/>
      <c r="C3" s="4" t="n"/>
      <c r="D3" s="4" t="n"/>
      <c r="E3" s="4" t="n"/>
      <c r="F3" s="4" t="inlineStr">
        <is>
          <t>61082100</t>
        </is>
      </c>
      <c r="G3" s="4" t="n"/>
      <c r="H3" s="4" t="n"/>
      <c r="I3" s="4" t="inlineStr">
        <is>
          <t>AMZ-2</t>
        </is>
      </c>
      <c r="J3" s="4" t="inlineStr">
        <is>
          <t>Hanes Boys ' and Toddler Underwear , Comfort Flex and ComfortSoft Boxer Brief...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18.49</v>
      </c>
      <c r="P3" s="5" t="n">
        <v>18.49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inlineStr">
        <is>
          <t>61082100</t>
        </is>
      </c>
      <c r="G4" s="4" t="n"/>
      <c r="H4" s="4" t="n"/>
      <c r="I4" s="4" t="inlineStr">
        <is>
          <t>AMZ-6</t>
        </is>
      </c>
      <c r="J4" s="4" t="inlineStr">
        <is>
          <t>Hanes Boys ’ Tank Undershirt , EcoSmart Cotton Shirt , Multiple Packs Availab...</t>
        </is>
      </c>
      <c r="K4" s="4" t="n">
        <v>1</v>
      </c>
      <c r="L4" s="4" t="n"/>
      <c r="M4" s="4" t="inlineStr"/>
      <c r="N4" s="4" t="inlineStr">
        <is>
          <t>USD</t>
        </is>
      </c>
      <c r="O4" s="5" t="n">
        <v>23</v>
      </c>
      <c r="P4" s="5" t="n">
        <v>23</v>
      </c>
      <c r="Q4" s="5">
        <f>O4*K4</f>
        <v/>
      </c>
      <c r="R4" s="5">
        <f>P4-Q4</f>
        <v/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2" t="n"/>
      <c r="B5" s="2" t="inlineStr"/>
      <c r="C5" s="2" t="inlineStr">
        <is>
          <t>111-1616806-9805016</t>
        </is>
      </c>
      <c r="D5" s="2" t="inlineStr"/>
      <c r="E5" s="2" t="inlineStr">
        <is>
          <t>SOAP &amp; BODY WASH</t>
        </is>
      </c>
      <c r="F5" s="2" t="inlineStr">
        <is>
          <t>34013000</t>
        </is>
      </c>
      <c r="G5" s="2" t="inlineStr"/>
      <c r="H5" s="2" t="inlineStr"/>
      <c r="I5" s="2" t="inlineStr">
        <is>
          <t>34013000</t>
        </is>
      </c>
      <c r="J5" s="2" t="inlineStr">
        <is>
          <t>CeraVe Foaming Facial CleanserDaily Face Wash for Oily Skin with Hyaluronic A... (1 items)</t>
        </is>
      </c>
      <c r="K5" s="2" t="n">
        <v>1</v>
      </c>
      <c r="L5" s="2" t="n"/>
      <c r="M5" s="2" t="inlineStr"/>
      <c r="N5" s="2" t="inlineStr">
        <is>
          <t>USD</t>
        </is>
      </c>
      <c r="O5" s="3" t="n">
        <v>15.48</v>
      </c>
      <c r="P5" s="3" t="n">
        <v>15.48</v>
      </c>
      <c r="Q5" s="3">
        <f>O5*K5</f>
        <v/>
      </c>
      <c r="R5" s="3">
        <f>P5-Q5</f>
        <v/>
      </c>
      <c r="S5" s="3" t="n"/>
      <c r="T5" s="3" t="n"/>
      <c r="U5" s="3" t="n"/>
      <c r="V5" s="3" t="n"/>
      <c r="W5" s="3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inlineStr">
        <is>
          <t>34013000</t>
        </is>
      </c>
    </row>
    <row r="6">
      <c r="A6" s="4" t="n"/>
      <c r="B6" s="4" t="n"/>
      <c r="C6" s="4" t="n"/>
      <c r="D6" s="4" t="n"/>
      <c r="E6" s="4" t="n"/>
      <c r="F6" s="4" t="inlineStr">
        <is>
          <t>34013000</t>
        </is>
      </c>
      <c r="G6" s="4" t="n"/>
      <c r="H6" s="4" t="n"/>
      <c r="I6" s="4" t="inlineStr">
        <is>
          <t>AMZ-3</t>
        </is>
      </c>
      <c r="J6" s="4" t="inlineStr">
        <is>
          <t>CeraVe Foaming Facial CleanserDaily Face Wash for Oily Skin with Hyaluronic A...</t>
        </is>
      </c>
      <c r="K6" s="4" t="n">
        <v>1</v>
      </c>
      <c r="L6" s="4" t="n"/>
      <c r="M6" s="4" t="inlineStr"/>
      <c r="N6" s="4" t="inlineStr">
        <is>
          <t>USD</t>
        </is>
      </c>
      <c r="O6" s="5" t="n">
        <v>15.48</v>
      </c>
      <c r="P6" s="5" t="n">
        <v>15.48</v>
      </c>
      <c r="Q6" s="5">
        <f>O6*K6</f>
        <v/>
      </c>
      <c r="R6" s="5">
        <f>P6-Q6</f>
        <v/>
      </c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>
      <c r="A7" s="2" t="n"/>
      <c r="B7" s="2" t="inlineStr"/>
      <c r="C7" s="2" t="inlineStr">
        <is>
          <t>111-1616806-9805016</t>
        </is>
      </c>
      <c r="D7" s="2" t="inlineStr"/>
      <c r="E7" s="2" t="inlineStr">
        <is>
          <t>Writing or drawing pencils</t>
        </is>
      </c>
      <c r="F7" s="2" t="inlineStr">
        <is>
          <t>96091010</t>
        </is>
      </c>
      <c r="G7" s="2" t="inlineStr"/>
      <c r="H7" s="2" t="inlineStr"/>
      <c r="I7" s="2" t="inlineStr">
        <is>
          <t>96091010</t>
        </is>
      </c>
      <c r="J7" s="2" t="inlineStr">
        <is>
          <t>V - Opitos Wood - Cased2 HB Pencils , 50 Pack Pre - Sharpened Pencils with To... (1 items)</t>
        </is>
      </c>
      <c r="K7" s="2" t="n">
        <v>1</v>
      </c>
      <c r="L7" s="2" t="n"/>
      <c r="M7" s="2" t="inlineStr"/>
      <c r="N7" s="2" t="inlineStr">
        <is>
          <t>USD</t>
        </is>
      </c>
      <c r="O7" s="3" t="n">
        <v>8.48</v>
      </c>
      <c r="P7" s="3" t="n">
        <v>8.48</v>
      </c>
      <c r="Q7" s="3">
        <f>O7*K7</f>
        <v/>
      </c>
      <c r="R7" s="3">
        <f>P7-Q7</f>
        <v/>
      </c>
      <c r="S7" s="3" t="n"/>
      <c r="T7" s="3" t="n"/>
      <c r="U7" s="3" t="n"/>
      <c r="V7" s="3" t="n"/>
      <c r="W7" s="3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inlineStr">
        <is>
          <t>96091010</t>
        </is>
      </c>
    </row>
    <row r="8">
      <c r="A8" s="4" t="n"/>
      <c r="B8" s="4" t="n"/>
      <c r="C8" s="4" t="n"/>
      <c r="D8" s="4" t="n"/>
      <c r="E8" s="4" t="n"/>
      <c r="F8" s="4" t="inlineStr">
        <is>
          <t>96091010</t>
        </is>
      </c>
      <c r="G8" s="4" t="n"/>
      <c r="H8" s="4" t="n"/>
      <c r="I8" s="4" t="inlineStr">
        <is>
          <t>AMZ-4</t>
        </is>
      </c>
      <c r="J8" s="4" t="inlineStr">
        <is>
          <t>V - Opitos Wood - Cased2 HB Pencils , 50 Pack Pre - Sharpened Pencils with To...</t>
        </is>
      </c>
      <c r="K8" s="4" t="n">
        <v>1</v>
      </c>
      <c r="L8" s="4" t="n"/>
      <c r="M8" s="4" t="inlineStr"/>
      <c r="N8" s="4" t="inlineStr">
        <is>
          <t>USD</t>
        </is>
      </c>
      <c r="O8" s="5" t="n">
        <v>8.48</v>
      </c>
      <c r="P8" s="5" t="n">
        <v>8.48</v>
      </c>
      <c r="Q8" s="5">
        <f>O8*K8</f>
        <v/>
      </c>
      <c r="R8" s="5">
        <f>P8-Q8</f>
        <v/>
      </c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</row>
    <row r="9">
      <c r="A9" s="2" t="n"/>
      <c r="B9" s="2" t="inlineStr"/>
      <c r="C9" s="2" t="inlineStr">
        <is>
          <t>111-1616806-9805016</t>
        </is>
      </c>
      <c r="D9" s="2" t="inlineStr"/>
      <c r="E9" s="2" t="inlineStr">
        <is>
          <t>LIP CARE</t>
        </is>
      </c>
      <c r="F9" s="2" t="inlineStr">
        <is>
          <t>33049900</t>
        </is>
      </c>
      <c r="G9" s="2" t="inlineStr"/>
      <c r="H9" s="2" t="inlineStr"/>
      <c r="I9" s="2" t="inlineStr">
        <is>
          <t>33049900</t>
        </is>
      </c>
      <c r="J9" s="2" t="inlineStr">
        <is>
          <t>CeraVe Vitamin C Serum with Hyaluronic AcidSkin Brightening Serum for Face wi... (1 items)</t>
        </is>
      </c>
      <c r="K9" s="2" t="n">
        <v>1</v>
      </c>
      <c r="L9" s="2" t="n"/>
      <c r="M9" s="2" t="inlineStr"/>
      <c r="N9" s="2" t="inlineStr">
        <is>
          <t>USD</t>
        </is>
      </c>
      <c r="O9" s="3" t="n">
        <v>18.24</v>
      </c>
      <c r="P9" s="3" t="n">
        <v>18.24</v>
      </c>
      <c r="Q9" s="3">
        <f>O9*K9</f>
        <v/>
      </c>
      <c r="R9" s="3">
        <f>P9-Q9</f>
        <v/>
      </c>
      <c r="S9" s="3" t="n"/>
      <c r="T9" s="3" t="n"/>
      <c r="U9" s="3" t="n"/>
      <c r="V9" s="3" t="n"/>
      <c r="W9" s="3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inlineStr">
        <is>
          <t>33049900</t>
        </is>
      </c>
    </row>
    <row r="10">
      <c r="A10" s="4" t="n"/>
      <c r="B10" s="4" t="n"/>
      <c r="C10" s="4" t="n"/>
      <c r="D10" s="4" t="n"/>
      <c r="E10" s="4" t="n"/>
      <c r="F10" s="4" t="inlineStr">
        <is>
          <t>33049900</t>
        </is>
      </c>
      <c r="G10" s="4" t="n"/>
      <c r="H10" s="4" t="n"/>
      <c r="I10" s="4" t="inlineStr">
        <is>
          <t>AMZ-5</t>
        </is>
      </c>
      <c r="J10" s="4" t="inlineStr">
        <is>
          <t>CeraVe Vitamin C Serum with Hyaluronic AcidSkin Brightening Serum for Face wi...</t>
        </is>
      </c>
      <c r="K10" s="4" t="n">
        <v>1</v>
      </c>
      <c r="L10" s="4" t="n"/>
      <c r="M10" s="4" t="inlineStr"/>
      <c r="N10" s="4" t="inlineStr">
        <is>
          <t>USD</t>
        </is>
      </c>
      <c r="O10" s="5" t="n">
        <v>18.24</v>
      </c>
      <c r="P10" s="5" t="n">
        <v>18.24</v>
      </c>
      <c r="Q10" s="5">
        <f>O10*K10</f>
        <v/>
      </c>
      <c r="R10" s="5">
        <f>P10-Q10</f>
        <v/>
      </c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SUBTOTAL (GROUPED)</t>
        </is>
      </c>
      <c r="K11" s="6" t="n"/>
      <c r="L11" s="6" t="n"/>
      <c r="M11" s="6" t="n"/>
      <c r="N11" s="6" t="n"/>
      <c r="O11" s="6" t="n"/>
      <c r="P11" s="7">
        <f>P2+P5+P7+P9</f>
        <v/>
      </c>
      <c r="Q11" s="7">
        <f>Q2+Q5+Q7+Q9</f>
        <v/>
      </c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SUBTOTAL (DETAILS)</t>
        </is>
      </c>
      <c r="K12" s="6" t="n"/>
      <c r="L12" s="6" t="n"/>
      <c r="M12" s="6" t="n"/>
      <c r="N12" s="6" t="n"/>
      <c r="O12" s="6" t="n"/>
      <c r="P12" s="7">
        <f>SUM(P2:P10)-P11</f>
        <v/>
      </c>
      <c r="Q12" s="7">
        <f>SUM(Q2:Q10)-Q11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GROUP VERIFICATION</t>
        </is>
      </c>
      <c r="K13" s="8" t="n"/>
      <c r="L13" s="8" t="n"/>
      <c r="M13" s="8" t="n"/>
      <c r="N13" s="8" t="n"/>
      <c r="O13" s="8" t="n"/>
      <c r="P13" s="9">
        <f>P11-P12</f>
        <v/>
      </c>
      <c r="Q13" s="9">
        <f>Q11-Q12</f>
        <v/>
      </c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</row>
    <row r="14"/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TOTAL INTERNAL FREIGHT</t>
        </is>
      </c>
      <c r="K15" s="6" t="n"/>
      <c r="L15" s="6" t="n"/>
      <c r="M15" s="6" t="n"/>
      <c r="N15" s="6" t="n"/>
      <c r="O15" s="6" t="n"/>
      <c r="P15" s="7" t="n">
        <v>11</v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inlineStr">
        <is>
          <t>TOTAL INSURANCE</t>
        </is>
      </c>
      <c r="K16" s="6" t="n"/>
      <c r="L16" s="6" t="n"/>
      <c r="M16" s="6" t="n"/>
      <c r="N16" s="6" t="n"/>
      <c r="O16" s="6" t="n"/>
      <c r="P16" s="7" t="n">
        <v>0</v>
      </c>
      <c r="Q16" s="7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inlineStr">
        <is>
          <t>TOTAL OTHER COST</t>
        </is>
      </c>
      <c r="K17" s="6" t="n"/>
      <c r="L17" s="6" t="n"/>
      <c r="M17" s="6" t="n"/>
      <c r="N17" s="6" t="n"/>
      <c r="O17" s="6" t="n"/>
      <c r="P17" s="7" t="n">
        <v>5.86</v>
      </c>
      <c r="Q17" s="7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inlineStr">
        <is>
          <t>TOTAL DEDUCTION</t>
        </is>
      </c>
      <c r="K18" s="6" t="n"/>
      <c r="L18" s="6" t="n"/>
      <c r="M18" s="6" t="n"/>
      <c r="N18" s="6" t="n"/>
      <c r="O18" s="6" t="n"/>
      <c r="P18" s="7" t="n">
        <v>0</v>
      </c>
      <c r="Q18" s="7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inlineStr">
        <is>
          <t>ADJUSTMENTS</t>
        </is>
      </c>
      <c r="K19" s="6" t="n"/>
      <c r="L19" s="6" t="n"/>
      <c r="M19" s="6" t="n"/>
      <c r="N19" s="6" t="n"/>
      <c r="O19" s="6" t="n"/>
      <c r="P19" s="7">
        <f>(T2+U2+V2-W2)</f>
        <v/>
      </c>
      <c r="Q19" s="7">
        <f>(T2+U2+V2-W2)</f>
        <v/>
      </c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</row>
    <row r="20"/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inlineStr">
        <is>
          <t>NET TOTAL</t>
        </is>
      </c>
      <c r="K21" s="6" t="n"/>
      <c r="L21" s="6" t="n"/>
      <c r="M21" s="6" t="n"/>
      <c r="N21" s="6" t="n"/>
      <c r="O21" s="6" t="n"/>
      <c r="P21" s="7">
        <f>P11+P19</f>
        <v/>
      </c>
      <c r="Q21" s="7">
        <f>Q11+Q19</f>
        <v/>
      </c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inlineStr">
        <is>
          <t>INVOICE TOTAL</t>
        </is>
      </c>
      <c r="K22" s="6" t="n"/>
      <c r="L22" s="6" t="n"/>
      <c r="M22" s="6" t="n"/>
      <c r="N22" s="6" t="n"/>
      <c r="O22" s="6" t="n"/>
      <c r="P22" s="7">
        <f>S2</f>
        <v/>
      </c>
      <c r="Q22" s="7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</row>
    <row r="23"/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inlineStr">
        <is>
          <t>VARIANCE CHECK</t>
        </is>
      </c>
      <c r="K24" s="10" t="n"/>
      <c r="L24" s="10" t="n"/>
      <c r="M24" s="10" t="n"/>
      <c r="N24" s="10" t="n"/>
      <c r="O24" s="10" t="n"/>
      <c r="P24" s="11">
        <f>S2-P21</f>
        <v/>
      </c>
      <c r="Q24" s="11">
        <f>S2-Q21</f>
        <v/>
      </c>
      <c r="R24" s="10" t="n"/>
      <c r="S24" s="10" t="n"/>
      <c r="T24" s="10" t="n"/>
      <c r="U24" s="10" t="n"/>
      <c r="V24" s="10" t="n"/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</row>
    <row r="25"/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inlineStr">
        <is>
          <t>DUTY ESTIMATION (Classification Cross-Check)</t>
        </is>
      </c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CIF (USD) = InvTotal + Freight + Insurance</t>
        </is>
      </c>
      <c r="K27" s="13" t="n"/>
      <c r="L27" s="13" t="n"/>
      <c r="M27" s="13" t="n"/>
      <c r="N27" s="13" t="n"/>
      <c r="O27" s="13" t="n"/>
      <c r="P27" s="15" t="n">
        <v>111.55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inlineStr">
        <is>
          <t>CIF (XCD) = CIF × 2.7169</t>
        </is>
      </c>
      <c r="K28" s="13" t="n"/>
      <c r="L28" s="13" t="n"/>
      <c r="M28" s="13" t="n"/>
      <c r="N28" s="13" t="n"/>
      <c r="O28" s="13" t="n"/>
      <c r="P28" s="15" t="n">
        <v>303.07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CET (weighted avg 20.0%)</t>
        </is>
      </c>
      <c r="K29" s="13" t="n"/>
      <c r="L29" s="13" t="n"/>
      <c r="M29" s="13" t="n"/>
      <c r="N29" s="13" t="n"/>
      <c r="O29" s="13" t="n"/>
      <c r="P29" s="15" t="n">
        <v>60.61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4" t="inlineStr">
        <is>
          <t xml:space="preserve">  └ 33049900: 20% CET (22% of value)</t>
        </is>
      </c>
      <c r="K30" s="13" t="n"/>
      <c r="L30" s="13" t="n"/>
      <c r="M30" s="13" t="n"/>
      <c r="N30" s="13" t="n"/>
      <c r="O30" s="13" t="n"/>
      <c r="P30" s="15" t="n">
        <v>13.21</v>
      </c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4" t="inlineStr">
        <is>
          <t xml:space="preserve">  └ 34013000: 20% CET (18% of value)</t>
        </is>
      </c>
      <c r="K31" s="13" t="n"/>
      <c r="L31" s="13" t="n"/>
      <c r="M31" s="13" t="n"/>
      <c r="N31" s="13" t="n"/>
      <c r="O31" s="13" t="n"/>
      <c r="P31" s="15" t="n">
        <v>11.21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inlineStr">
        <is>
          <t xml:space="preserve">  └ 61082100: 20% CET (50% of value)</t>
        </is>
      </c>
      <c r="K32" s="13" t="n"/>
      <c r="L32" s="13" t="n"/>
      <c r="M32" s="13" t="n"/>
      <c r="N32" s="13" t="n"/>
      <c r="O32" s="13" t="n"/>
      <c r="P32" s="15" t="n">
        <v>30.05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inlineStr">
        <is>
          <t xml:space="preserve">  └ 96091010: 20% CET (10% of value)</t>
        </is>
      </c>
      <c r="K33" s="13" t="n"/>
      <c r="L33" s="13" t="n"/>
      <c r="M33" s="13" t="n"/>
      <c r="N33" s="13" t="n"/>
      <c r="O33" s="13" t="n"/>
      <c r="P33" s="15" t="n">
        <v>6.14</v>
      </c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inlineStr">
        <is>
          <t>CSC (6%)</t>
        </is>
      </c>
      <c r="K34" s="13" t="n"/>
      <c r="L34" s="13" t="n"/>
      <c r="M34" s="13" t="n"/>
      <c r="N34" s="13" t="n"/>
      <c r="O34" s="13" t="n"/>
      <c r="P34" s="15" t="n">
        <v>18.18</v>
      </c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4" t="inlineStr">
        <is>
          <t>VAT (15%) on CIF+CET+CSC</t>
        </is>
      </c>
      <c r="K35" s="13" t="n"/>
      <c r="L35" s="13" t="n"/>
      <c r="M35" s="13" t="n"/>
      <c r="N35" s="13" t="n"/>
      <c r="O35" s="13" t="n"/>
      <c r="P35" s="15" t="n">
        <v>57.28</v>
      </c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</row>
    <row r="36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2" t="inlineStr">
        <is>
          <t>ESTIMATED TOTAL DUTIES</t>
        </is>
      </c>
      <c r="K36" s="16" t="n"/>
      <c r="L36" s="16" t="n"/>
      <c r="M36" s="16" t="n"/>
      <c r="N36" s="16" t="n"/>
      <c r="O36" s="16" t="n"/>
      <c r="P36" s="17" t="n">
        <v>136.07</v>
      </c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  <c r="AJ36" s="16" t="n"/>
      <c r="AK36" s="16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4" t="inlineStr">
        <is>
          <t>Effective Duty Rate</t>
        </is>
      </c>
      <c r="K37" s="13" t="n"/>
      <c r="L37" s="13" t="n"/>
      <c r="M37" s="13" t="n"/>
      <c r="N37" s="13" t="n"/>
      <c r="O37" s="13" t="n"/>
      <c r="P37" s="18" t="n">
        <v>0.4489721846438117</v>
      </c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inlineStr">
        <is>
          <t>CLIENT DECLARED DUTIES</t>
        </is>
      </c>
      <c r="K38" s="13" t="n"/>
      <c r="L38" s="13" t="n"/>
      <c r="M38" s="13" t="n"/>
      <c r="N38" s="13" t="n"/>
      <c r="O38" s="13" t="n"/>
      <c r="P38" s="15" t="n">
        <v>122.66</v>
      </c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9" t="inlineStr">
        <is>
          <t>DUTY VARIANCE (Client − Estimated)</t>
        </is>
      </c>
      <c r="K39" s="13" t="n"/>
      <c r="L39" s="13" t="n"/>
      <c r="M39" s="13" t="n"/>
      <c r="N39" s="13" t="n"/>
      <c r="O39" s="13" t="n"/>
      <c r="P39" s="20" t="n">
        <v>-13.41</v>
      </c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inlineStr">
        <is>
          <t>IMPLIED CET RATE (from client value)</t>
        </is>
      </c>
      <c r="K40" s="13" t="n"/>
      <c r="L40" s="13" t="n"/>
      <c r="M40" s="13" t="n"/>
      <c r="N40" s="13" t="n"/>
      <c r="O40" s="13" t="n"/>
      <c r="P40" s="18" t="n">
        <v>0.1614999835021612</v>
      </c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9" t="inlineStr">
        <is>
          <t>⚠ CET MISMATCH: System=20% vs Client≈16% — review classification</t>
        </is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4" t="inlineStr">
        <is>
          <t>IMPLIED CIF (from declared duty @ 20% CET, XCD)</t>
        </is>
      </c>
      <c r="K42" s="13" t="n"/>
      <c r="L42" s="13" t="n"/>
      <c r="M42" s="13" t="n"/>
      <c r="N42" s="13" t="n"/>
      <c r="O42" s="13" t="n"/>
      <c r="P42" s="15" t="n">
        <v>273.18</v>
      </c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4" t="inlineStr">
        <is>
          <t>IMPLIED ITEMS VALUE (USD, net of freight/insurance)</t>
        </is>
      </c>
      <c r="K43" s="13" t="n"/>
      <c r="L43" s="13" t="n"/>
      <c r="M43" s="13" t="n"/>
      <c r="N43" s="13" t="n"/>
      <c r="O43" s="13" t="n"/>
      <c r="P43" s="15" t="n">
        <v>89.55</v>
      </c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</row>
    <row r="44"/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inlineStr">
        <is>
          <t>Items on other declaration(s) (2 items)</t>
        </is>
      </c>
      <c r="K45" s="21" t="n"/>
      <c r="L45" s="21" t="n"/>
      <c r="M45" s="21" t="n"/>
      <c r="N45" s="21" t="n"/>
      <c r="O45" s="21" t="n"/>
      <c r="P45" s="22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</row>
    <row r="46">
      <c r="A46" s="21" t="n"/>
      <c r="B46" s="21" t="n"/>
      <c r="C46" s="21" t="n"/>
      <c r="D46" s="21" t="n"/>
      <c r="E46" s="21" t="inlineStr">
        <is>
          <t>DEODORANTS</t>
        </is>
      </c>
      <c r="F46" s="21" t="inlineStr">
        <is>
          <t>33072000</t>
        </is>
      </c>
      <c r="G46" s="21" t="n"/>
      <c r="H46" s="21" t="n"/>
      <c r="I46" s="21" t="n"/>
      <c r="J46" s="21" t="inlineStr">
        <is>
          <t>8 FL . Oz Glycolic Acid 7 % Exfoliating Toner , Glycolic Acid 7 % Toning Resu... (1 items)</t>
        </is>
      </c>
      <c r="K46" s="21" t="n">
        <v>1</v>
      </c>
      <c r="L46" s="21" t="n"/>
      <c r="M46" s="21" t="n"/>
      <c r="N46" s="21" t="inlineStr">
        <is>
          <t>USD</t>
        </is>
      </c>
      <c r="O46" s="22" t="n">
        <v>9.99</v>
      </c>
      <c r="P46" s="22" t="n">
        <v>9.99</v>
      </c>
      <c r="Q46" s="22" t="n"/>
      <c r="R46" s="22" t="n"/>
      <c r="S46" s="22" t="n"/>
      <c r="T46" s="22" t="n"/>
      <c r="U46" s="22" t="n"/>
      <c r="V46" s="22" t="n"/>
      <c r="W46" s="22" t="n"/>
      <c r="X46" s="21" t="n"/>
      <c r="Y46" s="21" t="n"/>
      <c r="Z46" s="21" t="n"/>
      <c r="AA46" s="21" t="n"/>
      <c r="AB46" s="21" t="n"/>
      <c r="AC46" s="21" t="n"/>
      <c r="AD46" s="21" t="n"/>
      <c r="AE46" s="21" t="n"/>
      <c r="AF46" s="21" t="n"/>
      <c r="AG46" s="21" t="n"/>
      <c r="AH46" s="21" t="n"/>
      <c r="AI46" s="21" t="n"/>
      <c r="AJ46" s="21" t="n"/>
      <c r="AK46" s="21" t="n"/>
    </row>
    <row r="47">
      <c r="A47" s="23" t="n"/>
      <c r="B47" s="23" t="n"/>
      <c r="C47" s="23" t="n"/>
      <c r="D47" s="23" t="n"/>
      <c r="E47" s="23" t="n"/>
      <c r="F47" s="23" t="n"/>
      <c r="G47" s="23" t="n"/>
      <c r="H47" s="23" t="n"/>
      <c r="I47" s="23" t="inlineStr">
        <is>
          <t>AMZ-1</t>
        </is>
      </c>
      <c r="J47" s="23" t="inlineStr">
        <is>
          <t>8 FL . Oz Glycolic Acid 7 % Exfoliating Toner , Glycolic Acid 7 % Toning Resu...</t>
        </is>
      </c>
      <c r="K47" s="23" t="n">
        <v>1</v>
      </c>
      <c r="L47" s="23" t="n"/>
      <c r="M47" s="23" t="n"/>
      <c r="N47" s="23" t="inlineStr">
        <is>
          <t>USD</t>
        </is>
      </c>
      <c r="O47" s="24" t="n">
        <v>9.99</v>
      </c>
      <c r="P47" s="24" t="n">
        <v>9.99</v>
      </c>
      <c r="Q47" s="24" t="n"/>
      <c r="R47" s="24" t="n"/>
      <c r="S47" s="23" t="n"/>
      <c r="T47" s="23" t="n"/>
      <c r="U47" s="23" t="n"/>
      <c r="V47" s="23" t="n"/>
      <c r="W47" s="23" t="n"/>
      <c r="X47" s="23" t="n"/>
      <c r="Y47" s="23" t="n"/>
      <c r="Z47" s="23" t="n"/>
      <c r="AA47" s="23" t="n"/>
      <c r="AB47" s="23" t="n"/>
      <c r="AC47" s="23" t="n"/>
      <c r="AD47" s="23" t="n"/>
      <c r="AE47" s="23" t="n"/>
      <c r="AF47" s="23" t="n"/>
      <c r="AG47" s="23" t="n"/>
      <c r="AH47" s="23" t="n"/>
      <c r="AI47" s="23" t="n"/>
      <c r="AJ47" s="23" t="n"/>
      <c r="AK47" s="23" t="n"/>
    </row>
    <row r="48">
      <c r="A48" s="21" t="n"/>
      <c r="B48" s="21" t="n"/>
      <c r="C48" s="21" t="n"/>
      <c r="D48" s="21" t="n"/>
      <c r="E48" s="21" t="inlineStr">
        <is>
          <t>BAGS &amp; LUGGAGE</t>
        </is>
      </c>
      <c r="F48" s="21" t="inlineStr">
        <is>
          <t>42029200</t>
        </is>
      </c>
      <c r="G48" s="21" t="n"/>
      <c r="H48" s="21" t="n"/>
      <c r="I48" s="21" t="n"/>
      <c r="J48" s="21" t="inlineStr">
        <is>
          <t>adidas Originals Originals Trefoil Pocket Backpack , Black , One Size (1 items)</t>
        </is>
      </c>
      <c r="K48" s="21" t="n">
        <v>1</v>
      </c>
      <c r="L48" s="21" t="n"/>
      <c r="M48" s="21" t="n"/>
      <c r="N48" s="21" t="inlineStr">
        <is>
          <t>USD</t>
        </is>
      </c>
      <c r="O48" s="22" t="n">
        <v>38.52</v>
      </c>
      <c r="P48" s="22" t="n">
        <v>38.52</v>
      </c>
      <c r="Q48" s="22" t="n"/>
      <c r="R48" s="22" t="n"/>
      <c r="S48" s="22" t="n"/>
      <c r="T48" s="22" t="n"/>
      <c r="U48" s="22" t="n"/>
      <c r="V48" s="22" t="n"/>
      <c r="W48" s="22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</row>
    <row r="49">
      <c r="A49" s="23" t="n"/>
      <c r="B49" s="23" t="n"/>
      <c r="C49" s="23" t="n"/>
      <c r="D49" s="23" t="n"/>
      <c r="E49" s="23" t="n"/>
      <c r="F49" s="23" t="n"/>
      <c r="G49" s="23" t="n"/>
      <c r="H49" s="23" t="n"/>
      <c r="I49" s="23" t="inlineStr">
        <is>
          <t>AMZ-7</t>
        </is>
      </c>
      <c r="J49" s="23" t="inlineStr">
        <is>
          <t>adidas Originals Originals Trefoil Pocket Backpack , Black , One Size</t>
        </is>
      </c>
      <c r="K49" s="23" t="n">
        <v>1</v>
      </c>
      <c r="L49" s="23" t="n"/>
      <c r="M49" s="23" t="n"/>
      <c r="N49" s="23" t="inlineStr">
        <is>
          <t>USD</t>
        </is>
      </c>
      <c r="O49" s="24" t="n">
        <v>38.52</v>
      </c>
      <c r="P49" s="24" t="n">
        <v>38.52</v>
      </c>
      <c r="Q49" s="24" t="n"/>
      <c r="R49" s="24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  <c r="AC49" s="23" t="n"/>
      <c r="AD49" s="23" t="n"/>
      <c r="AE49" s="23" t="n"/>
      <c r="AF49" s="23" t="n"/>
      <c r="AG49" s="23" t="n"/>
      <c r="AH49" s="23" t="n"/>
      <c r="AI49" s="23" t="n"/>
      <c r="AJ49" s="23" t="n"/>
      <c r="AK49" s="23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inlineStr">
        <is>
          <t>REFERENCE SUBTOTAL</t>
        </is>
      </c>
      <c r="K50" s="25" t="n"/>
      <c r="L50" s="25" t="n"/>
      <c r="M50" s="25" t="n"/>
      <c r="N50" s="25" t="n"/>
      <c r="O50" s="25" t="n"/>
      <c r="P50" s="26" t="n">
        <v>48.51000000000001</v>
      </c>
      <c r="Q50" s="25" t="n"/>
      <c r="R50" s="25" t="n"/>
      <c r="S50" s="25" t="n"/>
      <c r="T50" s="25" t="n"/>
      <c r="U50" s="25" t="n"/>
      <c r="V50" s="25" t="n"/>
      <c r="W50" s="25" t="n"/>
      <c r="X50" s="25" t="n"/>
      <c r="Y50" s="25" t="n"/>
      <c r="Z50" s="25" t="n"/>
      <c r="AA50" s="25" t="n"/>
      <c r="AB50" s="25" t="n"/>
      <c r="AC50" s="25" t="n"/>
      <c r="AD50" s="25" t="n"/>
      <c r="AE50" s="25" t="n"/>
      <c r="AF50" s="25" t="n"/>
      <c r="AG50" s="25" t="n"/>
      <c r="AH50" s="25" t="n"/>
      <c r="AI50" s="25" t="n"/>
      <c r="AJ50" s="25" t="n"/>
      <c r="AK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inlineStr">
        <is>
          <t>REFERENCE FREIGHT</t>
        </is>
      </c>
      <c r="K51" s="25" t="n"/>
      <c r="L51" s="25" t="n"/>
      <c r="M51" s="25" t="n"/>
      <c r="N51" s="25" t="n"/>
      <c r="O51" s="25" t="n"/>
      <c r="P51" s="26" t="n">
        <v>10</v>
      </c>
      <c r="Q51" s="25" t="n"/>
      <c r="R51" s="25" t="n"/>
      <c r="S51" s="25" t="n"/>
      <c r="T51" s="25" t="n"/>
      <c r="U51" s="25" t="n"/>
      <c r="V51" s="25" t="n"/>
      <c r="W51" s="25" t="n"/>
      <c r="X51" s="25" t="n"/>
      <c r="Y51" s="25" t="n"/>
      <c r="Z51" s="25" t="n"/>
      <c r="AA51" s="25" t="n"/>
      <c r="AB51" s="25" t="n"/>
      <c r="AC51" s="25" t="n"/>
      <c r="AD51" s="25" t="n"/>
      <c r="AE51" s="25" t="n"/>
      <c r="AF51" s="25" t="n"/>
      <c r="AG51" s="25" t="n"/>
      <c r="AH51" s="25" t="n"/>
      <c r="AI51" s="25" t="n"/>
      <c r="AJ51" s="25" t="n"/>
      <c r="AK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inlineStr">
        <is>
          <t>REFERENCE INSURANCE</t>
        </is>
      </c>
      <c r="K52" s="25" t="n"/>
      <c r="L52" s="25" t="n"/>
      <c r="M52" s="25" t="n"/>
      <c r="N52" s="25" t="n"/>
      <c r="O52" s="25" t="n"/>
      <c r="P52" s="26" t="n">
        <v>0</v>
      </c>
      <c r="Q52" s="25" t="n"/>
      <c r="R52" s="25" t="n"/>
      <c r="S52" s="25" t="n"/>
      <c r="T52" s="25" t="n"/>
      <c r="U52" s="25" t="n"/>
      <c r="V52" s="25" t="n"/>
      <c r="W52" s="25" t="n"/>
      <c r="X52" s="25" t="n"/>
      <c r="Y52" s="25" t="n"/>
      <c r="Z52" s="25" t="n"/>
      <c r="AA52" s="25" t="n"/>
      <c r="AB52" s="25" t="n"/>
      <c r="AC52" s="25" t="n"/>
      <c r="AD52" s="25" t="n"/>
      <c r="AE52" s="25" t="n"/>
      <c r="AF52" s="25" t="n"/>
      <c r="AG52" s="25" t="n"/>
      <c r="AH52" s="25" t="n"/>
      <c r="AI52" s="25" t="n"/>
      <c r="AJ52" s="25" t="n"/>
      <c r="AK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inlineStr">
        <is>
          <t>REFERENCE OTHER COST</t>
        </is>
      </c>
      <c r="K53" s="25" t="n"/>
      <c r="L53" s="25" t="n"/>
      <c r="M53" s="25" t="n"/>
      <c r="N53" s="25" t="n"/>
      <c r="O53" s="25" t="n"/>
      <c r="P53" s="26" t="n">
        <v>3.39</v>
      </c>
      <c r="Q53" s="25" t="n"/>
      <c r="R53" s="25" t="n"/>
      <c r="S53" s="25" t="n"/>
      <c r="T53" s="25" t="n"/>
      <c r="U53" s="25" t="n"/>
      <c r="V53" s="25" t="n"/>
      <c r="W53" s="25" t="n"/>
      <c r="X53" s="25" t="n"/>
      <c r="Y53" s="25" t="n"/>
      <c r="Z53" s="25" t="n"/>
      <c r="AA53" s="25" t="n"/>
      <c r="AB53" s="25" t="n"/>
      <c r="AC53" s="25" t="n"/>
      <c r="AD53" s="25" t="n"/>
      <c r="AE53" s="25" t="n"/>
      <c r="AF53" s="25" t="n"/>
      <c r="AG53" s="25" t="n"/>
      <c r="AH53" s="25" t="n"/>
      <c r="AI53" s="25" t="n"/>
      <c r="AJ53" s="25" t="n"/>
      <c r="AK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inlineStr">
        <is>
          <t>REFERENCE DEDUCTION</t>
        </is>
      </c>
      <c r="K54" s="25" t="n"/>
      <c r="L54" s="25" t="n"/>
      <c r="M54" s="25" t="n"/>
      <c r="N54" s="25" t="n"/>
      <c r="O54" s="25" t="n"/>
      <c r="P54" s="26" t="n">
        <v>0</v>
      </c>
      <c r="Q54" s="25" t="n"/>
      <c r="R54" s="25" t="n"/>
      <c r="S54" s="25" t="n"/>
      <c r="T54" s="25" t="n"/>
      <c r="U54" s="25" t="n"/>
      <c r="V54" s="25" t="n"/>
      <c r="W54" s="25" t="n"/>
      <c r="X54" s="25" t="n"/>
      <c r="Y54" s="25" t="n"/>
      <c r="Z54" s="25" t="n"/>
      <c r="AA54" s="25" t="n"/>
      <c r="AB54" s="25" t="n"/>
      <c r="AC54" s="25" t="n"/>
      <c r="AD54" s="25" t="n"/>
      <c r="AE54" s="25" t="n"/>
      <c r="AF54" s="25" t="n"/>
      <c r="AG54" s="25" t="n"/>
      <c r="AH54" s="25" t="n"/>
      <c r="AI54" s="25" t="n"/>
      <c r="AJ54" s="25" t="n"/>
      <c r="AK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inlineStr">
        <is>
          <t>REFERENCE ADJUSTMENTS</t>
        </is>
      </c>
      <c r="K55" s="25" t="n"/>
      <c r="L55" s="25" t="n"/>
      <c r="M55" s="25" t="n"/>
      <c r="N55" s="25" t="n"/>
      <c r="O55" s="25" t="n"/>
      <c r="P55" s="26">
        <f>P51+P52+P53-P54</f>
        <v/>
      </c>
      <c r="Q55" s="25" t="n"/>
      <c r="R55" s="25" t="n"/>
      <c r="S55" s="25" t="n"/>
      <c r="T55" s="25" t="n"/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5" t="n"/>
      <c r="AI55" s="25" t="n"/>
      <c r="AJ55" s="25" t="n"/>
      <c r="AK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inlineStr">
        <is>
          <t>REFERENCE NET TOTAL</t>
        </is>
      </c>
      <c r="K56" s="25" t="n"/>
      <c r="L56" s="25" t="n"/>
      <c r="M56" s="25" t="n"/>
      <c r="N56" s="25" t="n"/>
      <c r="O56" s="25" t="n"/>
      <c r="P56" s="26">
        <f>P50+P55</f>
        <v/>
      </c>
      <c r="Q56" s="25" t="n"/>
      <c r="R56" s="25" t="n"/>
      <c r="S56" s="25" t="n"/>
      <c r="T56" s="25" t="n"/>
      <c r="U56" s="25" t="n"/>
      <c r="V56" s="25" t="n"/>
      <c r="W56" s="25" t="n"/>
      <c r="X56" s="25" t="n"/>
      <c r="Y56" s="25" t="n"/>
      <c r="Z56" s="25" t="n"/>
      <c r="AA56" s="25" t="n"/>
      <c r="AB56" s="25" t="n"/>
      <c r="AC56" s="25" t="n"/>
      <c r="AD56" s="25" t="n"/>
      <c r="AE56" s="25" t="n"/>
      <c r="AF56" s="25" t="n"/>
      <c r="AG56" s="25" t="n"/>
      <c r="AH56" s="25" t="n"/>
      <c r="AI56" s="25" t="n"/>
      <c r="AJ56" s="25" t="n"/>
      <c r="AK56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inlineStr">
        <is>
          <t>COMBINED ITEMS TOTAL</t>
        </is>
      </c>
      <c r="K58" s="25" t="n"/>
      <c r="L58" s="25" t="n"/>
      <c r="M58" s="25" t="n"/>
      <c r="N58" s="25" t="n"/>
      <c r="O58" s="25" t="n"/>
      <c r="P58" s="26">
        <f>P11+P50</f>
        <v/>
      </c>
      <c r="Q58" s="25" t="n"/>
      <c r="R58" s="25" t="n"/>
      <c r="S58" s="25" t="n"/>
      <c r="T58" s="25" t="n"/>
      <c r="U58" s="25" t="n"/>
      <c r="V58" s="25" t="n"/>
      <c r="W58" s="25" t="n"/>
      <c r="X58" s="25" t="n"/>
      <c r="Y58" s="25" t="n"/>
      <c r="Z58" s="25" t="n"/>
      <c r="AA58" s="25" t="n"/>
      <c r="AB58" s="25" t="n"/>
      <c r="AC58" s="25" t="n"/>
      <c r="AD58" s="25" t="n"/>
      <c r="AE58" s="25" t="n"/>
      <c r="AF58" s="25" t="n"/>
      <c r="AG58" s="25" t="n"/>
      <c r="AH58" s="25" t="n"/>
      <c r="AI58" s="25" t="n"/>
      <c r="AJ58" s="25" t="n"/>
      <c r="AK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inlineStr">
        <is>
          <t>FULL INVOICE FREIGHT</t>
        </is>
      </c>
      <c r="K59" s="25" t="n"/>
      <c r="L59" s="25" t="n"/>
      <c r="M59" s="25" t="n"/>
      <c r="N59" s="25" t="n"/>
      <c r="O59" s="25" t="n"/>
      <c r="P59" s="26">
        <f>P15+P51</f>
        <v/>
      </c>
      <c r="Q59" s="25" t="n"/>
      <c r="R59" s="25" t="n"/>
      <c r="S59" s="25" t="n"/>
      <c r="T59" s="25" t="n"/>
      <c r="U59" s="25" t="n"/>
      <c r="V59" s="25" t="n"/>
      <c r="W59" s="25" t="n"/>
      <c r="X59" s="25" t="n"/>
      <c r="Y59" s="25" t="n"/>
      <c r="Z59" s="25" t="n"/>
      <c r="AA59" s="25" t="n"/>
      <c r="AB59" s="25" t="n"/>
      <c r="AC59" s="25" t="n"/>
      <c r="AD59" s="25" t="n"/>
      <c r="AE59" s="25" t="n"/>
      <c r="AF59" s="25" t="n"/>
      <c r="AG59" s="25" t="n"/>
      <c r="AH59" s="25" t="n"/>
      <c r="AI59" s="25" t="n"/>
      <c r="AJ59" s="25" t="n"/>
      <c r="AK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inlineStr">
        <is>
          <t>FULL INVOICE INSURANCE</t>
        </is>
      </c>
      <c r="K60" s="25" t="n"/>
      <c r="L60" s="25" t="n"/>
      <c r="M60" s="25" t="n"/>
      <c r="N60" s="25" t="n"/>
      <c r="O60" s="25" t="n"/>
      <c r="P60" s="26">
        <f>P16+P52</f>
        <v/>
      </c>
      <c r="Q60" s="25" t="n"/>
      <c r="R60" s="25" t="n"/>
      <c r="S60" s="25" t="n"/>
      <c r="T60" s="25" t="n"/>
      <c r="U60" s="25" t="n"/>
      <c r="V60" s="25" t="n"/>
      <c r="W60" s="25" t="n"/>
      <c r="X60" s="25" t="n"/>
      <c r="Y60" s="25" t="n"/>
      <c r="Z60" s="25" t="n"/>
      <c r="AA60" s="25" t="n"/>
      <c r="AB60" s="25" t="n"/>
      <c r="AC60" s="25" t="n"/>
      <c r="AD60" s="25" t="n"/>
      <c r="AE60" s="25" t="n"/>
      <c r="AF60" s="25" t="n"/>
      <c r="AG60" s="25" t="n"/>
      <c r="AH60" s="25" t="n"/>
      <c r="AI60" s="25" t="n"/>
      <c r="AJ60" s="25" t="n"/>
      <c r="AK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inlineStr">
        <is>
          <t>FULL INVOICE OTHER COST</t>
        </is>
      </c>
      <c r="K61" s="25" t="n"/>
      <c r="L61" s="25" t="n"/>
      <c r="M61" s="25" t="n"/>
      <c r="N61" s="25" t="n"/>
      <c r="O61" s="25" t="n"/>
      <c r="P61" s="26">
        <f>P17+P53</f>
        <v/>
      </c>
      <c r="Q61" s="25" t="n"/>
      <c r="R61" s="25" t="n"/>
      <c r="S61" s="25" t="n"/>
      <c r="T61" s="25" t="n"/>
      <c r="U61" s="25" t="n"/>
      <c r="V61" s="25" t="n"/>
      <c r="W61" s="25" t="n"/>
      <c r="X61" s="25" t="n"/>
      <c r="Y61" s="25" t="n"/>
      <c r="Z61" s="25" t="n"/>
      <c r="AA61" s="25" t="n"/>
      <c r="AB61" s="25" t="n"/>
      <c r="AC61" s="25" t="n"/>
      <c r="AD61" s="25" t="n"/>
      <c r="AE61" s="25" t="n"/>
      <c r="AF61" s="25" t="n"/>
      <c r="AG61" s="25" t="n"/>
      <c r="AH61" s="25" t="n"/>
      <c r="AI61" s="25" t="n"/>
      <c r="AJ61" s="25" t="n"/>
      <c r="AK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inlineStr">
        <is>
          <t>FULL INVOICE DEDUCTION</t>
        </is>
      </c>
      <c r="K62" s="25" t="n"/>
      <c r="L62" s="25" t="n"/>
      <c r="M62" s="25" t="n"/>
      <c r="N62" s="25" t="n"/>
      <c r="O62" s="25" t="n"/>
      <c r="P62" s="26">
        <f>P18+P54</f>
        <v/>
      </c>
      <c r="Q62" s="25" t="n"/>
      <c r="R62" s="25" t="n"/>
      <c r="S62" s="25" t="n"/>
      <c r="T62" s="25" t="n"/>
      <c r="U62" s="25" t="n"/>
      <c r="V62" s="25" t="n"/>
      <c r="W62" s="25" t="n"/>
      <c r="X62" s="25" t="n"/>
      <c r="Y62" s="25" t="n"/>
      <c r="Z62" s="25" t="n"/>
      <c r="AA62" s="25" t="n"/>
      <c r="AB62" s="25" t="n"/>
      <c r="AC62" s="25" t="n"/>
      <c r="AD62" s="25" t="n"/>
      <c r="AE62" s="25" t="n"/>
      <c r="AF62" s="25" t="n"/>
      <c r="AG62" s="25" t="n"/>
      <c r="AH62" s="25" t="n"/>
      <c r="AI62" s="25" t="n"/>
      <c r="AJ62" s="25" t="n"/>
      <c r="AK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inlineStr">
        <is>
          <t>FULL ADJUSTMENTS</t>
        </is>
      </c>
      <c r="K63" s="25" t="n"/>
      <c r="L63" s="25" t="n"/>
      <c r="M63" s="25" t="n"/>
      <c r="N63" s="25" t="n"/>
      <c r="O63" s="25" t="n"/>
      <c r="P63" s="26">
        <f>P59+P60+P61-P62</f>
        <v/>
      </c>
      <c r="Q63" s="25" t="n"/>
      <c r="R63" s="25" t="n"/>
      <c r="S63" s="25" t="n"/>
      <c r="T63" s="25" t="n"/>
      <c r="U63" s="25" t="n"/>
      <c r="V63" s="25" t="n"/>
      <c r="W63" s="25" t="n"/>
      <c r="X63" s="25" t="n"/>
      <c r="Y63" s="25" t="n"/>
      <c r="Z63" s="25" t="n"/>
      <c r="AA63" s="25" t="n"/>
      <c r="AB63" s="25" t="n"/>
      <c r="AC63" s="25" t="n"/>
      <c r="AD63" s="25" t="n"/>
      <c r="AE63" s="25" t="n"/>
      <c r="AF63" s="25" t="n"/>
      <c r="AG63" s="25" t="n"/>
      <c r="AH63" s="25" t="n"/>
      <c r="AI63" s="25" t="n"/>
      <c r="AJ63" s="25" t="n"/>
      <c r="AK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inlineStr">
        <is>
          <t>COMBINED NET TOTAL</t>
        </is>
      </c>
      <c r="K64" s="25" t="n"/>
      <c r="L64" s="25" t="n"/>
      <c r="M64" s="25" t="n"/>
      <c r="N64" s="25" t="n"/>
      <c r="O64" s="25" t="n"/>
      <c r="P64" s="26">
        <f>P58+P63</f>
        <v/>
      </c>
      <c r="Q64" s="25" t="n"/>
      <c r="R64" s="25" t="n"/>
      <c r="S64" s="25" t="n"/>
      <c r="T64" s="25" t="n"/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5" t="n"/>
      <c r="AI64" s="25" t="n"/>
      <c r="AJ64" s="25" t="n"/>
      <c r="AK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inlineStr">
        <is>
          <t>FULL INVOICE TOTAL</t>
        </is>
      </c>
      <c r="K65" s="25" t="n"/>
      <c r="L65" s="25" t="n"/>
      <c r="M65" s="25" t="n"/>
      <c r="N65" s="25" t="n"/>
      <c r="O65" s="25" t="n"/>
      <c r="P65" s="26" t="n">
        <v>162.45</v>
      </c>
      <c r="Q65" s="25" t="n"/>
      <c r="R65" s="25" t="n"/>
      <c r="S65" s="25" t="n"/>
      <c r="T65" s="25" t="n"/>
      <c r="U65" s="25" t="n"/>
      <c r="V65" s="25" t="n"/>
      <c r="W65" s="25" t="n"/>
      <c r="X65" s="25" t="n"/>
      <c r="Y65" s="25" t="n"/>
      <c r="Z65" s="25" t="n"/>
      <c r="AA65" s="25" t="n"/>
      <c r="AB65" s="25" t="n"/>
      <c r="AC65" s="25" t="n"/>
      <c r="AD65" s="25" t="n"/>
      <c r="AE65" s="25" t="n"/>
      <c r="AF65" s="25" t="n"/>
      <c r="AG65" s="25" t="n"/>
      <c r="AH65" s="25" t="n"/>
      <c r="AI65" s="25" t="n"/>
      <c r="AJ65" s="25" t="n"/>
      <c r="AK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inlineStr">
        <is>
          <t>COMBINED VARIANCE CHECK</t>
        </is>
      </c>
      <c r="K66" s="25" t="n"/>
      <c r="L66" s="25" t="n"/>
      <c r="M66" s="25" t="n"/>
      <c r="N66" s="25" t="n"/>
      <c r="O66" s="25" t="n"/>
      <c r="P66" s="26">
        <f>P65-P64</f>
        <v/>
      </c>
      <c r="Q66" s="25" t="n"/>
      <c r="R66" s="25" t="n"/>
      <c r="S66" s="25" t="n"/>
      <c r="T66" s="25" t="n"/>
      <c r="U66" s="25" t="n"/>
      <c r="V66" s="25" t="n"/>
      <c r="W66" s="25" t="n"/>
      <c r="X66" s="25" t="n"/>
      <c r="Y66" s="25" t="n"/>
      <c r="Z66" s="25" t="n"/>
      <c r="AA66" s="25" t="n"/>
      <c r="AB66" s="25" t="n"/>
      <c r="AC66" s="25" t="n"/>
      <c r="AD66" s="25" t="n"/>
      <c r="AE66" s="25" t="n"/>
      <c r="AF66" s="25" t="n"/>
      <c r="AG66" s="25" t="n"/>
      <c r="AH66" s="25" t="n"/>
      <c r="AI66" s="25" t="n"/>
      <c r="AJ66" s="25" t="n"/>
      <c r="AK66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2026-04-26T23:40:43Z</dcterms:created>
  <dcterms:modified xmlns:dcterms="http://purl.org/dc/terms/" xmlns:xsi="http://www.w3.org/2001/XMLSchema-instance" xsi:type="dcterms:W3CDTF">2026-04-26T23:40:43Z</dcterms:modified>
</cp:coreProperties>
</file>