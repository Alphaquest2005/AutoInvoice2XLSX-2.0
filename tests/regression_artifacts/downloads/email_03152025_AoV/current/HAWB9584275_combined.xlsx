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Invoices" sheetId="1" state="visible" r:id="rId1"/>
    <sheet xmlns:r="http://schemas.openxmlformats.org/officeDocument/2006/relationships"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0" fillId="5" borderId="0" pivotButton="0" quotePrefix="0" xfId="0"/>
    <xf numFmtId="0" fontId="0" fillId="2" borderId="0" pivotButton="0" quotePrefix="0" xfId="0"/>
    <xf numFmtId="0" fontId="8" fillId="2" borderId="0" pivotButton="0" quotePrefix="0" xfId="0"/>
    <xf numFmtId="0" fontId="9" fillId="0" borderId="0" pivotButton="0" quotePrefix="0" xfId="0"/>
    <xf numFmtId="166" fontId="0" fillId="0" borderId="0" pivotButton="0" quotePrefix="0" xfId="0"/>
    <xf numFmtId="166" fontId="1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111-1616806-9805016</t>
        </is>
      </c>
      <c r="D2" s="2" t="n"/>
      <c r="E2" s="2" t="inlineStr">
        <is>
          <t>BODY SPRAYS &amp; DEODORANTS</t>
        </is>
      </c>
      <c r="F2" s="2" t="inlineStr">
        <is>
          <t>33049900</t>
        </is>
      </c>
      <c r="G2" s="2" t="n"/>
      <c r="H2" s="2" t="n"/>
      <c r="I2" s="2" t="inlineStr">
        <is>
          <t>33072000</t>
        </is>
      </c>
      <c r="J2" s="2" t="inlineStr">
        <is>
          <t>8 FL . Oz Glycolic Acid 7 % Exfoliating Toner , Glycolic Acid 7 % Toning Resu... (1 items)</t>
        </is>
      </c>
      <c r="K2" s="2" t="n">
        <v>1</v>
      </c>
      <c r="L2" s="2" t="n"/>
      <c r="M2" s="2" t="n"/>
      <c r="N2" s="2" t="inlineStr">
        <is>
          <t>USD</t>
        </is>
      </c>
      <c r="O2" s="3" t="n">
        <v>9.99</v>
      </c>
      <c r="P2" s="3" t="n">
        <v>9.99</v>
      </c>
      <c r="Q2" s="3">
        <f>O2*K2</f>
        <v/>
      </c>
      <c r="R2" s="3">
        <f>P2-Q2</f>
        <v/>
      </c>
      <c r="S2" s="3" t="n">
        <v>141.45</v>
      </c>
      <c r="T2" s="3" t="n">
        <v>0</v>
      </c>
      <c r="U2" s="3" t="n">
        <v>0</v>
      </c>
      <c r="V2" s="3" t="n">
        <v>9.25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33049900</t>
        </is>
      </c>
    </row>
    <row r="3">
      <c r="A3" s="4" t="n"/>
      <c r="B3" s="4" t="n"/>
      <c r="C3" s="4" t="n"/>
      <c r="D3" s="4" t="n"/>
      <c r="E3" s="4" t="n"/>
      <c r="F3" s="4" t="inlineStr">
        <is>
          <t>33049900</t>
        </is>
      </c>
      <c r="G3" s="4" t="n"/>
      <c r="H3" s="4" t="n"/>
      <c r="I3" s="4" t="inlineStr">
        <is>
          <t>AMZ-1</t>
        </is>
      </c>
      <c r="J3" s="4" t="inlineStr">
        <is>
          <t>8 FL . Oz Glycolic Acid 7 % Exfoliating Toner , Glycolic Acid 7 % Toning Resu...</t>
        </is>
      </c>
      <c r="K3" s="4" t="n">
        <v>1</v>
      </c>
      <c r="L3" s="4" t="n"/>
      <c r="M3" s="4" t="n"/>
      <c r="N3" s="4" t="inlineStr">
        <is>
          <t>USD</t>
        </is>
      </c>
      <c r="O3" s="5" t="n">
        <v>9.99</v>
      </c>
      <c r="P3" s="5" t="n">
        <v>9.99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inlineStr">
        <is>
          <t>33049900</t>
        </is>
      </c>
    </row>
    <row r="4">
      <c r="A4" s="2" t="n"/>
      <c r="B4" s="2" t="n"/>
      <c r="C4" s="2" t="inlineStr">
        <is>
          <t>111-1616806-9805016</t>
        </is>
      </c>
      <c r="D4" s="2" t="n"/>
      <c r="E4" s="2" t="inlineStr">
        <is>
          <t>Of cotton</t>
        </is>
      </c>
      <c r="F4" s="2" t="inlineStr">
        <is>
          <t>61071100</t>
        </is>
      </c>
      <c r="G4" s="2" t="n"/>
      <c r="H4" s="2" t="n"/>
      <c r="I4" s="2" t="inlineStr">
        <is>
          <t>61082100</t>
        </is>
      </c>
      <c r="J4" s="2" t="inlineStr">
        <is>
          <t>Hanes Boys ' and Toddler Underwear , Comfort Flex and ComfortSoft Boxer Brief... (+1 more) (2 items)</t>
        </is>
      </c>
      <c r="K4" s="2" t="n">
        <v>2</v>
      </c>
      <c r="L4" s="2" t="n"/>
      <c r="M4" s="2" t="n"/>
      <c r="N4" s="2" t="inlineStr">
        <is>
          <t>USD</t>
        </is>
      </c>
      <c r="O4" s="3" t="n">
        <v>20.745</v>
      </c>
      <c r="P4" s="3" t="n">
        <v>41.48999999999999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61071100</t>
        </is>
      </c>
    </row>
    <row r="5">
      <c r="A5" s="4" t="n"/>
      <c r="B5" s="4" t="n"/>
      <c r="C5" s="4" t="n"/>
      <c r="D5" s="4" t="n"/>
      <c r="E5" s="4" t="n"/>
      <c r="F5" s="4" t="inlineStr">
        <is>
          <t>61071100</t>
        </is>
      </c>
      <c r="G5" s="4" t="n"/>
      <c r="H5" s="4" t="n"/>
      <c r="I5" s="4" t="inlineStr">
        <is>
          <t>AMZ-2</t>
        </is>
      </c>
      <c r="J5" s="4" t="inlineStr">
        <is>
          <t>Hanes Boys ' and Toddler Underwear , Comfort Flex and ComfortSoft Boxer Brief...</t>
        </is>
      </c>
      <c r="K5" s="4" t="n">
        <v>1</v>
      </c>
      <c r="L5" s="4" t="n"/>
      <c r="M5" s="4" t="n"/>
      <c r="N5" s="4" t="inlineStr">
        <is>
          <t>USD</t>
        </is>
      </c>
      <c r="O5" s="5" t="n">
        <v>18.49</v>
      </c>
      <c r="P5" s="5" t="n">
        <v>18.49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inlineStr">
        <is>
          <t>61071100</t>
        </is>
      </c>
    </row>
    <row r="6">
      <c r="A6" s="4" t="n"/>
      <c r="B6" s="4" t="n"/>
      <c r="C6" s="4" t="n"/>
      <c r="D6" s="4" t="n"/>
      <c r="E6" s="4" t="n"/>
      <c r="F6" s="4" t="inlineStr">
        <is>
          <t>61071100</t>
        </is>
      </c>
      <c r="G6" s="4" t="n"/>
      <c r="H6" s="4" t="n"/>
      <c r="I6" s="4" t="inlineStr">
        <is>
          <t>AMZ-6</t>
        </is>
      </c>
      <c r="J6" s="4" t="inlineStr">
        <is>
          <t>Hanes Boys ’ Tank Undershirt , EcoSmart Cotton Shirt , Multiple Packs Availab...</t>
        </is>
      </c>
      <c r="K6" s="4" t="n">
        <v>1</v>
      </c>
      <c r="L6" s="4" t="n"/>
      <c r="M6" s="4" t="n"/>
      <c r="N6" s="4" t="inlineStr">
        <is>
          <t>USD</t>
        </is>
      </c>
      <c r="O6" s="5" t="n">
        <v>23</v>
      </c>
      <c r="P6" s="5" t="n">
        <v>23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inlineStr">
        <is>
          <t>61071100</t>
        </is>
      </c>
    </row>
    <row r="7">
      <c r="A7" s="2" t="n"/>
      <c r="B7" s="2" t="n"/>
      <c r="C7" s="2" t="inlineStr">
        <is>
          <t>111-1616806-9805016</t>
        </is>
      </c>
      <c r="D7" s="2" t="n"/>
      <c r="E7" s="2" t="inlineStr">
        <is>
          <t>SOAP &amp; BODY WASH</t>
        </is>
      </c>
      <c r="F7" s="2" t="inlineStr">
        <is>
          <t>34013000</t>
        </is>
      </c>
      <c r="G7" s="2" t="n"/>
      <c r="H7" s="2" t="n"/>
      <c r="I7" s="2" t="inlineStr">
        <is>
          <t>34013000</t>
        </is>
      </c>
      <c r="J7" s="2" t="inlineStr">
        <is>
          <t>CeraVe Foaming Facial CleanserDaily Face Wash for Oily Skin with Hyaluronic A... (1 items)</t>
        </is>
      </c>
      <c r="K7" s="2" t="n">
        <v>1</v>
      </c>
      <c r="L7" s="2" t="n"/>
      <c r="M7" s="2" t="n"/>
      <c r="N7" s="2" t="inlineStr">
        <is>
          <t>USD</t>
        </is>
      </c>
      <c r="O7" s="3" t="n">
        <v>15.48</v>
      </c>
      <c r="P7" s="3" t="n">
        <v>15.48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34013000</t>
        </is>
      </c>
    </row>
    <row r="8">
      <c r="A8" s="4" t="n"/>
      <c r="B8" s="4" t="n"/>
      <c r="C8" s="4" t="n"/>
      <c r="D8" s="4" t="n"/>
      <c r="E8" s="4" t="n"/>
      <c r="F8" s="4" t="inlineStr">
        <is>
          <t>34013000</t>
        </is>
      </c>
      <c r="G8" s="4" t="n"/>
      <c r="H8" s="4" t="n"/>
      <c r="I8" s="4" t="inlineStr">
        <is>
          <t>AMZ-3</t>
        </is>
      </c>
      <c r="J8" s="4" t="inlineStr">
        <is>
          <t>CeraVe Foaming Facial CleanserDaily Face Wash for Oily Skin with Hyaluronic A...</t>
        </is>
      </c>
      <c r="K8" s="4" t="n">
        <v>1</v>
      </c>
      <c r="L8" s="4" t="n"/>
      <c r="M8" s="4" t="n"/>
      <c r="N8" s="4" t="inlineStr">
        <is>
          <t>USD</t>
        </is>
      </c>
      <c r="O8" s="5" t="n">
        <v>15.48</v>
      </c>
      <c r="P8" s="5" t="n">
        <v>15.48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2" t="n"/>
      <c r="B9" s="2" t="n"/>
      <c r="C9" s="2" t="inlineStr">
        <is>
          <t>111-1616806-9805016</t>
        </is>
      </c>
      <c r="D9" s="2" t="n"/>
      <c r="E9" s="2" t="inlineStr">
        <is>
          <t>Writing or drawing pencils</t>
        </is>
      </c>
      <c r="F9" s="2" t="inlineStr">
        <is>
          <t>96091010</t>
        </is>
      </c>
      <c r="G9" s="2" t="n"/>
      <c r="H9" s="2" t="n"/>
      <c r="I9" s="2" t="inlineStr">
        <is>
          <t>96091010</t>
        </is>
      </c>
      <c r="J9" s="2" t="inlineStr">
        <is>
          <t>V - Opitos Wood - Cased2 HB Pencils , 50 Pack Pre - Sharpened Pencils with To... (1 items)</t>
        </is>
      </c>
      <c r="K9" s="2" t="n">
        <v>1</v>
      </c>
      <c r="L9" s="2" t="n"/>
      <c r="M9" s="2" t="n"/>
      <c r="N9" s="2" t="inlineStr">
        <is>
          <t>USD</t>
        </is>
      </c>
      <c r="O9" s="3" t="n">
        <v>8.48</v>
      </c>
      <c r="P9" s="3" t="n">
        <v>8.48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96091010</t>
        </is>
      </c>
    </row>
    <row r="10">
      <c r="A10" s="4" t="n"/>
      <c r="B10" s="4" t="n"/>
      <c r="C10" s="4" t="n"/>
      <c r="D10" s="4" t="n"/>
      <c r="E10" s="4" t="n"/>
      <c r="F10" s="4" t="inlineStr">
        <is>
          <t>96091010</t>
        </is>
      </c>
      <c r="G10" s="4" t="n"/>
      <c r="H10" s="4" t="n"/>
      <c r="I10" s="4" t="inlineStr">
        <is>
          <t>AMZ-4</t>
        </is>
      </c>
      <c r="J10" s="4" t="inlineStr">
        <is>
          <t>V - Opitos Wood - Cased2 HB Pencils , 50 Pack Pre - Sharpened Pencils with To...</t>
        </is>
      </c>
      <c r="K10" s="4" t="n">
        <v>1</v>
      </c>
      <c r="L10" s="4" t="n"/>
      <c r="M10" s="4" t="n"/>
      <c r="N10" s="4" t="inlineStr">
        <is>
          <t>USD</t>
        </is>
      </c>
      <c r="O10" s="5" t="n">
        <v>8.48</v>
      </c>
      <c r="P10" s="5" t="n">
        <v>8.48</v>
      </c>
      <c r="Q10" s="5">
        <f>O10*K10</f>
        <v/>
      </c>
      <c r="R10" s="5">
        <f>P10-Q10</f>
        <v/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2" t="n"/>
      <c r="B11" s="2" t="n"/>
      <c r="C11" s="2" t="inlineStr">
        <is>
          <t>111-1616806-9805016</t>
        </is>
      </c>
      <c r="D11" s="2" t="n"/>
      <c r="E11" s="2" t="inlineStr">
        <is>
          <t>LIP CARE</t>
        </is>
      </c>
      <c r="F11" s="2" t="inlineStr">
        <is>
          <t>33049900</t>
        </is>
      </c>
      <c r="G11" s="2" t="n"/>
      <c r="H11" s="2" t="n"/>
      <c r="I11" s="2" t="inlineStr">
        <is>
          <t>33049900</t>
        </is>
      </c>
      <c r="J11" s="2" t="inlineStr">
        <is>
          <t>CeraVe Vitamin C Serum with Hyaluronic AcidSkin Brightening Serum for Face wi... (1 items)</t>
        </is>
      </c>
      <c r="K11" s="2" t="n">
        <v>1</v>
      </c>
      <c r="L11" s="2" t="n"/>
      <c r="M11" s="2" t="n"/>
      <c r="N11" s="2" t="inlineStr">
        <is>
          <t>USD</t>
        </is>
      </c>
      <c r="O11" s="3" t="n">
        <v>18.24</v>
      </c>
      <c r="P11" s="3" t="n">
        <v>18.24</v>
      </c>
      <c r="Q11" s="3">
        <f>O11*K11</f>
        <v/>
      </c>
      <c r="R11" s="3">
        <f>P11-Q11</f>
        <v/>
      </c>
      <c r="S11" s="3" t="n"/>
      <c r="T11" s="3" t="n"/>
      <c r="U11" s="3" t="n"/>
      <c r="V11" s="3" t="n"/>
      <c r="W11" s="3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inlineStr">
        <is>
          <t>33049900</t>
        </is>
      </c>
    </row>
    <row r="12">
      <c r="A12" s="4" t="n"/>
      <c r="B12" s="4" t="n"/>
      <c r="C12" s="4" t="n"/>
      <c r="D12" s="4" t="n"/>
      <c r="E12" s="4" t="n"/>
      <c r="F12" s="4" t="inlineStr">
        <is>
          <t>33049900</t>
        </is>
      </c>
      <c r="G12" s="4" t="n"/>
      <c r="H12" s="4" t="n"/>
      <c r="I12" s="4" t="inlineStr">
        <is>
          <t>AMZ-5</t>
        </is>
      </c>
      <c r="J12" s="4" t="inlineStr">
        <is>
          <t>CeraVe Vitamin C Serum with Hyaluronic AcidSkin Brightening Serum for Face wi...</t>
        </is>
      </c>
      <c r="K12" s="4" t="n">
        <v>1</v>
      </c>
      <c r="L12" s="4" t="n"/>
      <c r="M12" s="4" t="n"/>
      <c r="N12" s="4" t="inlineStr">
        <is>
          <t>USD</t>
        </is>
      </c>
      <c r="O12" s="5" t="n">
        <v>18.24</v>
      </c>
      <c r="P12" s="5" t="n">
        <v>18.24</v>
      </c>
      <c r="Q12" s="5">
        <f>O12*K12</f>
        <v/>
      </c>
      <c r="R12" s="5">
        <f>P12-Q12</f>
        <v/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s="2" t="n"/>
      <c r="B13" s="2" t="n"/>
      <c r="C13" s="2" t="inlineStr">
        <is>
          <t>111-1616806-9805016</t>
        </is>
      </c>
      <c r="D13" s="2" t="n"/>
      <c r="E13" s="2" t="inlineStr">
        <is>
          <t>BAGS &amp; LUGGAGE</t>
        </is>
      </c>
      <c r="F13" s="2" t="inlineStr">
        <is>
          <t>42029200</t>
        </is>
      </c>
      <c r="G13" s="2" t="n"/>
      <c r="H13" s="2" t="n"/>
      <c r="I13" s="2" t="inlineStr">
        <is>
          <t>42029200</t>
        </is>
      </c>
      <c r="J13" s="2" t="inlineStr">
        <is>
          <t>adidas Originals Originals Trefoil Pocket Backpack , Black , One Size (1 items)</t>
        </is>
      </c>
      <c r="K13" s="2" t="n">
        <v>1</v>
      </c>
      <c r="L13" s="2" t="n"/>
      <c r="M13" s="2" t="n"/>
      <c r="N13" s="2" t="inlineStr">
        <is>
          <t>USD</t>
        </is>
      </c>
      <c r="O13" s="3" t="n">
        <v>38.52</v>
      </c>
      <c r="P13" s="3" t="n">
        <v>38.52</v>
      </c>
      <c r="Q13" s="3">
        <f>O13*K13</f>
        <v/>
      </c>
      <c r="R13" s="3">
        <f>P13-Q13</f>
        <v/>
      </c>
      <c r="S13" s="3" t="n"/>
      <c r="T13" s="3" t="n"/>
      <c r="U13" s="3" t="n"/>
      <c r="V13" s="3" t="n"/>
      <c r="W13" s="3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inlineStr">
        <is>
          <t>42029200</t>
        </is>
      </c>
    </row>
    <row r="14">
      <c r="A14" s="4" t="n"/>
      <c r="B14" s="4" t="n"/>
      <c r="C14" s="4" t="n"/>
      <c r="D14" s="4" t="n"/>
      <c r="E14" s="4" t="n"/>
      <c r="F14" s="4" t="inlineStr">
        <is>
          <t>42029200</t>
        </is>
      </c>
      <c r="G14" s="4" t="n"/>
      <c r="H14" s="4" t="n"/>
      <c r="I14" s="4" t="inlineStr">
        <is>
          <t>AMZ-7</t>
        </is>
      </c>
      <c r="J14" s="4" t="inlineStr">
        <is>
          <t>adidas Originals Originals Trefoil Pocket Backpack , Black , One Size</t>
        </is>
      </c>
      <c r="K14" s="4" t="n">
        <v>1</v>
      </c>
      <c r="L14" s="4" t="n"/>
      <c r="M14" s="4" t="n"/>
      <c r="N14" s="4" t="inlineStr">
        <is>
          <t>USD</t>
        </is>
      </c>
      <c r="O14" s="5" t="n">
        <v>38.52</v>
      </c>
      <c r="P14" s="5" t="n">
        <v>38.52</v>
      </c>
      <c r="Q14" s="5">
        <f>O14*K14</f>
        <v/>
      </c>
      <c r="R14" s="5">
        <f>P14-Q14</f>
        <v/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SUBTOTAL (GROUPED)</t>
        </is>
      </c>
      <c r="K15" s="6" t="n"/>
      <c r="L15" s="6" t="n"/>
      <c r="M15" s="6" t="n"/>
      <c r="N15" s="6" t="n"/>
      <c r="O15" s="6" t="n"/>
      <c r="P15" s="7">
        <f>P2+P4+P7+P9+P11+P13</f>
        <v/>
      </c>
      <c r="Q15" s="7">
        <f>Q2+Q4+Q7+Q9+Q11+Q13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SUBTOTAL (DETAILS)</t>
        </is>
      </c>
      <c r="K16" s="6" t="n"/>
      <c r="L16" s="6" t="n"/>
      <c r="M16" s="6" t="n"/>
      <c r="N16" s="6" t="n"/>
      <c r="O16" s="6" t="n"/>
      <c r="P16" s="7">
        <f>SUM(P2:P14)-P15</f>
        <v/>
      </c>
      <c r="Q16" s="7">
        <f>SUM(Q2:Q14)-Q15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inlineStr">
        <is>
          <t>GROUP VERIFICATION</t>
        </is>
      </c>
      <c r="K17" s="8" t="n"/>
      <c r="L17" s="8" t="n"/>
      <c r="M17" s="8" t="n"/>
      <c r="N17" s="8" t="n"/>
      <c r="O17" s="8" t="n"/>
      <c r="P17" s="9">
        <f>P15-P16</f>
        <v/>
      </c>
      <c r="Q17" s="9">
        <f>Q15-Q16</f>
        <v/>
      </c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TOTAL INTERNAL FREIGHT</t>
        </is>
      </c>
      <c r="K19" s="6" t="n"/>
      <c r="L19" s="6" t="n"/>
      <c r="M19" s="6" t="n"/>
      <c r="N19" s="6" t="n"/>
      <c r="O19" s="6" t="n"/>
      <c r="P19" s="7" t="n">
        <v>0</v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TOTAL INSURANCE</t>
        </is>
      </c>
      <c r="K20" s="6" t="n"/>
      <c r="L20" s="6" t="n"/>
      <c r="M20" s="6" t="n"/>
      <c r="N20" s="6" t="n"/>
      <c r="O20" s="6" t="n"/>
      <c r="P20" s="7" t="n">
        <v>0</v>
      </c>
      <c r="Q20" s="7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TOTAL OTHER COST</t>
        </is>
      </c>
      <c r="K21" s="6" t="n"/>
      <c r="L21" s="6" t="n"/>
      <c r="M21" s="6" t="n"/>
      <c r="N21" s="6" t="n"/>
      <c r="O21" s="6" t="n"/>
      <c r="P21" s="7" t="n">
        <v>9.25</v>
      </c>
      <c r="Q21" s="7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TOTAL DEDUCTION</t>
        </is>
      </c>
      <c r="K22" s="6" t="n"/>
      <c r="L22" s="6" t="n"/>
      <c r="M22" s="6" t="n"/>
      <c r="N22" s="6" t="n"/>
      <c r="O22" s="6" t="n"/>
      <c r="P22" s="7" t="n">
        <v>0</v>
      </c>
      <c r="Q22" s="7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ADJUSTMENTS</t>
        </is>
      </c>
      <c r="K23" s="6" t="n"/>
      <c r="L23" s="6" t="n"/>
      <c r="M23" s="6" t="n"/>
      <c r="N23" s="6" t="n"/>
      <c r="O23" s="6" t="n"/>
      <c r="P23" s="7">
        <f>(T2+U2+V2-W2)</f>
        <v/>
      </c>
      <c r="Q23" s="7">
        <f>(T2+U2+V2-W2)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NET TOTAL</t>
        </is>
      </c>
      <c r="K25" s="6" t="n"/>
      <c r="L25" s="6" t="n"/>
      <c r="M25" s="6" t="n"/>
      <c r="N25" s="6" t="n"/>
      <c r="O25" s="6" t="n"/>
      <c r="P25" s="7">
        <f>P15+P23</f>
        <v/>
      </c>
      <c r="Q25" s="7">
        <f>Q15+Q23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inlineStr">
        <is>
          <t>INVOICE TOTAL</t>
        </is>
      </c>
      <c r="K26" s="6" t="n"/>
      <c r="L26" s="6" t="n"/>
      <c r="M26" s="6" t="n"/>
      <c r="N26" s="6" t="n"/>
      <c r="O26" s="6" t="n"/>
      <c r="P26" s="7">
        <f>S2</f>
        <v/>
      </c>
      <c r="Q26" s="7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inlineStr">
        <is>
          <t>VARIANCE CHECK</t>
        </is>
      </c>
      <c r="K28" s="10" t="n"/>
      <c r="L28" s="10" t="n"/>
      <c r="M28" s="10" t="n"/>
      <c r="N28" s="10" t="n"/>
      <c r="O28" s="10" t="n"/>
      <c r="P28" s="11">
        <f>S2-P25</f>
        <v/>
      </c>
      <c r="Q28" s="11">
        <f>S2-Q25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inlineStr">
        <is>
          <t>DUTY ESTIMATION (Classification Cross-Check)</t>
        </is>
      </c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CIF (USD) = InvTotal + Freight + Insurance</t>
        </is>
      </c>
      <c r="K31" s="13" t="n"/>
      <c r="L31" s="13" t="n"/>
      <c r="M31" s="13" t="n"/>
      <c r="N31" s="13" t="n"/>
      <c r="O31" s="13" t="n"/>
      <c r="P31" s="15" t="n">
        <v>141.45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CIF (XCD) = CIF × 2.7169</t>
        </is>
      </c>
      <c r="K32" s="13" t="n"/>
      <c r="L32" s="13" t="n"/>
      <c r="M32" s="13" t="n"/>
      <c r="N32" s="13" t="n"/>
      <c r="O32" s="13" t="n"/>
      <c r="P32" s="15" t="n">
        <v>384.31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CET (weighted avg 20.0%)</t>
        </is>
      </c>
      <c r="K33" s="13" t="n"/>
      <c r="L33" s="13" t="n"/>
      <c r="M33" s="13" t="n"/>
      <c r="N33" s="13" t="n"/>
      <c r="O33" s="13" t="n"/>
      <c r="P33" s="15" t="n">
        <v>76.86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 xml:space="preserve">  └ 33049900: 20% CET (14% of value)</t>
        </is>
      </c>
      <c r="K34" s="13" t="n"/>
      <c r="L34" s="13" t="n"/>
      <c r="M34" s="13" t="n"/>
      <c r="N34" s="13" t="n"/>
      <c r="O34" s="13" t="n"/>
      <c r="P34" s="15" t="n">
        <v>10.6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 xml:space="preserve">  └ 33072000: 20% CET (8% of value)</t>
        </is>
      </c>
      <c r="K35" s="13" t="n"/>
      <c r="L35" s="13" t="n"/>
      <c r="M35" s="13" t="n"/>
      <c r="N35" s="13" t="n"/>
      <c r="O35" s="13" t="n"/>
      <c r="P35" s="15" t="n">
        <v>5.81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4" t="inlineStr">
        <is>
          <t xml:space="preserve">  └ 34013000: 20% CET (12% of value)</t>
        </is>
      </c>
      <c r="K36" s="13" t="n"/>
      <c r="L36" s="13" t="n"/>
      <c r="M36" s="13" t="n"/>
      <c r="N36" s="13" t="n"/>
      <c r="O36" s="13" t="n"/>
      <c r="P36" s="15" t="n">
        <v>9</v>
      </c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4" t="inlineStr">
        <is>
          <t xml:space="preserve">  └ 42029200: 20% CET (29% of value)</t>
        </is>
      </c>
      <c r="K37" s="13" t="n"/>
      <c r="L37" s="13" t="n"/>
      <c r="M37" s="13" t="n"/>
      <c r="N37" s="13" t="n"/>
      <c r="O37" s="13" t="n"/>
      <c r="P37" s="15" t="n">
        <v>22.4</v>
      </c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inlineStr">
        <is>
          <t xml:space="preserve">  └ 61082100: 20% CET (31% of value)</t>
        </is>
      </c>
      <c r="K38" s="13" t="n"/>
      <c r="L38" s="13" t="n"/>
      <c r="M38" s="13" t="n"/>
      <c r="N38" s="13" t="n"/>
      <c r="O38" s="13" t="n"/>
      <c r="P38" s="15" t="n">
        <v>24.12</v>
      </c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inlineStr">
        <is>
          <t xml:space="preserve">  └ 96091010: 20% CET (6% of value)</t>
        </is>
      </c>
      <c r="K39" s="13" t="n"/>
      <c r="L39" s="13" t="n"/>
      <c r="M39" s="13" t="n"/>
      <c r="N39" s="13" t="n"/>
      <c r="O39" s="13" t="n"/>
      <c r="P39" s="15" t="n">
        <v>4.93</v>
      </c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inlineStr">
        <is>
          <t>CSC (6%)</t>
        </is>
      </c>
      <c r="K40" s="13" t="n"/>
      <c r="L40" s="13" t="n"/>
      <c r="M40" s="13" t="n"/>
      <c r="N40" s="13" t="n"/>
      <c r="O40" s="13" t="n"/>
      <c r="P40" s="15" t="n">
        <v>23.06</v>
      </c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4" t="inlineStr">
        <is>
          <t>VAT (15%) on CIF+CET+CSC</t>
        </is>
      </c>
      <c r="K41" s="13" t="n"/>
      <c r="L41" s="13" t="n"/>
      <c r="M41" s="13" t="n"/>
      <c r="N41" s="13" t="n"/>
      <c r="O41" s="13" t="n"/>
      <c r="P41" s="15" t="n">
        <v>72.63</v>
      </c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2" t="inlineStr">
        <is>
          <t>ESTIMATED TOTAL DUTIES</t>
        </is>
      </c>
      <c r="K42" s="16" t="n"/>
      <c r="L42" s="16" t="n"/>
      <c r="M42" s="16" t="n"/>
      <c r="N42" s="16" t="n"/>
      <c r="O42" s="16" t="n"/>
      <c r="P42" s="17" t="n">
        <v>172.55</v>
      </c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4" t="inlineStr">
        <is>
          <t>Effective Duty Rate</t>
        </is>
      </c>
      <c r="K43" s="13" t="n"/>
      <c r="L43" s="13" t="n"/>
      <c r="M43" s="13" t="n"/>
      <c r="N43" s="13" t="n"/>
      <c r="O43" s="13" t="n"/>
      <c r="P43" s="18" t="n">
        <v>0.4489864952772502</v>
      </c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</row>
    <row r="45">
      <c r="A45" s="2" t="inlineStr">
        <is>
          <t>4000-000</t>
        </is>
      </c>
      <c r="B45" s="2" t="n"/>
      <c r="C45" s="2" t="inlineStr">
        <is>
          <t>111-1616806-9805016</t>
        </is>
      </c>
      <c r="D45" s="2" t="n"/>
      <c r="E45" s="2" t="inlineStr">
        <is>
          <t>BODY SPRAYS &amp; DEODORANTS</t>
        </is>
      </c>
      <c r="F45" s="2" t="inlineStr">
        <is>
          <t>33049900</t>
        </is>
      </c>
      <c r="G45" s="2" t="n"/>
      <c r="H45" s="2" t="n"/>
      <c r="I45" s="2" t="inlineStr">
        <is>
          <t>33072000</t>
        </is>
      </c>
      <c r="J45" s="2" t="inlineStr">
        <is>
          <t>8 FL . Oz Glycolic Acid 7 % Exfoliating Toner , Glycolic Acid 7 % Toning Resu... (1 items)</t>
        </is>
      </c>
      <c r="K45" s="2" t="n">
        <v>1</v>
      </c>
      <c r="L45" s="2" t="n"/>
      <c r="M45" s="2" t="n"/>
      <c r="N45" s="2" t="inlineStr">
        <is>
          <t>USD</t>
        </is>
      </c>
      <c r="O45" s="3" t="n">
        <v>9.99</v>
      </c>
      <c r="P45" s="3" t="n">
        <v>9.99</v>
      </c>
      <c r="Q45" s="3">
        <f>O45*K45</f>
        <v/>
      </c>
      <c r="R45" s="3">
        <f>P45-Q45</f>
        <v/>
      </c>
      <c r="S45" s="3" t="n">
        <v>141.45</v>
      </c>
      <c r="T45" s="3" t="n">
        <v>0</v>
      </c>
      <c r="U45" s="3" t="n">
        <v>0</v>
      </c>
      <c r="V45" s="3" t="n">
        <v>9.25</v>
      </c>
      <c r="W45" s="3" t="n">
        <v>0</v>
      </c>
      <c r="X45" s="2" t="n"/>
      <c r="Y45" s="2" t="n"/>
      <c r="Z45" s="2" t="inlineStr">
        <is>
          <t>AMAZON</t>
        </is>
      </c>
      <c r="AA45" s="2" t="inlineStr">
        <is>
          <t>Amazon.com</t>
        </is>
      </c>
      <c r="AB45" s="2" t="inlineStr">
        <is>
          <t>410 Terry Avenue North, Seattle, WA 98109</t>
        </is>
      </c>
      <c r="AC45" s="2" t="inlineStr">
        <is>
          <t>US</t>
        </is>
      </c>
      <c r="AD45" s="2" t="n"/>
      <c r="AE45" s="2" t="n"/>
      <c r="AF45" s="2" t="n"/>
      <c r="AG45" s="2" t="n"/>
      <c r="AH45" s="2" t="n"/>
      <c r="AI45" s="2" t="n"/>
      <c r="AJ45" s="2" t="n"/>
      <c r="AK45" s="2" t="inlineStr">
        <is>
          <t>33049900</t>
        </is>
      </c>
    </row>
    <row r="46">
      <c r="A46" s="4" t="n"/>
      <c r="B46" s="4" t="n"/>
      <c r="C46" s="4" t="n"/>
      <c r="D46" s="4" t="n"/>
      <c r="E46" s="4" t="n"/>
      <c r="F46" s="4" t="inlineStr">
        <is>
          <t>33049900</t>
        </is>
      </c>
      <c r="G46" s="4" t="n"/>
      <c r="H46" s="4" t="n"/>
      <c r="I46" s="4" t="inlineStr">
        <is>
          <t>AMZ-1</t>
        </is>
      </c>
      <c r="J46" s="4" t="inlineStr">
        <is>
          <t>8 FL . Oz Glycolic Acid 7 % Exfoliating Toner , Glycolic Acid 7 % Toning Resu...</t>
        </is>
      </c>
      <c r="K46" s="4" t="n">
        <v>1</v>
      </c>
      <c r="L46" s="4" t="n"/>
      <c r="M46" s="4" t="n"/>
      <c r="N46" s="4" t="inlineStr">
        <is>
          <t>USD</t>
        </is>
      </c>
      <c r="O46" s="5" t="n">
        <v>9.99</v>
      </c>
      <c r="P46" s="5" t="n">
        <v>9.99</v>
      </c>
      <c r="Q46" s="5">
        <f>O46*K46</f>
        <v/>
      </c>
      <c r="R46" s="5">
        <f>P46-Q46</f>
        <v/>
      </c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inlineStr">
        <is>
          <t>33049900</t>
        </is>
      </c>
    </row>
    <row r="47">
      <c r="A47" s="2" t="n"/>
      <c r="B47" s="2" t="n"/>
      <c r="C47" s="2" t="inlineStr">
        <is>
          <t>111-1616806-9805016</t>
        </is>
      </c>
      <c r="D47" s="2" t="n"/>
      <c r="E47" s="2" t="inlineStr">
        <is>
          <t>Of cotton</t>
        </is>
      </c>
      <c r="F47" s="2" t="inlineStr">
        <is>
          <t>61071100</t>
        </is>
      </c>
      <c r="G47" s="2" t="n"/>
      <c r="H47" s="2" t="n"/>
      <c r="I47" s="2" t="inlineStr">
        <is>
          <t>61071100</t>
        </is>
      </c>
      <c r="J47" s="2" t="inlineStr">
        <is>
          <t>Hanes Boys ' and Toddler Underwear , Comfort Flex and ComfortSoft Boxer Brief... (+1 more) (2 items)</t>
        </is>
      </c>
      <c r="K47" s="2" t="n">
        <v>2</v>
      </c>
      <c r="L47" s="2" t="n"/>
      <c r="M47" s="2" t="n"/>
      <c r="N47" s="2" t="inlineStr">
        <is>
          <t>USD</t>
        </is>
      </c>
      <c r="O47" s="3" t="n">
        <v>20.745</v>
      </c>
      <c r="P47" s="3" t="n">
        <v>41.48999999999999</v>
      </c>
      <c r="Q47" s="3">
        <f>O47*K47</f>
        <v/>
      </c>
      <c r="R47" s="3">
        <f>P47-Q47</f>
        <v/>
      </c>
      <c r="S47" s="3" t="n"/>
      <c r="T47" s="3" t="n"/>
      <c r="U47" s="3" t="n"/>
      <c r="V47" s="3" t="n"/>
      <c r="W47" s="3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inlineStr">
        <is>
          <t>61071100</t>
        </is>
      </c>
    </row>
    <row r="48">
      <c r="A48" s="4" t="n"/>
      <c r="B48" s="4" t="n"/>
      <c r="C48" s="4" t="n"/>
      <c r="D48" s="4" t="n"/>
      <c r="E48" s="4" t="n"/>
      <c r="F48" s="4" t="inlineStr">
        <is>
          <t>61071100</t>
        </is>
      </c>
      <c r="G48" s="4" t="n"/>
      <c r="H48" s="4" t="n"/>
      <c r="I48" s="4" t="inlineStr">
        <is>
          <t>AMZ-2</t>
        </is>
      </c>
      <c r="J48" s="4" t="inlineStr">
        <is>
          <t>Hanes Boys ' and Toddler Underwear , Comfort Flex and ComfortSoft Boxer Brief...</t>
        </is>
      </c>
      <c r="K48" s="4" t="n">
        <v>1</v>
      </c>
      <c r="L48" s="4" t="n"/>
      <c r="M48" s="4" t="n"/>
      <c r="N48" s="4" t="inlineStr">
        <is>
          <t>USD</t>
        </is>
      </c>
      <c r="O48" s="5" t="n">
        <v>18.49</v>
      </c>
      <c r="P48" s="5" t="n">
        <v>18.49</v>
      </c>
      <c r="Q48" s="5">
        <f>O48*K48</f>
        <v/>
      </c>
      <c r="R48" s="5">
        <f>P48-Q48</f>
        <v/>
      </c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</row>
    <row r="49">
      <c r="A49" s="4" t="n"/>
      <c r="B49" s="4" t="n"/>
      <c r="C49" s="4" t="n"/>
      <c r="D49" s="4" t="n"/>
      <c r="E49" s="4" t="n"/>
      <c r="F49" s="4" t="inlineStr">
        <is>
          <t>61071100</t>
        </is>
      </c>
      <c r="G49" s="4" t="n"/>
      <c r="H49" s="4" t="n"/>
      <c r="I49" s="4" t="inlineStr">
        <is>
          <t>AMZ-6</t>
        </is>
      </c>
      <c r="J49" s="4" t="inlineStr">
        <is>
          <t>Hanes Boys ’ Tank Undershirt , EcoSmart Cotton Shirt , Multiple Packs Availab...</t>
        </is>
      </c>
      <c r="K49" s="4" t="n">
        <v>1</v>
      </c>
      <c r="L49" s="4" t="n"/>
      <c r="M49" s="4" t="n"/>
      <c r="N49" s="4" t="inlineStr">
        <is>
          <t>USD</t>
        </is>
      </c>
      <c r="O49" s="5" t="n">
        <v>23</v>
      </c>
      <c r="P49" s="5" t="n">
        <v>23</v>
      </c>
      <c r="Q49" s="5">
        <f>O49*K49</f>
        <v/>
      </c>
      <c r="R49" s="5">
        <f>P49-Q49</f>
        <v/>
      </c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</row>
    <row r="50">
      <c r="A50" s="2" t="n"/>
      <c r="B50" s="2" t="n"/>
      <c r="C50" s="2" t="inlineStr">
        <is>
          <t>111-1616806-9805016</t>
        </is>
      </c>
      <c r="D50" s="2" t="n"/>
      <c r="E50" s="2" t="inlineStr">
        <is>
          <t>SOAP &amp; BODY WASH</t>
        </is>
      </c>
      <c r="F50" s="2" t="inlineStr">
        <is>
          <t>34013000</t>
        </is>
      </c>
      <c r="G50" s="2" t="n"/>
      <c r="H50" s="2" t="n"/>
      <c r="I50" s="2" t="inlineStr">
        <is>
          <t>34013000</t>
        </is>
      </c>
      <c r="J50" s="2" t="inlineStr">
        <is>
          <t>CeraVe Foaming Facial CleanserDaily Face Wash for Oily Skin with Hyaluronic A... (1 items)</t>
        </is>
      </c>
      <c r="K50" s="2" t="n">
        <v>1</v>
      </c>
      <c r="L50" s="2" t="n"/>
      <c r="M50" s="2" t="n"/>
      <c r="N50" s="2" t="inlineStr">
        <is>
          <t>USD</t>
        </is>
      </c>
      <c r="O50" s="3" t="n">
        <v>15.48</v>
      </c>
      <c r="P50" s="3" t="n">
        <v>15.48</v>
      </c>
      <c r="Q50" s="3">
        <f>O50*K50</f>
        <v/>
      </c>
      <c r="R50" s="3">
        <f>P50-Q50</f>
        <v/>
      </c>
      <c r="S50" s="3" t="n"/>
      <c r="T50" s="3" t="n"/>
      <c r="U50" s="3" t="n"/>
      <c r="V50" s="3" t="n"/>
      <c r="W50" s="3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inlineStr">
        <is>
          <t>34013000</t>
        </is>
      </c>
    </row>
    <row r="51">
      <c r="A51" s="4" t="n"/>
      <c r="B51" s="4" t="n"/>
      <c r="C51" s="4" t="n"/>
      <c r="D51" s="4" t="n"/>
      <c r="E51" s="4" t="n"/>
      <c r="F51" s="4" t="inlineStr">
        <is>
          <t>34013000</t>
        </is>
      </c>
      <c r="G51" s="4" t="n"/>
      <c r="H51" s="4" t="n"/>
      <c r="I51" s="4" t="inlineStr">
        <is>
          <t>AMZ-3</t>
        </is>
      </c>
      <c r="J51" s="4" t="inlineStr">
        <is>
          <t>CeraVe Foaming Facial CleanserDaily Face Wash for Oily Skin with Hyaluronic A...</t>
        </is>
      </c>
      <c r="K51" s="4" t="n">
        <v>1</v>
      </c>
      <c r="L51" s="4" t="n"/>
      <c r="M51" s="4" t="n"/>
      <c r="N51" s="4" t="inlineStr">
        <is>
          <t>USD</t>
        </is>
      </c>
      <c r="O51" s="5" t="n">
        <v>15.48</v>
      </c>
      <c r="P51" s="5" t="n">
        <v>15.48</v>
      </c>
      <c r="Q51" s="5">
        <f>O51*K51</f>
        <v/>
      </c>
      <c r="R51" s="5">
        <f>P51-Q51</f>
        <v/>
      </c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</row>
    <row r="52">
      <c r="A52" s="2" t="n"/>
      <c r="B52" s="2" t="n"/>
      <c r="C52" s="2" t="inlineStr">
        <is>
          <t>111-1616806-9805016</t>
        </is>
      </c>
      <c r="D52" s="2" t="n"/>
      <c r="E52" s="2" t="inlineStr">
        <is>
          <t>Writing or drawing pencils</t>
        </is>
      </c>
      <c r="F52" s="2" t="inlineStr">
        <is>
          <t>96091010</t>
        </is>
      </c>
      <c r="G52" s="2" t="n"/>
      <c r="H52" s="2" t="n"/>
      <c r="I52" s="2" t="inlineStr">
        <is>
          <t>96091010</t>
        </is>
      </c>
      <c r="J52" s="2" t="inlineStr">
        <is>
          <t>V - Opitos Wood - Cased2 HB Pencils , 50 Pack Pre - Sharpened Pencils with To... (1 items)</t>
        </is>
      </c>
      <c r="K52" s="2" t="n">
        <v>1</v>
      </c>
      <c r="L52" s="2" t="n"/>
      <c r="M52" s="2" t="n"/>
      <c r="N52" s="2" t="inlineStr">
        <is>
          <t>USD</t>
        </is>
      </c>
      <c r="O52" s="3" t="n">
        <v>8.48</v>
      </c>
      <c r="P52" s="3" t="n">
        <v>8.48</v>
      </c>
      <c r="Q52" s="3">
        <f>O52*K52</f>
        <v/>
      </c>
      <c r="R52" s="3">
        <f>P52-Q52</f>
        <v/>
      </c>
      <c r="S52" s="3" t="n"/>
      <c r="T52" s="3" t="n"/>
      <c r="U52" s="3" t="n"/>
      <c r="V52" s="3" t="n"/>
      <c r="W52" s="3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inlineStr">
        <is>
          <t>96091010</t>
        </is>
      </c>
    </row>
    <row r="53">
      <c r="A53" s="4" t="n"/>
      <c r="B53" s="4" t="n"/>
      <c r="C53" s="4" t="n"/>
      <c r="D53" s="4" t="n"/>
      <c r="E53" s="4" t="n"/>
      <c r="F53" s="4" t="inlineStr">
        <is>
          <t>96091010</t>
        </is>
      </c>
      <c r="G53" s="4" t="n"/>
      <c r="H53" s="4" t="n"/>
      <c r="I53" s="4" t="inlineStr">
        <is>
          <t>AMZ-4</t>
        </is>
      </c>
      <c r="J53" s="4" t="inlineStr">
        <is>
          <t>V - Opitos Wood - Cased2 HB Pencils , 50 Pack Pre - Sharpened Pencils with To...</t>
        </is>
      </c>
      <c r="K53" s="4" t="n">
        <v>1</v>
      </c>
      <c r="L53" s="4" t="n"/>
      <c r="M53" s="4" t="n"/>
      <c r="N53" s="4" t="inlineStr">
        <is>
          <t>USD</t>
        </is>
      </c>
      <c r="O53" s="5" t="n">
        <v>8.48</v>
      </c>
      <c r="P53" s="5" t="n">
        <v>8.48</v>
      </c>
      <c r="Q53" s="5">
        <f>O53*K53</f>
        <v/>
      </c>
      <c r="R53" s="5">
        <f>P53-Q53</f>
        <v/>
      </c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</row>
    <row r="54">
      <c r="A54" s="2" t="n"/>
      <c r="B54" s="2" t="n"/>
      <c r="C54" s="2" t="inlineStr">
        <is>
          <t>111-1616806-9805016</t>
        </is>
      </c>
      <c r="D54" s="2" t="n"/>
      <c r="E54" s="2" t="inlineStr">
        <is>
          <t>LIP CARE</t>
        </is>
      </c>
      <c r="F54" s="2" t="inlineStr">
        <is>
          <t>33049900</t>
        </is>
      </c>
      <c r="G54" s="2" t="n"/>
      <c r="H54" s="2" t="n"/>
      <c r="I54" s="2" t="inlineStr">
        <is>
          <t>33049900</t>
        </is>
      </c>
      <c r="J54" s="2" t="inlineStr">
        <is>
          <t>CeraVe Vitamin C Serum with Hyaluronic AcidSkin Brightening Serum for Face wi... (1 items)</t>
        </is>
      </c>
      <c r="K54" s="2" t="n">
        <v>1</v>
      </c>
      <c r="L54" s="2" t="n"/>
      <c r="M54" s="2" t="n"/>
      <c r="N54" s="2" t="inlineStr">
        <is>
          <t>USD</t>
        </is>
      </c>
      <c r="O54" s="3" t="n">
        <v>18.24</v>
      </c>
      <c r="P54" s="3" t="n">
        <v>18.24</v>
      </c>
      <c r="Q54" s="3">
        <f>O54*K54</f>
        <v/>
      </c>
      <c r="R54" s="3">
        <f>P54-Q54</f>
        <v/>
      </c>
      <c r="S54" s="3" t="n"/>
      <c r="T54" s="3" t="n"/>
      <c r="U54" s="3" t="n"/>
      <c r="V54" s="3" t="n"/>
      <c r="W54" s="3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inlineStr">
        <is>
          <t>33049900</t>
        </is>
      </c>
    </row>
    <row r="55">
      <c r="A55" s="4" t="n"/>
      <c r="B55" s="4" t="n"/>
      <c r="C55" s="4" t="n"/>
      <c r="D55" s="4" t="n"/>
      <c r="E55" s="4" t="n"/>
      <c r="F55" s="4" t="inlineStr">
        <is>
          <t>33049900</t>
        </is>
      </c>
      <c r="G55" s="4" t="n"/>
      <c r="H55" s="4" t="n"/>
      <c r="I55" s="4" t="inlineStr">
        <is>
          <t>AMZ-5</t>
        </is>
      </c>
      <c r="J55" s="4" t="inlineStr">
        <is>
          <t>CeraVe Vitamin C Serum with Hyaluronic AcidSkin Brightening Serum for Face wi...</t>
        </is>
      </c>
      <c r="K55" s="4" t="n">
        <v>1</v>
      </c>
      <c r="L55" s="4" t="n"/>
      <c r="M55" s="4" t="n"/>
      <c r="N55" s="4" t="inlineStr">
        <is>
          <t>USD</t>
        </is>
      </c>
      <c r="O55" s="5" t="n">
        <v>18.24</v>
      </c>
      <c r="P55" s="5" t="n">
        <v>18.24</v>
      </c>
      <c r="Q55" s="5">
        <f>O55*K55</f>
        <v/>
      </c>
      <c r="R55" s="5">
        <f>P55-Q55</f>
        <v/>
      </c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</row>
    <row r="56">
      <c r="A56" s="2" t="n"/>
      <c r="B56" s="2" t="n"/>
      <c r="C56" s="2" t="inlineStr">
        <is>
          <t>111-1616806-9805016</t>
        </is>
      </c>
      <c r="D56" s="2" t="n"/>
      <c r="E56" s="2" t="inlineStr">
        <is>
          <t>BAGS &amp; LUGGAGE</t>
        </is>
      </c>
      <c r="F56" s="2" t="inlineStr">
        <is>
          <t>42029200</t>
        </is>
      </c>
      <c r="G56" s="2" t="n"/>
      <c r="H56" s="2" t="n"/>
      <c r="I56" s="2" t="inlineStr">
        <is>
          <t>42029200</t>
        </is>
      </c>
      <c r="J56" s="2" t="inlineStr">
        <is>
          <t>adidas Originals Originals Trefoil Pocket Backpack , Black , One Size (1 items)</t>
        </is>
      </c>
      <c r="K56" s="2" t="n">
        <v>1</v>
      </c>
      <c r="L56" s="2" t="n"/>
      <c r="M56" s="2" t="n"/>
      <c r="N56" s="2" t="inlineStr">
        <is>
          <t>USD</t>
        </is>
      </c>
      <c r="O56" s="3" t="n">
        <v>38.52</v>
      </c>
      <c r="P56" s="3" t="n">
        <v>38.52</v>
      </c>
      <c r="Q56" s="3">
        <f>O56*K56</f>
        <v/>
      </c>
      <c r="R56" s="3">
        <f>P56-Q56</f>
        <v/>
      </c>
      <c r="S56" s="3" t="n"/>
      <c r="T56" s="3" t="n"/>
      <c r="U56" s="3" t="n"/>
      <c r="V56" s="3" t="n"/>
      <c r="W56" s="3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inlineStr">
        <is>
          <t>42029200</t>
        </is>
      </c>
    </row>
    <row r="57">
      <c r="A57" s="4" t="n"/>
      <c r="B57" s="4" t="n"/>
      <c r="C57" s="4" t="n"/>
      <c r="D57" s="4" t="n"/>
      <c r="E57" s="4" t="n"/>
      <c r="F57" s="4" t="inlineStr">
        <is>
          <t>42029200</t>
        </is>
      </c>
      <c r="G57" s="4" t="n"/>
      <c r="H57" s="4" t="n"/>
      <c r="I57" s="4" t="inlineStr">
        <is>
          <t>AMZ-7</t>
        </is>
      </c>
      <c r="J57" s="4" t="inlineStr">
        <is>
          <t>adidas Originals Originals Trefoil Pocket Backpack , Black , One Size</t>
        </is>
      </c>
      <c r="K57" s="4" t="n">
        <v>1</v>
      </c>
      <c r="L57" s="4" t="n"/>
      <c r="M57" s="4" t="n"/>
      <c r="N57" s="4" t="inlineStr">
        <is>
          <t>USD</t>
        </is>
      </c>
      <c r="O57" s="5" t="n">
        <v>38.52</v>
      </c>
      <c r="P57" s="5" t="n">
        <v>38.52</v>
      </c>
      <c r="Q57" s="5">
        <f>O57*K57</f>
        <v/>
      </c>
      <c r="R57" s="5">
        <f>P57-Q57</f>
        <v/>
      </c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inlineStr">
        <is>
          <t>SUBTOTAL (GROUPED)</t>
        </is>
      </c>
      <c r="K58" s="6" t="n"/>
      <c r="L58" s="6" t="n"/>
      <c r="M58" s="6" t="n"/>
      <c r="N58" s="6" t="n"/>
      <c r="O58" s="6" t="n"/>
      <c r="P58" s="7">
        <f>P45+P47+P50+P52+P54+P56</f>
        <v/>
      </c>
      <c r="Q58" s="7">
        <f>Q45+Q47+Q50+Q52+Q54+Q56</f>
        <v/>
      </c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inlineStr">
        <is>
          <t>SUBTOTAL (DETAILS)</t>
        </is>
      </c>
      <c r="K59" s="6" t="n"/>
      <c r="L59" s="6" t="n"/>
      <c r="M59" s="6" t="n"/>
      <c r="N59" s="6" t="n"/>
      <c r="O59" s="6" t="n"/>
      <c r="P59" s="7">
        <f>SUM(P45:P57)-P58</f>
        <v/>
      </c>
      <c r="Q59" s="7">
        <f>SUM(Q45:Q57)-Q58</f>
        <v/>
      </c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inlineStr">
        <is>
          <t>GROUP VERIFICATION</t>
        </is>
      </c>
      <c r="K60" s="8" t="n"/>
      <c r="L60" s="8" t="n"/>
      <c r="M60" s="8" t="n"/>
      <c r="N60" s="8" t="n"/>
      <c r="O60" s="8" t="n"/>
      <c r="P60" s="9">
        <f>P58-P59</f>
        <v/>
      </c>
      <c r="Q60" s="9">
        <f>Q58-Q59</f>
        <v/>
      </c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inlineStr">
        <is>
          <t>TOTAL INTERNAL FREIGHT</t>
        </is>
      </c>
      <c r="K62" s="6" t="n"/>
      <c r="L62" s="6" t="n"/>
      <c r="M62" s="6" t="n"/>
      <c r="N62" s="6" t="n"/>
      <c r="O62" s="6" t="n"/>
      <c r="P62" s="7" t="n">
        <v>0</v>
      </c>
      <c r="Q62" s="7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inlineStr">
        <is>
          <t>TOTAL INSURANCE</t>
        </is>
      </c>
      <c r="K63" s="6" t="n"/>
      <c r="L63" s="6" t="n"/>
      <c r="M63" s="6" t="n"/>
      <c r="N63" s="6" t="n"/>
      <c r="O63" s="6" t="n"/>
      <c r="P63" s="7" t="n">
        <v>0</v>
      </c>
      <c r="Q63" s="7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inlineStr">
        <is>
          <t>TOTAL OTHER COST</t>
        </is>
      </c>
      <c r="K64" s="6" t="n"/>
      <c r="L64" s="6" t="n"/>
      <c r="M64" s="6" t="n"/>
      <c r="N64" s="6" t="n"/>
      <c r="O64" s="6" t="n"/>
      <c r="P64" s="7" t="n">
        <v>9.25</v>
      </c>
      <c r="Q64" s="7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inlineStr">
        <is>
          <t>TOTAL DEDUCTION</t>
        </is>
      </c>
      <c r="K65" s="6" t="n"/>
      <c r="L65" s="6" t="n"/>
      <c r="M65" s="6" t="n"/>
      <c r="N65" s="6" t="n"/>
      <c r="O65" s="6" t="n"/>
      <c r="P65" s="7" t="n">
        <v>0</v>
      </c>
      <c r="Q65" s="7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inlineStr">
        <is>
          <t>ADJUSTMENTS</t>
        </is>
      </c>
      <c r="K66" s="6" t="n"/>
      <c r="L66" s="6" t="n"/>
      <c r="M66" s="6" t="n"/>
      <c r="N66" s="6" t="n"/>
      <c r="O66" s="6" t="n"/>
      <c r="P66" s="7">
        <f>(T45+U45+V45-W45)</f>
        <v/>
      </c>
      <c r="Q66" s="7">
        <f>(T45+U45+V45-W45)</f>
        <v/>
      </c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inlineStr">
        <is>
          <t>NET TOTAL</t>
        </is>
      </c>
      <c r="K68" s="6" t="n"/>
      <c r="L68" s="6" t="n"/>
      <c r="M68" s="6" t="n"/>
      <c r="N68" s="6" t="n"/>
      <c r="O68" s="6" t="n"/>
      <c r="P68" s="7">
        <f>P58+P66</f>
        <v/>
      </c>
      <c r="Q68" s="7">
        <f>Q58+Q66</f>
        <v/>
      </c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inlineStr">
        <is>
          <t>INVOICE TOTAL</t>
        </is>
      </c>
      <c r="K69" s="6" t="n"/>
      <c r="L69" s="6" t="n"/>
      <c r="M69" s="6" t="n"/>
      <c r="N69" s="6" t="n"/>
      <c r="O69" s="6" t="n"/>
      <c r="P69" s="7">
        <f>S45</f>
        <v/>
      </c>
      <c r="Q69" s="7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inlineStr">
        <is>
          <t>VARIANCE CHECK</t>
        </is>
      </c>
      <c r="K71" s="10" t="n"/>
      <c r="L71" s="10" t="n"/>
      <c r="M71" s="10" t="n"/>
      <c r="N71" s="10" t="n"/>
      <c r="O71" s="10" t="n"/>
      <c r="P71" s="11">
        <f>S45-P68</f>
        <v/>
      </c>
      <c r="Q71" s="11">
        <f>S45-Q68</f>
        <v/>
      </c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inlineStr">
        <is>
          <t>DUTY ESTIMATION (Classification Cross-Check)</t>
        </is>
      </c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4" t="inlineStr">
        <is>
          <t>CIF (USD) = InvTotal + Freight + Insurance</t>
        </is>
      </c>
      <c r="K74" s="13" t="n"/>
      <c r="L74" s="13" t="n"/>
      <c r="M74" s="13" t="n"/>
      <c r="N74" s="13" t="n"/>
      <c r="O74" s="13" t="n"/>
      <c r="P74" s="15" t="n">
        <v>141.45</v>
      </c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4" t="inlineStr">
        <is>
          <t>CIF (XCD) = CIF × 2.7169</t>
        </is>
      </c>
      <c r="K75" s="13" t="n"/>
      <c r="L75" s="13" t="n"/>
      <c r="M75" s="13" t="n"/>
      <c r="N75" s="13" t="n"/>
      <c r="O75" s="13" t="n"/>
      <c r="P75" s="15" t="n">
        <v>384.31</v>
      </c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4" t="inlineStr">
        <is>
          <t>CET (weighted avg 20.0%)</t>
        </is>
      </c>
      <c r="K76" s="13" t="n"/>
      <c r="L76" s="13" t="n"/>
      <c r="M76" s="13" t="n"/>
      <c r="N76" s="13" t="n"/>
      <c r="O76" s="13" t="n"/>
      <c r="P76" s="15" t="n">
        <v>76.86</v>
      </c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4" t="inlineStr">
        <is>
          <t xml:space="preserve">  └ 33049900: 20% CET (14% of value)</t>
        </is>
      </c>
      <c r="K77" s="13" t="n"/>
      <c r="L77" s="13" t="n"/>
      <c r="M77" s="13" t="n"/>
      <c r="N77" s="13" t="n"/>
      <c r="O77" s="13" t="n"/>
      <c r="P77" s="15" t="n">
        <v>10.6</v>
      </c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4" t="inlineStr">
        <is>
          <t xml:space="preserve">  └ 33072000: 20% CET (8% of value)</t>
        </is>
      </c>
      <c r="K78" s="13" t="n"/>
      <c r="L78" s="13" t="n"/>
      <c r="M78" s="13" t="n"/>
      <c r="N78" s="13" t="n"/>
      <c r="O78" s="13" t="n"/>
      <c r="P78" s="15" t="n">
        <v>5.81</v>
      </c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4" t="inlineStr">
        <is>
          <t xml:space="preserve">  └ 34013000: 20% CET (12% of value)</t>
        </is>
      </c>
      <c r="K79" s="13" t="n"/>
      <c r="L79" s="13" t="n"/>
      <c r="M79" s="13" t="n"/>
      <c r="N79" s="13" t="n"/>
      <c r="O79" s="13" t="n"/>
      <c r="P79" s="15" t="n">
        <v>9</v>
      </c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4" t="inlineStr">
        <is>
          <t xml:space="preserve">  └ 42029200: 20% CET (29% of value)</t>
        </is>
      </c>
      <c r="K80" s="13" t="n"/>
      <c r="L80" s="13" t="n"/>
      <c r="M80" s="13" t="n"/>
      <c r="N80" s="13" t="n"/>
      <c r="O80" s="13" t="n"/>
      <c r="P80" s="15" t="n">
        <v>22.4</v>
      </c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4" t="inlineStr">
        <is>
          <t xml:space="preserve">  └ 61071100: 20% CET (31% of value)</t>
        </is>
      </c>
      <c r="K81" s="13" t="n"/>
      <c r="L81" s="13" t="n"/>
      <c r="M81" s="13" t="n"/>
      <c r="N81" s="13" t="n"/>
      <c r="O81" s="13" t="n"/>
      <c r="P81" s="15" t="n">
        <v>24.12</v>
      </c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4" t="inlineStr">
        <is>
          <t xml:space="preserve">  └ 96091010: 20% CET (6% of value)</t>
        </is>
      </c>
      <c r="K82" s="13" t="n"/>
      <c r="L82" s="13" t="n"/>
      <c r="M82" s="13" t="n"/>
      <c r="N82" s="13" t="n"/>
      <c r="O82" s="13" t="n"/>
      <c r="P82" s="15" t="n">
        <v>4.93</v>
      </c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4" t="inlineStr">
        <is>
          <t>CSC (6%)</t>
        </is>
      </c>
      <c r="K83" s="13" t="n"/>
      <c r="L83" s="13" t="n"/>
      <c r="M83" s="13" t="n"/>
      <c r="N83" s="13" t="n"/>
      <c r="O83" s="13" t="n"/>
      <c r="P83" s="15" t="n">
        <v>23.06</v>
      </c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4" t="inlineStr">
        <is>
          <t>VAT (15%) on CIF+CET+CSC</t>
        </is>
      </c>
      <c r="K84" s="13" t="n"/>
      <c r="L84" s="13" t="n"/>
      <c r="M84" s="13" t="n"/>
      <c r="N84" s="13" t="n"/>
      <c r="O84" s="13" t="n"/>
      <c r="P84" s="15" t="n">
        <v>72.63</v>
      </c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  <c r="AF84" s="13" t="n"/>
      <c r="AG84" s="13" t="n"/>
      <c r="AH84" s="13" t="n"/>
      <c r="AI84" s="13" t="n"/>
      <c r="AJ84" s="13" t="n"/>
      <c r="AK84" s="13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2" t="inlineStr">
        <is>
          <t>ESTIMATED TOTAL DUTIES</t>
        </is>
      </c>
      <c r="K85" s="16" t="n"/>
      <c r="L85" s="16" t="n"/>
      <c r="M85" s="16" t="n"/>
      <c r="N85" s="16" t="n"/>
      <c r="O85" s="16" t="n"/>
      <c r="P85" s="17" t="n">
        <v>172.55</v>
      </c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6" t="n"/>
      <c r="AJ85" s="16" t="n"/>
      <c r="AK85" s="16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4" t="inlineStr">
        <is>
          <t>Effective Duty Rate</t>
        </is>
      </c>
      <c r="K86" s="13" t="n"/>
      <c r="L86" s="13" t="n"/>
      <c r="M86" s="13" t="n"/>
      <c r="N86" s="13" t="n"/>
      <c r="O86" s="13" t="n"/>
      <c r="P86" s="18" t="n">
        <v>0.4489864952772502</v>
      </c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  <c r="AF86" s="13" t="n"/>
      <c r="AG86" s="13" t="n"/>
      <c r="AH86" s="13" t="n"/>
      <c r="AI86" s="13" t="n"/>
      <c r="AJ86" s="13" t="n"/>
      <c r="AK86" s="13" t="n"/>
    </row>
    <row r="88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  <c r="AI88" s="20" t="n"/>
      <c r="AJ88" s="20" t="n"/>
      <c r="AK88" s="20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1" t="inlineStr">
        <is>
          <t>═══ COMBINED GRAND SUMMARY ═══</t>
        </is>
      </c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</row>
    <row r="90">
      <c r="L90" s="22" t="inlineStr">
        <is>
          <t>Invoice 111-1616806-9805016</t>
        </is>
      </c>
      <c r="P90" s="23" t="n">
        <v>1089.62</v>
      </c>
      <c r="Q90" s="24" t="n">
        <v>-948.17</v>
      </c>
    </row>
    <row r="91">
      <c r="L91" s="22" t="inlineStr">
        <is>
          <t>Invoice 111-1616806-9805016</t>
        </is>
      </c>
      <c r="P91" s="23" t="n">
        <v>1089.62</v>
      </c>
      <c r="Q91" s="24" t="n">
        <v>-948.17</v>
      </c>
    </row>
    <row r="93">
      <c r="L93" s="25" t="inlineStr">
        <is>
          <t>GRAND TOTAL</t>
        </is>
      </c>
      <c r="P93" s="26" t="n">
        <v>2179.24</v>
      </c>
    </row>
    <row r="94">
      <c r="L94" s="27" t="inlineStr">
        <is>
          <t>GRAND VARIANCE CHECK</t>
        </is>
      </c>
      <c r="P94" s="24" t="n">
        <v>-1896.34</v>
      </c>
    </row>
    <row r="95">
      <c r="L95" s="28" t="inlineStr">
        <is>
          <t>Combined 2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29" t="inlineStr">
        <is>
          <t>PDF File</t>
        </is>
      </c>
      <c r="B1" s="29" t="inlineStr">
        <is>
          <t>Quality Score</t>
        </is>
      </c>
      <c r="C1" s="29" t="inlineStr">
        <is>
          <t>Rating</t>
        </is>
      </c>
      <c r="D1" s="29" t="inlineStr">
        <is>
          <t>Details</t>
        </is>
      </c>
      <c r="E1" s="29" t="inlineStr">
        <is>
          <t>OCR Text (first 2000 chars)</t>
        </is>
      </c>
    </row>
    <row r="2">
      <c r="A2" s="30" t="inlineStr">
        <is>
          <t>111-1616806-9805016.pdf</t>
        </is>
      </c>
      <c r="B2" s="30" t="inlineStr">
        <is>
          <t>100/100</t>
        </is>
      </c>
      <c r="C2" s="30" t="inlineStr">
        <is>
          <t>GOOD</t>
        </is>
      </c>
      <c r="D2" s="30" t="inlineStr">
        <is>
          <t>Text: 3582 chars; Prices: 10 ($-sign), 13 (decimal); Total: $141.45; Invoice#: 111-1616806-9805016; Real items: 7/7; Structure words: 8/12</t>
        </is>
      </c>
      <c r="E2" s="31" t="inlineStr">
        <is>
          <t>7 / 31 / 24 , 8 : 35 AM Amazon . com - Order 111-1616806-9805016
ama zoneomn
- Final Details for Order # 111-1616806-9805016
Print this page for your records .
Order Placed : July 16 , 2024
Amazon . com order number : 111-1616806-9805016
Order Total : USD 141.45
Shipped on July 19 , 2024
Items Ordered Price
1 of: 8 FL . Oz Glycolic Acid 7 % Exfoliating Toner , Glycolic Acid 7 % Toning Resurfacing Solution , Reduces Skin Blemishes , $9.99
Rejuvenate Your Skin ( 240 ML ) D
Sold by: KOQ - US ( seller profile ) an
Supplied by ; KOQ - US ( seller profile
\ a " Condition : New
Shipping Address :
Rochelle Ragbasingh
10813 NW 30 TH ST BLDG 115
GRE 8479
MIAMI , FL 33172 - 5068
United States
Shipping Speed :
FREE Shipping
Shipped on July 19 , 2024
Items Ordered Price
1 of: Hanes Boys ' and Toddler Underwear , Comfort Flex and ComfortSoft Boxer Briefs , Multiple Packs Available , Solids / Prints $18.49
Assorted - 10 , X - Large
Sold by: Amazon . com Services , Inc
Supplied by: Other
Condition : New
1 of: CeraVe Foaming Facial Cleanser | Daily Face Wash for Oily Skin with Hyaluronic Acid , Ceramides , and Niacinamide | $15.48
Fragrance Free | 16 Fluid Ounce
c Sold by: Amazon . com Services , Inc
» Supplied by: Other
Condition : New
1 of: V - Opitos Wood - Cased # 2 HB Pencils , 50 Pack Pre - Sharpened Pencils with Top Erasers , Bulk Yellow Pencils for School $8.48
Teacher Supplies , Writing , Drawing and Sketching
Sold by: MELAIS ( seller profile
Supplied by: MELAIS ( seller profile
Condition : New
1 of: CeraVe Vitamin C Serum with Hyaluronic Acid | Skin Brightening Serum for Face with 10 % Pure Vitamin C | Fragrance $18.24
Free | 1 Fl . Oz
Sold by: Ace Plaza ( seller profile
Supplied by: Ace Plaza ( seller profile
Condition : New
1 of: Hanes Boys ’ Tank Undershirt , EcoSmart Cotton Shirt , Multiple Packs Available , White - 10 , Medium $23.00
Sold by: Amazon . com Services , Inc
Supplied by: Other gh b ot .
https : / / www . amazon . com / gp / css / summary / print . html ? o</t>
        </is>
      </c>
    </row>
    <row r="3">
      <c r="A3" s="30" t="inlineStr">
        <is>
          <t>HAWB9586702-Manifest_Invoice.pdf</t>
        </is>
      </c>
      <c r="B3" s="30" t="inlineStr">
        <is>
          <t>100/100</t>
        </is>
      </c>
      <c r="C3" s="30" t="inlineStr">
        <is>
          <t>GOOD</t>
        </is>
      </c>
      <c r="D3" s="30" t="inlineStr">
        <is>
          <t>Text: 3597 chars; Prices: 10 ($-sign), 13 (decimal); Total: $141.45; Invoice#: 111-1616806-9805016; Real items: 7/7; Structure words: 8/12</t>
        </is>
      </c>
      <c r="E3" s="31" t="inlineStr">
        <is>
          <t>7 / 31 / 24 , 8 : 35 AM Amazon . com - Order 111-1616806-9805016
s .
ama zoneomn ;
- Final Details for Order # 111-1616806-9805016
Print this page for your records .
Order Placed : July 16 , 2024
Amazon . com order number : 111-1616806-9805016
Order Total : USD 141.45
Shipped on July 19 , 2024
Items Ordered Price
1 of: 8 FL . Oz Glycolic Acid 7 % Exfoliating Toner , Glycolic Acid 7 % Toning Resurfacing Solution , Reduces Skin Blemishes , $9.99
Rejuvenate Your Skin ( 240 ML ) D
Sold by: KOQ - US ( seller profile ) an
Supplied by ; KOQ - US ( seller profile
LG
\ a Condition : New
Shipping Address :
Rochelle Ragbasingh
10813 NW 30 TH ST BLDG 115
GRE 8479
MIAMI , FL 33172 - 5068
United States
Shipping Speed :
FREE Shipping
Shipped on July 19 , 2024
Items Ordered Price
1 of: Hanes Boys ' and Toddler Underwear , Comfort Flex and ComfortSoft Boxer Briefs , Multiple Packs Available , Solids / Prints $18.49
Assorted - 10 , X - Large
Sold by: Amazon . com Services , Inc
Supplied by: Other
Condition : New
1 of: CeraVe Foaming Facial Cleanser | Daily Face Wash for Oily Skin with Hyaluronic Acid , Ceramides , and Niacinamide | $15.48
Fragrance Free | 16 Fluid Ounce
c f Sold by: Amazon . com Services , Inc
» Supplied by: Other
i .
~ Condition : New
1 of: V - Opitos Wood - Cased # 2 HB Pencils , 50 Pack Pre - Sharpened Pencils with Top Erasers , Bulk Yellow Pencils for School $8.48
Teacher Supplies , Writing , Drawing and Sketching
Sold by: MELAIS ( seller profile
Supplied by: MELAIS ( seller profile
Condition : New
1 of: CeraVe Vitamin C Serum with Hyaluronic Acid | Skin Brightening Serum for Face with 10 % Pure Vitamin C | Fragrance $18.24
Free | 1 Fl . Oz
Sold by: Ace Plaza ( seller profile
Supplied by: Ace Plaza ( seller profile
Condition : New
1 of: Hanes Boys ’ Tank Undershirt , EcoSmart Cotton Shirt , Multiple Packs Available , White - 10 , Medium $23.00
Sold by: Amazon . com Services , Inc A
Supplied by: Other gh b
4
https : / / www . amazon . com / gp / css / summary / 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2026-04-26T23:40:28Z</dcterms:created>
  <dcterms:modified xmlns:dcterms="http://purl.org/dc/terms/" xmlns:xsi="http://www.w3.org/2001/XMLSchema-instance" xsi:type="dcterms:W3CDTF">2026-04-26T23:40:43Z</dcterms:modified>
</cp:coreProperties>
</file>