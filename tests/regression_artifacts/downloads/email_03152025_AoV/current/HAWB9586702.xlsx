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8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1"/>
    </font>
    <font>
      <b val="1"/>
      <color rgb="001F4E79"/>
      <sz val="10"/>
    </font>
    <font>
      <color rgb="001F4E79"/>
      <sz val="10"/>
    </font>
    <font>
      <b val="1"/>
      <color rgb="00375623"/>
      <sz val="10"/>
    </font>
    <font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  <xf numFmtId="4" fontId="2" fillId="0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4" fillId="3" borderId="1" pivotButton="0" quotePrefix="0" xfId="0"/>
    <xf numFmtId="0" fontId="0" fillId="0" borderId="1" pivotButton="0" quotePrefix="0" xfId="0"/>
    <xf numFmtId="0" fontId="5" fillId="0" borderId="1" pivotButton="0" quotePrefix="0" xfId="0"/>
    <xf numFmtId="164" fontId="4" fillId="0" borderId="1" pivotButton="0" quotePrefix="0" xfId="0"/>
    <xf numFmtId="0" fontId="0" fillId="3" borderId="1" pivotButton="0" quotePrefix="0" xfId="0"/>
    <xf numFmtId="164" fontId="4" fillId="3" borderId="1" pivotButton="0" quotePrefix="0" xfId="0"/>
    <xf numFmtId="165" fontId="4" fillId="0" borderId="1" pivotButton="0" quotePrefix="0" xfId="0"/>
    <xf numFmtId="0" fontId="6" fillId="4" borderId="1" pivotButton="0" quotePrefix="0" xfId="0"/>
    <xf numFmtId="4" fontId="6" fillId="4" borderId="1" pivotButton="0" quotePrefix="0" xfId="0"/>
    <xf numFmtId="0" fontId="7" fillId="0" borderId="1" pivotButton="0" quotePrefix="0" xfId="0"/>
    <xf numFmtId="4" fontId="7" fillId="0" borderId="1" pivotButton="0" quotePrefix="0" xfId="0"/>
    <xf numFmtId="0" fontId="6" fillId="0" borderId="1" pivotButton="0" quotePrefix="0" xfId="0"/>
    <xf numFmtId="4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15" customWidth="1" min="5" max="5"/>
    <col width="12" customWidth="1" min="6" max="6"/>
    <col width="22" customWidth="1" min="7" max="7"/>
    <col width="40" customWidth="1" min="8" max="8"/>
    <col width="18" customWidth="1" min="9" max="9"/>
    <col width="45" customWidth="1" min="10" max="10"/>
    <col width="10" customWidth="1" min="11" max="11"/>
    <col width="12" customWidth="1" min="12" max="12"/>
    <col width="8" customWidth="1" min="13" max="13"/>
    <col width="8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4" customWidth="1" min="26" max="26"/>
    <col width="28" customWidth="1" min="27" max="27"/>
    <col width="40" customWidth="1" min="28" max="28"/>
    <col width="12" customWidth="1" min="29" max="29"/>
    <col width="12" customWidth="1" min="30" max="30"/>
    <col width="18" customWidth="1" min="31" max="31"/>
    <col width="16" customWidth="1" min="32" max="32"/>
    <col width="10" customWidth="1" min="33" max="33"/>
    <col width="10" customWidth="1" min="34" max="34"/>
    <col width="14" customWidth="1" min="35" max="35"/>
    <col width="14" customWidth="1" min="36" max="36"/>
    <col width="12" customWidth="1" min="37" max="37"/>
  </cols>
  <sheetData>
    <row r="1">
      <c r="A1" s="1" t="inlineStr">
        <is>
          <t>Document Type</t>
        </is>
      </c>
      <c r="B1" s="1" t="inlineStr">
        <is>
          <t>PO Number</t>
        </is>
      </c>
      <c r="C1" s="1" t="inlineStr">
        <is>
          <t>Supplier Invoice#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TariffCode</t>
        </is>
      </c>
      <c r="G1" s="1" t="inlineStr">
        <is>
          <t>PO Item Number</t>
        </is>
      </c>
      <c r="H1" s="1" t="inlineStr">
        <is>
          <t>PO Item Description</t>
        </is>
      </c>
      <c r="I1" s="1" t="inlineStr">
        <is>
          <t>Supplier Item Number</t>
        </is>
      </c>
      <c r="J1" s="1" t="inlineStr">
        <is>
          <t>Supplier Item Description</t>
        </is>
      </c>
      <c r="K1" s="1" t="inlineStr">
        <is>
          <t>Quantity</t>
        </is>
      </c>
      <c r="L1" s="1" t="inlineStr">
        <is>
          <t>Per Unit</t>
        </is>
      </c>
      <c r="M1" s="1" t="inlineStr">
        <is>
          <t>UNITS</t>
        </is>
      </c>
      <c r="N1" s="1" t="inlineStr">
        <is>
          <t>Currency</t>
        </is>
      </c>
      <c r="O1" s="1" t="inlineStr">
        <is>
          <t>Cost</t>
        </is>
      </c>
      <c r="P1" s="1" t="inlineStr">
        <is>
          <t>Total Cost</t>
        </is>
      </c>
      <c r="Q1" s="1" t="inlineStr">
        <is>
          <t>Total</t>
        </is>
      </c>
      <c r="R1" s="1" t="inlineStr">
        <is>
          <t>TotalCost Vs Total</t>
        </is>
      </c>
      <c r="S1" s="1" t="inlineStr">
        <is>
          <t>InvoiceTotal</t>
        </is>
      </c>
      <c r="T1" s="1" t="inlineStr">
        <is>
          <t>Total Internal Freight</t>
        </is>
      </c>
      <c r="U1" s="1" t="inlineStr">
        <is>
          <t>Total Insurance</t>
        </is>
      </c>
      <c r="V1" s="1" t="inlineStr">
        <is>
          <t>Total Other Cost</t>
        </is>
      </c>
      <c r="W1" s="1" t="inlineStr">
        <is>
          <t>Total Deduction</t>
        </is>
      </c>
      <c r="X1" s="1" t="inlineStr">
        <is>
          <t>Packages</t>
        </is>
      </c>
      <c r="Y1" s="1" t="inlineStr">
        <is>
          <t>Warehouse</t>
        </is>
      </c>
      <c r="Z1" s="1" t="inlineStr">
        <is>
          <t>Supplier Code</t>
        </is>
      </c>
      <c r="AA1" s="1" t="inlineStr">
        <is>
          <t>Supplier Name</t>
        </is>
      </c>
      <c r="AB1" s="1" t="inlineStr">
        <is>
          <t>Supplier Address</t>
        </is>
      </c>
      <c r="AC1" s="1" t="inlineStr">
        <is>
          <t>Country Code</t>
        </is>
      </c>
      <c r="AD1" s="1" t="inlineStr">
        <is>
          <t>Instructions</t>
        </is>
      </c>
      <c r="AE1" s="1" t="inlineStr">
        <is>
          <t>Previous Declaration</t>
        </is>
      </c>
      <c r="AF1" s="1" t="inlineStr">
        <is>
          <t>Financial Information</t>
        </is>
      </c>
      <c r="AG1" s="1" t="inlineStr">
        <is>
          <t>Gallons</t>
        </is>
      </c>
      <c r="AH1" s="1" t="inlineStr">
        <is>
          <t>Liters</t>
        </is>
      </c>
      <c r="AI1" s="1" t="inlineStr">
        <is>
          <t>INVTotalCost</t>
        </is>
      </c>
      <c r="AJ1" s="1" t="inlineStr">
        <is>
          <t>POTotalCost</t>
        </is>
      </c>
      <c r="AK1" s="1" t="inlineStr">
        <is>
          <t>GroupBy</t>
        </is>
      </c>
    </row>
    <row r="2">
      <c r="A2" s="2" t="inlineStr">
        <is>
          <t>4000-000</t>
        </is>
      </c>
      <c r="B2" s="2" t="inlineStr"/>
      <c r="C2" s="2" t="inlineStr">
        <is>
          <t>111-1616806-9805016</t>
        </is>
      </c>
      <c r="D2" s="2" t="inlineStr"/>
      <c r="E2" s="2" t="inlineStr">
        <is>
          <t>BODY SPRAYS &amp; DEODORANTS</t>
        </is>
      </c>
      <c r="F2" s="2" t="inlineStr">
        <is>
          <t>33072000</t>
        </is>
      </c>
      <c r="G2" s="2" t="inlineStr"/>
      <c r="H2" s="2" t="inlineStr"/>
      <c r="I2" s="2" t="inlineStr">
        <is>
          <t>AMZ-1</t>
        </is>
      </c>
      <c r="J2" s="2" t="inlineStr">
        <is>
          <t>8 FL . Oz Glycolic Acid 7 % Exfoliating Toner , Glycolic Acid 7 % Toning Resu...</t>
        </is>
      </c>
      <c r="K2" s="2" t="n">
        <v>1</v>
      </c>
      <c r="L2" s="2" t="n"/>
      <c r="M2" s="2" t="inlineStr"/>
      <c r="N2" s="2" t="inlineStr">
        <is>
          <t>USD</t>
        </is>
      </c>
      <c r="O2" s="3" t="n">
        <v>9.99</v>
      </c>
      <c r="P2" s="3" t="n">
        <v>9.99</v>
      </c>
      <c r="Q2" s="3">
        <f>O2*K2</f>
        <v/>
      </c>
      <c r="R2" s="3">
        <f>P2-Q2</f>
        <v/>
      </c>
      <c r="S2" s="3" t="n">
        <v>17.69</v>
      </c>
      <c r="T2" s="3" t="n">
        <v>7</v>
      </c>
      <c r="U2" s="3" t="n">
        <v>0</v>
      </c>
      <c r="V2" s="3" t="n">
        <v>0.7</v>
      </c>
      <c r="W2" s="3" t="n">
        <v>0</v>
      </c>
      <c r="X2" s="2" t="n">
        <v>1</v>
      </c>
      <c r="Y2" s="2" t="n"/>
      <c r="Z2" s="2" t="inlineStr">
        <is>
          <t>AMAZON</t>
        </is>
      </c>
      <c r="AA2" s="2" t="inlineStr">
        <is>
          <t>Amazon.com</t>
        </is>
      </c>
      <c r="AB2" s="2" t="inlineStr">
        <is>
          <t>410 Terry Avenue North, Seattle, WA 98109</t>
        </is>
      </c>
      <c r="AC2" s="2" t="inlineStr">
        <is>
          <t>US</t>
        </is>
      </c>
      <c r="AD2" s="2" t="n"/>
      <c r="AE2" s="2" t="n"/>
      <c r="AF2" s="2" t="n"/>
      <c r="AG2" s="2" t="n"/>
      <c r="AH2" s="2" t="n"/>
      <c r="AI2" s="2" t="n"/>
      <c r="AJ2" s="2" t="n"/>
      <c r="AK2" s="2" t="inlineStr">
        <is>
          <t>33072000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inlineStr">
        <is>
          <t>SUBTOTAL</t>
        </is>
      </c>
      <c r="K3" s="4" t="n"/>
      <c r="L3" s="4" t="n"/>
      <c r="M3" s="4" t="n"/>
      <c r="N3" s="4" t="n"/>
      <c r="O3" s="4" t="n"/>
      <c r="P3" s="5">
        <f>P2</f>
        <v/>
      </c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inlineStr">
        <is>
          <t>ADJUSTMENTS</t>
        </is>
      </c>
      <c r="K4" s="4" t="n"/>
      <c r="L4" s="4" t="n"/>
      <c r="M4" s="4" t="n"/>
      <c r="N4" s="4" t="n"/>
      <c r="O4" s="4" t="n"/>
      <c r="P4" s="5">
        <f>(T2+U2+V2-W2)</f>
        <v/>
      </c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inlineStr">
        <is>
          <t>NET TOTAL</t>
        </is>
      </c>
      <c r="K5" s="4" t="n"/>
      <c r="L5" s="4" t="n"/>
      <c r="M5" s="4" t="n"/>
      <c r="N5" s="4" t="n"/>
      <c r="O5" s="4" t="n"/>
      <c r="P5" s="5">
        <f>(P3+P4)</f>
        <v/>
      </c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inlineStr">
        <is>
          <t>VARIANCE CHECK</t>
        </is>
      </c>
      <c r="K6" s="4" t="n"/>
      <c r="L6" s="4" t="n"/>
      <c r="M6" s="4" t="n"/>
      <c r="N6" s="4" t="n"/>
      <c r="O6" s="4" t="n"/>
      <c r="P6" s="5">
        <f>(S2-P5)</f>
        <v/>
      </c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</row>
    <row r="7"/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inlineStr">
        <is>
          <t>DUTY ESTIMATION (Classification Cross-Check)</t>
        </is>
      </c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8" t="inlineStr">
        <is>
          <t>CIF (USD) = InvTotal + Freight + Insurance</t>
        </is>
      </c>
      <c r="K9" s="7" t="n"/>
      <c r="L9" s="7" t="n"/>
      <c r="M9" s="7" t="n"/>
      <c r="N9" s="7" t="n"/>
      <c r="O9" s="7" t="n"/>
      <c r="P9" s="9" t="n">
        <v>24.69</v>
      </c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8" t="inlineStr">
        <is>
          <t>CIF (XCD) = CIF × 2.7169</t>
        </is>
      </c>
      <c r="K10" s="7" t="n"/>
      <c r="L10" s="7" t="n"/>
      <c r="M10" s="7" t="n"/>
      <c r="N10" s="7" t="n"/>
      <c r="O10" s="7" t="n"/>
      <c r="P10" s="9" t="n">
        <v>67.08</v>
      </c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/>
      <c r="AK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8" t="inlineStr">
        <is>
          <t>CET (20%) — Tariff 33072000</t>
        </is>
      </c>
      <c r="K11" s="7" t="n"/>
      <c r="L11" s="7" t="n"/>
      <c r="M11" s="7" t="n"/>
      <c r="N11" s="7" t="n"/>
      <c r="O11" s="7" t="n"/>
      <c r="P11" s="9" t="n">
        <v>13.42</v>
      </c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8" t="inlineStr">
        <is>
          <t>CSC (6%)</t>
        </is>
      </c>
      <c r="K12" s="7" t="n"/>
      <c r="L12" s="7" t="n"/>
      <c r="M12" s="7" t="n"/>
      <c r="N12" s="7" t="n"/>
      <c r="O12" s="7" t="n"/>
      <c r="P12" s="9" t="n">
        <v>4.02</v>
      </c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  <c r="AG12" s="7" t="n"/>
      <c r="AH12" s="7" t="n"/>
      <c r="AI12" s="7" t="n"/>
      <c r="AJ12" s="7" t="n"/>
      <c r="AK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8" t="inlineStr">
        <is>
          <t>VAT (15%) on CIF+CET+CSC</t>
        </is>
      </c>
      <c r="K13" s="7" t="n"/>
      <c r="L13" s="7" t="n"/>
      <c r="M13" s="7" t="n"/>
      <c r="N13" s="7" t="n"/>
      <c r="O13" s="7" t="n"/>
      <c r="P13" s="9" t="n">
        <v>12.68</v>
      </c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/>
      <c r="AJ13" s="7" t="n"/>
      <c r="AK13" s="7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6" t="inlineStr">
        <is>
          <t>ESTIMATED TOTAL DUTIES</t>
        </is>
      </c>
      <c r="K14" s="10" t="n"/>
      <c r="L14" s="10" t="n"/>
      <c r="M14" s="10" t="n"/>
      <c r="N14" s="10" t="n"/>
      <c r="O14" s="10" t="n"/>
      <c r="P14" s="11" t="n">
        <v>30.12</v>
      </c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0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8" t="inlineStr">
        <is>
          <t>Effective Duty Rate</t>
        </is>
      </c>
      <c r="K15" s="7" t="n"/>
      <c r="L15" s="7" t="n"/>
      <c r="M15" s="7" t="n"/>
      <c r="N15" s="7" t="n"/>
      <c r="O15" s="7" t="n"/>
      <c r="P15" s="12" t="n">
        <v>0.4490161001788909</v>
      </c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  <c r="AI15" s="7" t="n"/>
      <c r="AJ15" s="7" t="n"/>
      <c r="AK15" s="7" t="n"/>
    </row>
    <row r="16"/>
    <row r="17">
      <c r="A17" s="13" t="n"/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inlineStr">
        <is>
          <t>Items on other declaration(s) (6 items)</t>
        </is>
      </c>
      <c r="K17" s="13" t="n"/>
      <c r="L17" s="13" t="n"/>
      <c r="M17" s="13" t="n"/>
      <c r="N17" s="13" t="n"/>
      <c r="O17" s="13" t="n"/>
      <c r="P17" s="14" t="n"/>
      <c r="Q17" s="13" t="n"/>
      <c r="R17" s="13" t="n"/>
      <c r="S17" s="13" t="n"/>
      <c r="T17" s="13" t="n"/>
      <c r="U17" s="13" t="n"/>
      <c r="V17" s="13" t="n"/>
      <c r="W17" s="13" t="n"/>
      <c r="X17" s="13" t="n"/>
      <c r="Y17" s="13" t="n"/>
      <c r="Z17" s="13" t="n"/>
      <c r="AA17" s="13" t="n"/>
      <c r="AB17" s="13" t="n"/>
      <c r="AC17" s="13" t="n"/>
      <c r="AD17" s="13" t="n"/>
      <c r="AE17" s="13" t="n"/>
      <c r="AF17" s="13" t="n"/>
      <c r="AG17" s="13" t="n"/>
      <c r="AH17" s="13" t="n"/>
      <c r="AI17" s="13" t="n"/>
      <c r="AJ17" s="13" t="n"/>
      <c r="AK17" s="13" t="n"/>
    </row>
    <row r="18">
      <c r="A18" s="13" t="n"/>
      <c r="B18" s="13" t="n"/>
      <c r="C18" s="13" t="n"/>
      <c r="D18" s="13" t="n"/>
      <c r="E18" s="13" t="inlineStr">
        <is>
          <t>Of cotton</t>
        </is>
      </c>
      <c r="F18" s="13" t="inlineStr">
        <is>
          <t>61082100</t>
        </is>
      </c>
      <c r="G18" s="13" t="n"/>
      <c r="H18" s="13" t="n"/>
      <c r="I18" s="13" t="n"/>
      <c r="J18" s="13" t="inlineStr">
        <is>
          <t>Hanes Boys ' and Toddler Underwear , Comfort Flex and ComfortSoft Boxer Brief... (+1 more) (2 items)</t>
        </is>
      </c>
      <c r="K18" s="13" t="n">
        <v>2</v>
      </c>
      <c r="L18" s="13" t="n"/>
      <c r="M18" s="13" t="n"/>
      <c r="N18" s="13" t="inlineStr">
        <is>
          <t>USD</t>
        </is>
      </c>
      <c r="O18" s="14" t="n">
        <v>20.745</v>
      </c>
      <c r="P18" s="14" t="n">
        <v>41.48999999999999</v>
      </c>
      <c r="Q18" s="14" t="n"/>
      <c r="R18" s="14" t="n"/>
      <c r="S18" s="14" t="n"/>
      <c r="T18" s="14" t="n"/>
      <c r="U18" s="14" t="n"/>
      <c r="V18" s="14" t="n"/>
      <c r="W18" s="14" t="n"/>
      <c r="X18" s="13" t="n"/>
      <c r="Y18" s="13" t="n"/>
      <c r="Z18" s="13" t="n"/>
      <c r="AA18" s="13" t="n"/>
      <c r="AB18" s="13" t="n"/>
      <c r="AC18" s="13" t="n"/>
      <c r="AD18" s="13" t="n"/>
      <c r="AE18" s="13" t="n"/>
      <c r="AF18" s="13" t="n"/>
      <c r="AG18" s="13" t="n"/>
      <c r="AH18" s="13" t="n"/>
      <c r="AI18" s="13" t="n"/>
      <c r="AJ18" s="13" t="n"/>
      <c r="AK18" s="13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inlineStr">
        <is>
          <t>AMZ-2</t>
        </is>
      </c>
      <c r="J19" s="15" t="inlineStr">
        <is>
          <t>Hanes Boys ' and Toddler Underwear , Comfort Flex and ComfortSoft Boxer Brief...</t>
        </is>
      </c>
      <c r="K19" s="15" t="n">
        <v>1</v>
      </c>
      <c r="L19" s="15" t="n"/>
      <c r="M19" s="15" t="n"/>
      <c r="N19" s="15" t="inlineStr">
        <is>
          <t>USD</t>
        </is>
      </c>
      <c r="O19" s="16" t="n">
        <v>18.49</v>
      </c>
      <c r="P19" s="16" t="n">
        <v>18.49</v>
      </c>
      <c r="Q19" s="16" t="n"/>
      <c r="R19" s="16" t="n"/>
      <c r="S19" s="15" t="n"/>
      <c r="T19" s="15" t="n"/>
      <c r="U19" s="15" t="n"/>
      <c r="V19" s="15" t="n"/>
      <c r="W19" s="15" t="n"/>
      <c r="X19" s="15" t="n"/>
      <c r="Y19" s="15" t="n"/>
      <c r="Z19" s="15" t="n"/>
      <c r="AA19" s="15" t="n"/>
      <c r="AB19" s="15" t="n"/>
      <c r="AC19" s="15" t="n"/>
      <c r="AD19" s="15" t="n"/>
      <c r="AE19" s="15" t="n"/>
      <c r="AF19" s="15" t="n"/>
      <c r="AG19" s="15" t="n"/>
      <c r="AH19" s="15" t="n"/>
      <c r="AI19" s="15" t="n"/>
      <c r="AJ19" s="15" t="n"/>
      <c r="AK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inlineStr">
        <is>
          <t>AMZ-6</t>
        </is>
      </c>
      <c r="J20" s="15" t="inlineStr">
        <is>
          <t>Hanes Boys ’ Tank Undershirt , EcoSmart Cotton Shirt , Multiple Packs Availab...</t>
        </is>
      </c>
      <c r="K20" s="15" t="n">
        <v>1</v>
      </c>
      <c r="L20" s="15" t="n"/>
      <c r="M20" s="15" t="n"/>
      <c r="N20" s="15" t="inlineStr">
        <is>
          <t>USD</t>
        </is>
      </c>
      <c r="O20" s="16" t="n">
        <v>23</v>
      </c>
      <c r="P20" s="16" t="n">
        <v>23</v>
      </c>
      <c r="Q20" s="16" t="n"/>
      <c r="R20" s="16" t="n"/>
      <c r="S20" s="15" t="n"/>
      <c r="T20" s="15" t="n"/>
      <c r="U20" s="15" t="n"/>
      <c r="V20" s="15" t="n"/>
      <c r="W20" s="15" t="n"/>
      <c r="X20" s="15" t="n"/>
      <c r="Y20" s="15" t="n"/>
      <c r="Z20" s="15" t="n"/>
      <c r="AA20" s="15" t="n"/>
      <c r="AB20" s="15" t="n"/>
      <c r="AC20" s="15" t="n"/>
      <c r="AD20" s="15" t="n"/>
      <c r="AE20" s="15" t="n"/>
      <c r="AF20" s="15" t="n"/>
      <c r="AG20" s="15" t="n"/>
      <c r="AH20" s="15" t="n"/>
      <c r="AI20" s="15" t="n"/>
      <c r="AJ20" s="15" t="n"/>
      <c r="AK20" s="15" t="n"/>
    </row>
    <row r="21">
      <c r="A21" s="13" t="n"/>
      <c r="B21" s="13" t="n"/>
      <c r="C21" s="13" t="n"/>
      <c r="D21" s="13" t="n"/>
      <c r="E21" s="13" t="inlineStr">
        <is>
          <t>SOAP &amp; BODY WASH</t>
        </is>
      </c>
      <c r="F21" s="13" t="inlineStr">
        <is>
          <t>34013000</t>
        </is>
      </c>
      <c r="G21" s="13" t="n"/>
      <c r="H21" s="13" t="n"/>
      <c r="I21" s="13" t="n"/>
      <c r="J21" s="13" t="inlineStr">
        <is>
          <t>CeraVe Foaming Facial CleanserDaily Face Wash for Oily Skin with Hyaluronic A... (1 items)</t>
        </is>
      </c>
      <c r="K21" s="13" t="n">
        <v>1</v>
      </c>
      <c r="L21" s="13" t="n"/>
      <c r="M21" s="13" t="n"/>
      <c r="N21" s="13" t="inlineStr">
        <is>
          <t>USD</t>
        </is>
      </c>
      <c r="O21" s="14" t="n">
        <v>15.48</v>
      </c>
      <c r="P21" s="14" t="n">
        <v>15.48</v>
      </c>
      <c r="Q21" s="14" t="n"/>
      <c r="R21" s="14" t="n"/>
      <c r="S21" s="14" t="n"/>
      <c r="T21" s="14" t="n"/>
      <c r="U21" s="14" t="n"/>
      <c r="V21" s="14" t="n"/>
      <c r="W21" s="14" t="n"/>
      <c r="X21" s="13" t="n"/>
      <c r="Y21" s="13" t="n"/>
      <c r="Z21" s="13" t="n"/>
      <c r="AA21" s="13" t="n"/>
      <c r="AB21" s="13" t="n"/>
      <c r="AC21" s="13" t="n"/>
      <c r="AD21" s="13" t="n"/>
      <c r="AE21" s="13" t="n"/>
      <c r="AF21" s="13" t="n"/>
      <c r="AG21" s="13" t="n"/>
      <c r="AH21" s="13" t="n"/>
      <c r="AI21" s="13" t="n"/>
      <c r="AJ21" s="13" t="n"/>
      <c r="AK21" s="13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inlineStr">
        <is>
          <t>AMZ-3</t>
        </is>
      </c>
      <c r="J22" s="15" t="inlineStr">
        <is>
          <t>CeraVe Foaming Facial CleanserDaily Face Wash for Oily Skin with Hyaluronic A...</t>
        </is>
      </c>
      <c r="K22" s="15" t="n">
        <v>1</v>
      </c>
      <c r="L22" s="15" t="n"/>
      <c r="M22" s="15" t="n"/>
      <c r="N22" s="15" t="inlineStr">
        <is>
          <t>USD</t>
        </is>
      </c>
      <c r="O22" s="16" t="n">
        <v>15.48</v>
      </c>
      <c r="P22" s="16" t="n">
        <v>15.48</v>
      </c>
      <c r="Q22" s="16" t="n"/>
      <c r="R22" s="16" t="n"/>
      <c r="S22" s="15" t="n"/>
      <c r="T22" s="15" t="n"/>
      <c r="U22" s="15" t="n"/>
      <c r="V22" s="15" t="n"/>
      <c r="W22" s="15" t="n"/>
      <c r="X22" s="15" t="n"/>
      <c r="Y22" s="15" t="n"/>
      <c r="Z22" s="15" t="n"/>
      <c r="AA22" s="15" t="n"/>
      <c r="AB22" s="15" t="n"/>
      <c r="AC22" s="15" t="n"/>
      <c r="AD22" s="15" t="n"/>
      <c r="AE22" s="15" t="n"/>
      <c r="AF22" s="15" t="n"/>
      <c r="AG22" s="15" t="n"/>
      <c r="AH22" s="15" t="n"/>
      <c r="AI22" s="15" t="n"/>
      <c r="AJ22" s="15" t="n"/>
      <c r="AK22" s="15" t="n"/>
    </row>
    <row r="23">
      <c r="A23" s="13" t="n"/>
      <c r="B23" s="13" t="n"/>
      <c r="C23" s="13" t="n"/>
      <c r="D23" s="13" t="n"/>
      <c r="E23" s="13" t="inlineStr">
        <is>
          <t>Writing or drawing pencils</t>
        </is>
      </c>
      <c r="F23" s="13" t="inlineStr">
        <is>
          <t>96091010</t>
        </is>
      </c>
      <c r="G23" s="13" t="n"/>
      <c r="H23" s="13" t="n"/>
      <c r="I23" s="13" t="n"/>
      <c r="J23" s="13" t="inlineStr">
        <is>
          <t>V - Opitos Wood - Cased2 HB Pencils , 50 Pack Pre - Sharpened Pencils with To... (1 items)</t>
        </is>
      </c>
      <c r="K23" s="13" t="n">
        <v>1</v>
      </c>
      <c r="L23" s="13" t="n"/>
      <c r="M23" s="13" t="n"/>
      <c r="N23" s="13" t="inlineStr">
        <is>
          <t>USD</t>
        </is>
      </c>
      <c r="O23" s="14" t="n">
        <v>8.48</v>
      </c>
      <c r="P23" s="14" t="n">
        <v>8.48</v>
      </c>
      <c r="Q23" s="14" t="n"/>
      <c r="R23" s="14" t="n"/>
      <c r="S23" s="14" t="n"/>
      <c r="T23" s="14" t="n"/>
      <c r="U23" s="14" t="n"/>
      <c r="V23" s="14" t="n"/>
      <c r="W23" s="14" t="n"/>
      <c r="X23" s="13" t="n"/>
      <c r="Y23" s="13" t="n"/>
      <c r="Z23" s="13" t="n"/>
      <c r="AA23" s="13" t="n"/>
      <c r="AB23" s="13" t="n"/>
      <c r="AC23" s="13" t="n"/>
      <c r="AD23" s="13" t="n"/>
      <c r="AE23" s="13" t="n"/>
      <c r="AF23" s="13" t="n"/>
      <c r="AG23" s="13" t="n"/>
      <c r="AH23" s="13" t="n"/>
      <c r="AI23" s="13" t="n"/>
      <c r="AJ23" s="13" t="n"/>
      <c r="AK23" s="13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inlineStr">
        <is>
          <t>AMZ-4</t>
        </is>
      </c>
      <c r="J24" s="15" t="inlineStr">
        <is>
          <t>V - Opitos Wood - Cased2 HB Pencils , 50 Pack Pre - Sharpened Pencils with To...</t>
        </is>
      </c>
      <c r="K24" s="15" t="n">
        <v>1</v>
      </c>
      <c r="L24" s="15" t="n"/>
      <c r="M24" s="15" t="n"/>
      <c r="N24" s="15" t="inlineStr">
        <is>
          <t>USD</t>
        </is>
      </c>
      <c r="O24" s="16" t="n">
        <v>8.48</v>
      </c>
      <c r="P24" s="16" t="n">
        <v>8.48</v>
      </c>
      <c r="Q24" s="16" t="n"/>
      <c r="R24" s="16" t="n"/>
      <c r="S24" s="15" t="n"/>
      <c r="T24" s="15" t="n"/>
      <c r="U24" s="15" t="n"/>
      <c r="V24" s="15" t="n"/>
      <c r="W24" s="15" t="n"/>
      <c r="X24" s="15" t="n"/>
      <c r="Y24" s="15" t="n"/>
      <c r="Z24" s="15" t="n"/>
      <c r="AA24" s="15" t="n"/>
      <c r="AB24" s="15" t="n"/>
      <c r="AC24" s="15" t="n"/>
      <c r="AD24" s="15" t="n"/>
      <c r="AE24" s="15" t="n"/>
      <c r="AF24" s="15" t="n"/>
      <c r="AG24" s="15" t="n"/>
      <c r="AH24" s="15" t="n"/>
      <c r="AI24" s="15" t="n"/>
      <c r="AJ24" s="15" t="n"/>
      <c r="AK24" s="15" t="n"/>
    </row>
    <row r="25">
      <c r="A25" s="13" t="n"/>
      <c r="B25" s="13" t="n"/>
      <c r="C25" s="13" t="n"/>
      <c r="D25" s="13" t="n"/>
      <c r="E25" s="13" t="inlineStr">
        <is>
          <t>LIP CARE</t>
        </is>
      </c>
      <c r="F25" s="13" t="inlineStr">
        <is>
          <t>33049900</t>
        </is>
      </c>
      <c r="G25" s="13" t="n"/>
      <c r="H25" s="13" t="n"/>
      <c r="I25" s="13" t="n"/>
      <c r="J25" s="13" t="inlineStr">
        <is>
          <t>CeraVe Vitamin C Serum with Hyaluronic AcidSkin Brightening Serum for Face wi... (1 items)</t>
        </is>
      </c>
      <c r="K25" s="13" t="n">
        <v>1</v>
      </c>
      <c r="L25" s="13" t="n"/>
      <c r="M25" s="13" t="n"/>
      <c r="N25" s="13" t="inlineStr">
        <is>
          <t>USD</t>
        </is>
      </c>
      <c r="O25" s="14" t="n">
        <v>18.24</v>
      </c>
      <c r="P25" s="14" t="n">
        <v>18.24</v>
      </c>
      <c r="Q25" s="14" t="n"/>
      <c r="R25" s="14" t="n"/>
      <c r="S25" s="14" t="n"/>
      <c r="T25" s="14" t="n"/>
      <c r="U25" s="14" t="n"/>
      <c r="V25" s="14" t="n"/>
      <c r="W25" s="14" t="n"/>
      <c r="X25" s="13" t="n"/>
      <c r="Y25" s="13" t="n"/>
      <c r="Z25" s="13" t="n"/>
      <c r="AA25" s="13" t="n"/>
      <c r="AB25" s="13" t="n"/>
      <c r="AC25" s="13" t="n"/>
      <c r="AD25" s="13" t="n"/>
      <c r="AE25" s="13" t="n"/>
      <c r="AF25" s="13" t="n"/>
      <c r="AG25" s="13" t="n"/>
      <c r="AH25" s="13" t="n"/>
      <c r="AI25" s="13" t="n"/>
      <c r="AJ25" s="13" t="n"/>
      <c r="AK25" s="13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inlineStr">
        <is>
          <t>AMZ-5</t>
        </is>
      </c>
      <c r="J26" s="15" t="inlineStr">
        <is>
          <t>CeraVe Vitamin C Serum with Hyaluronic AcidSkin Brightening Serum for Face wi...</t>
        </is>
      </c>
      <c r="K26" s="15" t="n">
        <v>1</v>
      </c>
      <c r="L26" s="15" t="n"/>
      <c r="M26" s="15" t="n"/>
      <c r="N26" s="15" t="inlineStr">
        <is>
          <t>USD</t>
        </is>
      </c>
      <c r="O26" s="16" t="n">
        <v>18.24</v>
      </c>
      <c r="P26" s="16" t="n">
        <v>18.24</v>
      </c>
      <c r="Q26" s="16" t="n"/>
      <c r="R26" s="16" t="n"/>
      <c r="S26" s="15" t="n"/>
      <c r="T26" s="15" t="n"/>
      <c r="U26" s="15" t="n"/>
      <c r="V26" s="15" t="n"/>
      <c r="W26" s="15" t="n"/>
      <c r="X26" s="15" t="n"/>
      <c r="Y26" s="15" t="n"/>
      <c r="Z26" s="15" t="n"/>
      <c r="AA26" s="15" t="n"/>
      <c r="AB26" s="15" t="n"/>
      <c r="AC26" s="15" t="n"/>
      <c r="AD26" s="15" t="n"/>
      <c r="AE26" s="15" t="n"/>
      <c r="AF26" s="15" t="n"/>
      <c r="AG26" s="15" t="n"/>
      <c r="AH26" s="15" t="n"/>
      <c r="AI26" s="15" t="n"/>
      <c r="AJ26" s="15" t="n"/>
      <c r="AK26" s="15" t="n"/>
    </row>
    <row r="27">
      <c r="A27" s="13" t="n"/>
      <c r="B27" s="13" t="n"/>
      <c r="C27" s="13" t="n"/>
      <c r="D27" s="13" t="n"/>
      <c r="E27" s="13" t="inlineStr">
        <is>
          <t>BAGS &amp; LUGGAGE</t>
        </is>
      </c>
      <c r="F27" s="13" t="inlineStr">
        <is>
          <t>42029200</t>
        </is>
      </c>
      <c r="G27" s="13" t="n"/>
      <c r="H27" s="13" t="n"/>
      <c r="I27" s="13" t="n"/>
      <c r="J27" s="13" t="inlineStr">
        <is>
          <t>adidas Originals Originals Trefoil Pocket Backpack , Black , One Size (1 items)</t>
        </is>
      </c>
      <c r="K27" s="13" t="n">
        <v>1</v>
      </c>
      <c r="L27" s="13" t="n"/>
      <c r="M27" s="13" t="n"/>
      <c r="N27" s="13" t="inlineStr">
        <is>
          <t>USD</t>
        </is>
      </c>
      <c r="O27" s="14" t="n">
        <v>38.52</v>
      </c>
      <c r="P27" s="14" t="n">
        <v>38.52</v>
      </c>
      <c r="Q27" s="14" t="n"/>
      <c r="R27" s="14" t="n"/>
      <c r="S27" s="14" t="n"/>
      <c r="T27" s="14" t="n"/>
      <c r="U27" s="14" t="n"/>
      <c r="V27" s="14" t="n"/>
      <c r="W27" s="14" t="n"/>
      <c r="X27" s="13" t="n"/>
      <c r="Y27" s="13" t="n"/>
      <c r="Z27" s="13" t="n"/>
      <c r="AA27" s="13" t="n"/>
      <c r="AB27" s="13" t="n"/>
      <c r="AC27" s="13" t="n"/>
      <c r="AD27" s="13" t="n"/>
      <c r="AE27" s="13" t="n"/>
      <c r="AF27" s="13" t="n"/>
      <c r="AG27" s="13" t="n"/>
      <c r="AH27" s="13" t="n"/>
      <c r="AI27" s="13" t="n"/>
      <c r="AJ27" s="13" t="n"/>
      <c r="AK27" s="13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inlineStr">
        <is>
          <t>AMZ-7</t>
        </is>
      </c>
      <c r="J28" s="15" t="inlineStr">
        <is>
          <t>adidas Originals Originals Trefoil Pocket Backpack , Black , One Size</t>
        </is>
      </c>
      <c r="K28" s="15" t="n">
        <v>1</v>
      </c>
      <c r="L28" s="15" t="n"/>
      <c r="M28" s="15" t="n"/>
      <c r="N28" s="15" t="inlineStr">
        <is>
          <t>USD</t>
        </is>
      </c>
      <c r="O28" s="16" t="n">
        <v>38.52</v>
      </c>
      <c r="P28" s="16" t="n">
        <v>38.52</v>
      </c>
      <c r="Q28" s="16" t="n"/>
      <c r="R28" s="16" t="n"/>
      <c r="S28" s="15" t="n"/>
      <c r="T28" s="15" t="n"/>
      <c r="U28" s="15" t="n"/>
      <c r="V28" s="15" t="n"/>
      <c r="W28" s="15" t="n"/>
      <c r="X28" s="15" t="n"/>
      <c r="Y28" s="15" t="n"/>
      <c r="Z28" s="15" t="n"/>
      <c r="AA28" s="15" t="n"/>
      <c r="AB28" s="15" t="n"/>
      <c r="AC28" s="15" t="n"/>
      <c r="AD28" s="15" t="n"/>
      <c r="AE28" s="15" t="n"/>
      <c r="AF28" s="15" t="n"/>
      <c r="AG28" s="15" t="n"/>
      <c r="AH28" s="15" t="n"/>
      <c r="AI28" s="15" t="n"/>
      <c r="AJ28" s="15" t="n"/>
      <c r="AK28" s="15" t="n"/>
    </row>
    <row r="29">
      <c r="A29" s="17" t="n"/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inlineStr">
        <is>
          <t>REFERENCE SUBTOTAL</t>
        </is>
      </c>
      <c r="K29" s="17" t="n"/>
      <c r="L29" s="17" t="n"/>
      <c r="M29" s="17" t="n"/>
      <c r="N29" s="17" t="n"/>
      <c r="O29" s="17" t="n"/>
      <c r="P29" s="18" t="n">
        <v>122.21</v>
      </c>
      <c r="Q29" s="17" t="n"/>
      <c r="R29" s="17" t="n"/>
      <c r="S29" s="17" t="n"/>
      <c r="T29" s="17" t="n"/>
      <c r="U29" s="17" t="n"/>
      <c r="V29" s="17" t="n"/>
      <c r="W29" s="17" t="n"/>
      <c r="X29" s="17" t="n"/>
      <c r="Y29" s="17" t="n"/>
      <c r="Z29" s="17" t="n"/>
      <c r="AA29" s="17" t="n"/>
      <c r="AB29" s="17" t="n"/>
      <c r="AC29" s="17" t="n"/>
      <c r="AD29" s="17" t="n"/>
      <c r="AE29" s="17" t="n"/>
      <c r="AF29" s="17" t="n"/>
      <c r="AG29" s="17" t="n"/>
      <c r="AH29" s="17" t="n"/>
      <c r="AI29" s="17" t="n"/>
      <c r="AJ29" s="17" t="n"/>
      <c r="AK29" s="17" t="n"/>
    </row>
    <row r="30">
      <c r="A30" s="17" t="n"/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inlineStr">
        <is>
          <t>REFERENCE FREIGHT</t>
        </is>
      </c>
      <c r="K30" s="17" t="n"/>
      <c r="L30" s="17" t="n"/>
      <c r="M30" s="17" t="n"/>
      <c r="N30" s="17" t="n"/>
      <c r="O30" s="17" t="n"/>
      <c r="P30" s="18" t="n">
        <v>14</v>
      </c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  <c r="AA30" s="17" t="n"/>
      <c r="AB30" s="17" t="n"/>
      <c r="AC30" s="17" t="n"/>
      <c r="AD30" s="17" t="n"/>
      <c r="AE30" s="17" t="n"/>
      <c r="AF30" s="17" t="n"/>
      <c r="AG30" s="17" t="n"/>
      <c r="AH30" s="17" t="n"/>
      <c r="AI30" s="17" t="n"/>
      <c r="AJ30" s="17" t="n"/>
      <c r="AK30" s="17" t="n"/>
    </row>
    <row r="31">
      <c r="A31" s="17" t="n"/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inlineStr">
        <is>
          <t>REFERENCE INSURANCE</t>
        </is>
      </c>
      <c r="K31" s="17" t="n"/>
      <c r="L31" s="17" t="n"/>
      <c r="M31" s="17" t="n"/>
      <c r="N31" s="17" t="n"/>
      <c r="O31" s="17" t="n"/>
      <c r="P31" s="18" t="n">
        <v>0</v>
      </c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7" t="n"/>
      <c r="AA31" s="17" t="n"/>
      <c r="AB31" s="17" t="n"/>
      <c r="AC31" s="17" t="n"/>
      <c r="AD31" s="17" t="n"/>
      <c r="AE31" s="17" t="n"/>
      <c r="AF31" s="17" t="n"/>
      <c r="AG31" s="17" t="n"/>
      <c r="AH31" s="17" t="n"/>
      <c r="AI31" s="17" t="n"/>
      <c r="AJ31" s="17" t="n"/>
      <c r="AK31" s="17" t="n"/>
    </row>
    <row r="32">
      <c r="A32" s="17" t="n"/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inlineStr">
        <is>
          <t>REFERENCE OTHER COST</t>
        </is>
      </c>
      <c r="K32" s="17" t="n"/>
      <c r="L32" s="17" t="n"/>
      <c r="M32" s="17" t="n"/>
      <c r="N32" s="17" t="n"/>
      <c r="O32" s="17" t="n"/>
      <c r="P32" s="18" t="n">
        <v>8.550000000000001</v>
      </c>
      <c r="Q32" s="17" t="n"/>
      <c r="R32" s="17" t="n"/>
      <c r="S32" s="17" t="n"/>
      <c r="T32" s="17" t="n"/>
      <c r="U32" s="17" t="n"/>
      <c r="V32" s="17" t="n"/>
      <c r="W32" s="17" t="n"/>
      <c r="X32" s="17" t="n"/>
      <c r="Y32" s="17" t="n"/>
      <c r="Z32" s="17" t="n"/>
      <c r="AA32" s="17" t="n"/>
      <c r="AB32" s="17" t="n"/>
      <c r="AC32" s="17" t="n"/>
      <c r="AD32" s="17" t="n"/>
      <c r="AE32" s="17" t="n"/>
      <c r="AF32" s="17" t="n"/>
      <c r="AG32" s="17" t="n"/>
      <c r="AH32" s="17" t="n"/>
      <c r="AI32" s="17" t="n"/>
      <c r="AJ32" s="17" t="n"/>
      <c r="AK32" s="17" t="n"/>
    </row>
    <row r="33">
      <c r="A33" s="17" t="n"/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inlineStr">
        <is>
          <t>REFERENCE DEDUCTION</t>
        </is>
      </c>
      <c r="K33" s="17" t="n"/>
      <c r="L33" s="17" t="n"/>
      <c r="M33" s="17" t="n"/>
      <c r="N33" s="17" t="n"/>
      <c r="O33" s="17" t="n"/>
      <c r="P33" s="18" t="n">
        <v>0</v>
      </c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  <c r="AA33" s="17" t="n"/>
      <c r="AB33" s="17" t="n"/>
      <c r="AC33" s="17" t="n"/>
      <c r="AD33" s="17" t="n"/>
      <c r="AE33" s="17" t="n"/>
      <c r="AF33" s="17" t="n"/>
      <c r="AG33" s="17" t="n"/>
      <c r="AH33" s="17" t="n"/>
      <c r="AI33" s="17" t="n"/>
      <c r="AJ33" s="17" t="n"/>
      <c r="AK33" s="17" t="n"/>
    </row>
    <row r="34">
      <c r="A34" s="17" t="n"/>
      <c r="B34" s="17" t="n"/>
      <c r="C34" s="17" t="n"/>
      <c r="D34" s="17" t="n"/>
      <c r="E34" s="17" t="n"/>
      <c r="F34" s="17" t="n"/>
      <c r="G34" s="17" t="n"/>
      <c r="H34" s="17" t="n"/>
      <c r="I34" s="17" t="n"/>
      <c r="J34" s="17" t="inlineStr">
        <is>
          <t>REFERENCE ADJUSTMENTS</t>
        </is>
      </c>
      <c r="K34" s="17" t="n"/>
      <c r="L34" s="17" t="n"/>
      <c r="M34" s="17" t="n"/>
      <c r="N34" s="17" t="n"/>
      <c r="O34" s="17" t="n"/>
      <c r="P34" s="18">
        <f>P30+P31+P32-P33</f>
        <v/>
      </c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  <c r="AA34" s="17" t="n"/>
      <c r="AB34" s="17" t="n"/>
      <c r="AC34" s="17" t="n"/>
      <c r="AD34" s="17" t="n"/>
      <c r="AE34" s="17" t="n"/>
      <c r="AF34" s="17" t="n"/>
      <c r="AG34" s="17" t="n"/>
      <c r="AH34" s="17" t="n"/>
      <c r="AI34" s="17" t="n"/>
      <c r="AJ34" s="17" t="n"/>
      <c r="AK34" s="17" t="n"/>
    </row>
    <row r="35">
      <c r="A35" s="17" t="n"/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inlineStr">
        <is>
          <t>REFERENCE NET TOTAL</t>
        </is>
      </c>
      <c r="K35" s="17" t="n"/>
      <c r="L35" s="17" t="n"/>
      <c r="M35" s="17" t="n"/>
      <c r="N35" s="17" t="n"/>
      <c r="O35" s="17" t="n"/>
      <c r="P35" s="18">
        <f>P29+P34</f>
        <v/>
      </c>
      <c r="Q35" s="17" t="n"/>
      <c r="R35" s="17" t="n"/>
      <c r="S35" s="17" t="n"/>
      <c r="T35" s="17" t="n"/>
      <c r="U35" s="17" t="n"/>
      <c r="V35" s="17" t="n"/>
      <c r="W35" s="17" t="n"/>
      <c r="X35" s="17" t="n"/>
      <c r="Y35" s="17" t="n"/>
      <c r="Z35" s="17" t="n"/>
      <c r="AA35" s="17" t="n"/>
      <c r="AB35" s="17" t="n"/>
      <c r="AC35" s="17" t="n"/>
      <c r="AD35" s="17" t="n"/>
      <c r="AE35" s="17" t="n"/>
      <c r="AF35" s="17" t="n"/>
      <c r="AG35" s="17" t="n"/>
      <c r="AH35" s="17" t="n"/>
      <c r="AI35" s="17" t="n"/>
      <c r="AJ35" s="17" t="n"/>
      <c r="AK35" s="17" t="n"/>
    </row>
    <row r="37">
      <c r="A37" s="17" t="n"/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inlineStr">
        <is>
          <t>COMBINED ITEMS TOTAL</t>
        </is>
      </c>
      <c r="K37" s="17" t="n"/>
      <c r="L37" s="17" t="n"/>
      <c r="M37" s="17" t="n"/>
      <c r="N37" s="17" t="n"/>
      <c r="O37" s="17" t="n"/>
      <c r="P37" s="18">
        <f>P3+P29</f>
        <v/>
      </c>
      <c r="Q37" s="17" t="n"/>
      <c r="R37" s="17" t="n"/>
      <c r="S37" s="17" t="n"/>
      <c r="T37" s="17" t="n"/>
      <c r="U37" s="17" t="n"/>
      <c r="V37" s="17" t="n"/>
      <c r="W37" s="17" t="n"/>
      <c r="X37" s="17" t="n"/>
      <c r="Y37" s="17" t="n"/>
      <c r="Z37" s="17" t="n"/>
      <c r="AA37" s="17" t="n"/>
      <c r="AB37" s="17" t="n"/>
      <c r="AC37" s="17" t="n"/>
      <c r="AD37" s="17" t="n"/>
      <c r="AE37" s="17" t="n"/>
      <c r="AF37" s="17" t="n"/>
      <c r="AG37" s="17" t="n"/>
      <c r="AH37" s="17" t="n"/>
      <c r="AI37" s="17" t="n"/>
      <c r="AJ37" s="17" t="n"/>
      <c r="AK37" s="17" t="n"/>
    </row>
    <row r="38">
      <c r="A38" s="17" t="n"/>
      <c r="B38" s="17" t="n"/>
      <c r="C38" s="17" t="n"/>
      <c r="D38" s="17" t="n"/>
      <c r="E38" s="17" t="n"/>
      <c r="F38" s="17" t="n"/>
      <c r="G38" s="17" t="n"/>
      <c r="H38" s="17" t="n"/>
      <c r="I38" s="17" t="n"/>
      <c r="J38" s="17" t="inlineStr">
        <is>
          <t>FULL INVOICE FREIGHT</t>
        </is>
      </c>
      <c r="K38" s="17" t="n"/>
      <c r="L38" s="17" t="n"/>
      <c r="M38" s="17" t="n"/>
      <c r="N38" s="17" t="n"/>
      <c r="O38" s="17" t="n"/>
      <c r="P38" s="18">
        <f>T2+P30</f>
        <v/>
      </c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  <c r="AA38" s="17" t="n"/>
      <c r="AB38" s="17" t="n"/>
      <c r="AC38" s="17" t="n"/>
      <c r="AD38" s="17" t="n"/>
      <c r="AE38" s="17" t="n"/>
      <c r="AF38" s="17" t="n"/>
      <c r="AG38" s="17" t="n"/>
      <c r="AH38" s="17" t="n"/>
      <c r="AI38" s="17" t="n"/>
      <c r="AJ38" s="17" t="n"/>
      <c r="AK38" s="17" t="n"/>
    </row>
    <row r="39">
      <c r="A39" s="17" t="n"/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inlineStr">
        <is>
          <t>FULL INVOICE INSURANCE</t>
        </is>
      </c>
      <c r="K39" s="17" t="n"/>
      <c r="L39" s="17" t="n"/>
      <c r="M39" s="17" t="n"/>
      <c r="N39" s="17" t="n"/>
      <c r="O39" s="17" t="n"/>
      <c r="P39" s="18">
        <f>U2+P31</f>
        <v/>
      </c>
      <c r="Q39" s="17" t="n"/>
      <c r="R39" s="17" t="n"/>
      <c r="S39" s="17" t="n"/>
      <c r="T39" s="17" t="n"/>
      <c r="U39" s="17" t="n"/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7" t="n"/>
      <c r="AE39" s="17" t="n"/>
      <c r="AF39" s="17" t="n"/>
      <c r="AG39" s="17" t="n"/>
      <c r="AH39" s="17" t="n"/>
      <c r="AI39" s="17" t="n"/>
      <c r="AJ39" s="17" t="n"/>
      <c r="AK39" s="17" t="n"/>
    </row>
    <row r="40">
      <c r="A40" s="17" t="n"/>
      <c r="B40" s="17" t="n"/>
      <c r="C40" s="17" t="n"/>
      <c r="D40" s="17" t="n"/>
      <c r="E40" s="17" t="n"/>
      <c r="F40" s="17" t="n"/>
      <c r="G40" s="17" t="n"/>
      <c r="H40" s="17" t="n"/>
      <c r="I40" s="17" t="n"/>
      <c r="J40" s="17" t="inlineStr">
        <is>
          <t>FULL INVOICE OTHER COST</t>
        </is>
      </c>
      <c r="K40" s="17" t="n"/>
      <c r="L40" s="17" t="n"/>
      <c r="M40" s="17" t="n"/>
      <c r="N40" s="17" t="n"/>
      <c r="O40" s="17" t="n"/>
      <c r="P40" s="18">
        <f>V2+P32</f>
        <v/>
      </c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  <c r="AA40" s="17" t="n"/>
      <c r="AB40" s="17" t="n"/>
      <c r="AC40" s="17" t="n"/>
      <c r="AD40" s="17" t="n"/>
      <c r="AE40" s="17" t="n"/>
      <c r="AF40" s="17" t="n"/>
      <c r="AG40" s="17" t="n"/>
      <c r="AH40" s="17" t="n"/>
      <c r="AI40" s="17" t="n"/>
      <c r="AJ40" s="17" t="n"/>
      <c r="AK40" s="17" t="n"/>
    </row>
    <row r="41">
      <c r="A41" s="17" t="n"/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inlineStr">
        <is>
          <t>FULL INVOICE DEDUCTION</t>
        </is>
      </c>
      <c r="K41" s="17" t="n"/>
      <c r="L41" s="17" t="n"/>
      <c r="M41" s="17" t="n"/>
      <c r="N41" s="17" t="n"/>
      <c r="O41" s="17" t="n"/>
      <c r="P41" s="18">
        <f>W2+P33</f>
        <v/>
      </c>
      <c r="Q41" s="17" t="n"/>
      <c r="R41" s="17" t="n"/>
      <c r="S41" s="17" t="n"/>
      <c r="T41" s="17" t="n"/>
      <c r="U41" s="17" t="n"/>
      <c r="V41" s="17" t="n"/>
      <c r="W41" s="17" t="n"/>
      <c r="X41" s="17" t="n"/>
      <c r="Y41" s="17" t="n"/>
      <c r="Z41" s="17" t="n"/>
      <c r="AA41" s="17" t="n"/>
      <c r="AB41" s="17" t="n"/>
      <c r="AC41" s="17" t="n"/>
      <c r="AD41" s="17" t="n"/>
      <c r="AE41" s="17" t="n"/>
      <c r="AF41" s="17" t="n"/>
      <c r="AG41" s="17" t="n"/>
      <c r="AH41" s="17" t="n"/>
      <c r="AI41" s="17" t="n"/>
      <c r="AJ41" s="17" t="n"/>
      <c r="AK41" s="17" t="n"/>
    </row>
    <row r="42">
      <c r="A42" s="17" t="n"/>
      <c r="B42" s="17" t="n"/>
      <c r="C42" s="17" t="n"/>
      <c r="D42" s="17" t="n"/>
      <c r="E42" s="17" t="n"/>
      <c r="F42" s="17" t="n"/>
      <c r="G42" s="17" t="n"/>
      <c r="H42" s="17" t="n"/>
      <c r="I42" s="17" t="n"/>
      <c r="J42" s="17" t="inlineStr">
        <is>
          <t>FULL ADJUSTMENTS</t>
        </is>
      </c>
      <c r="K42" s="17" t="n"/>
      <c r="L42" s="17" t="n"/>
      <c r="M42" s="17" t="n"/>
      <c r="N42" s="17" t="n"/>
      <c r="O42" s="17" t="n"/>
      <c r="P42" s="18">
        <f>P38+P39+P40-P41</f>
        <v/>
      </c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  <c r="Z42" s="17" t="n"/>
      <c r="AA42" s="17" t="n"/>
      <c r="AB42" s="17" t="n"/>
      <c r="AC42" s="17" t="n"/>
      <c r="AD42" s="17" t="n"/>
      <c r="AE42" s="17" t="n"/>
      <c r="AF42" s="17" t="n"/>
      <c r="AG42" s="17" t="n"/>
      <c r="AH42" s="17" t="n"/>
      <c r="AI42" s="17" t="n"/>
      <c r="AJ42" s="17" t="n"/>
      <c r="AK42" s="17" t="n"/>
    </row>
    <row r="43">
      <c r="A43" s="17" t="n"/>
      <c r="B43" s="17" t="n"/>
      <c r="C43" s="17" t="n"/>
      <c r="D43" s="17" t="n"/>
      <c r="E43" s="17" t="n"/>
      <c r="F43" s="17" t="n"/>
      <c r="G43" s="17" t="n"/>
      <c r="H43" s="17" t="n"/>
      <c r="I43" s="17" t="n"/>
      <c r="J43" s="17" t="inlineStr">
        <is>
          <t>COMBINED NET TOTAL</t>
        </is>
      </c>
      <c r="K43" s="17" t="n"/>
      <c r="L43" s="17" t="n"/>
      <c r="M43" s="17" t="n"/>
      <c r="N43" s="17" t="n"/>
      <c r="O43" s="17" t="n"/>
      <c r="P43" s="18">
        <f>P37+P42</f>
        <v/>
      </c>
      <c r="Q43" s="17" t="n"/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  <c r="AA43" s="17" t="n"/>
      <c r="AB43" s="17" t="n"/>
      <c r="AC43" s="17" t="n"/>
      <c r="AD43" s="17" t="n"/>
      <c r="AE43" s="17" t="n"/>
      <c r="AF43" s="17" t="n"/>
      <c r="AG43" s="17" t="n"/>
      <c r="AH43" s="17" t="n"/>
      <c r="AI43" s="17" t="n"/>
      <c r="AJ43" s="17" t="n"/>
      <c r="AK43" s="17" t="n"/>
    </row>
    <row r="44">
      <c r="A44" s="17" t="n"/>
      <c r="B44" s="17" t="n"/>
      <c r="C44" s="17" t="n"/>
      <c r="D44" s="17" t="n"/>
      <c r="E44" s="17" t="n"/>
      <c r="F44" s="17" t="n"/>
      <c r="G44" s="17" t="n"/>
      <c r="H44" s="17" t="n"/>
      <c r="I44" s="17" t="n"/>
      <c r="J44" s="17" t="inlineStr">
        <is>
          <t>FULL INVOICE TOTAL</t>
        </is>
      </c>
      <c r="K44" s="17" t="n"/>
      <c r="L44" s="17" t="n"/>
      <c r="M44" s="17" t="n"/>
      <c r="N44" s="17" t="n"/>
      <c r="O44" s="17" t="n"/>
      <c r="P44" s="18" t="n">
        <v>162.45</v>
      </c>
      <c r="Q44" s="17" t="n"/>
      <c r="R44" s="17" t="n"/>
      <c r="S44" s="17" t="n"/>
      <c r="T44" s="17" t="n"/>
      <c r="U44" s="17" t="n"/>
      <c r="V44" s="17" t="n"/>
      <c r="W44" s="17" t="n"/>
      <c r="X44" s="17" t="n"/>
      <c r="Y44" s="17" t="n"/>
      <c r="Z44" s="17" t="n"/>
      <c r="AA44" s="17" t="n"/>
      <c r="AB44" s="17" t="n"/>
      <c r="AC44" s="17" t="n"/>
      <c r="AD44" s="17" t="n"/>
      <c r="AE44" s="17" t="n"/>
      <c r="AF44" s="17" t="n"/>
      <c r="AG44" s="17" t="n"/>
      <c r="AH44" s="17" t="n"/>
      <c r="AI44" s="17" t="n"/>
      <c r="AJ44" s="17" t="n"/>
      <c r="AK44" s="17" t="n"/>
    </row>
    <row r="45">
      <c r="A45" s="17" t="n"/>
      <c r="B45" s="17" t="n"/>
      <c r="C45" s="17" t="n"/>
      <c r="D45" s="17" t="n"/>
      <c r="E45" s="17" t="n"/>
      <c r="F45" s="17" t="n"/>
      <c r="G45" s="17" t="n"/>
      <c r="H45" s="17" t="n"/>
      <c r="I45" s="17" t="n"/>
      <c r="J45" s="17" t="inlineStr">
        <is>
          <t>COMBINED VARIANCE CHECK</t>
        </is>
      </c>
      <c r="K45" s="17" t="n"/>
      <c r="L45" s="17" t="n"/>
      <c r="M45" s="17" t="n"/>
      <c r="N45" s="17" t="n"/>
      <c r="O45" s="17" t="n"/>
      <c r="P45" s="18">
        <f>P44-P43</f>
        <v/>
      </c>
      <c r="Q45" s="17" t="n"/>
      <c r="R45" s="17" t="n"/>
      <c r="S45" s="17" t="n"/>
      <c r="T45" s="17" t="n"/>
      <c r="U45" s="17" t="n"/>
      <c r="V45" s="17" t="n"/>
      <c r="W45" s="17" t="n"/>
      <c r="X45" s="17" t="n"/>
      <c r="Y45" s="17" t="n"/>
      <c r="Z45" s="17" t="n"/>
      <c r="AA45" s="17" t="n"/>
      <c r="AB45" s="17" t="n"/>
      <c r="AC45" s="17" t="n"/>
      <c r="AD45" s="17" t="n"/>
      <c r="AE45" s="17" t="n"/>
      <c r="AF45" s="17" t="n"/>
      <c r="AG45" s="17" t="n"/>
      <c r="AH45" s="17" t="n"/>
      <c r="AI45" s="17" t="n"/>
      <c r="AJ45" s="17" t="n"/>
      <c r="AK4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2026-04-26T23:40:43Z</dcterms:created>
  <dcterms:modified xmlns:dcterms="http://purl.org/dc/terms/" xmlns:xsi="http://www.w3.org/2001/XMLSchema-instance" xsi:type="dcterms:W3CDTF">2026-04-26T23:40:43Z</dcterms:modified>
</cp:coreProperties>
</file>