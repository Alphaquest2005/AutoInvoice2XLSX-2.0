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111-1616806-9805016</t>
        </is>
      </c>
      <c r="D2" s="2" t="inlineStr"/>
      <c r="E2" s="2" t="inlineStr">
        <is>
          <t>BAGS &amp; LUGGAGE</t>
        </is>
      </c>
      <c r="F2" s="2" t="inlineStr">
        <is>
          <t>42029200</t>
        </is>
      </c>
      <c r="G2" s="2" t="inlineStr"/>
      <c r="H2" s="2" t="inlineStr"/>
      <c r="I2" s="2" t="inlineStr">
        <is>
          <t>AMZ-7</t>
        </is>
      </c>
      <c r="J2" s="2" t="inlineStr">
        <is>
          <t>adidas Originals Originals Trefoil Pocket Backpack , Black , One Size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38.52</v>
      </c>
      <c r="P2" s="3" t="n">
        <v>38.52</v>
      </c>
      <c r="Q2" s="3">
        <f>O2*K2</f>
        <v/>
      </c>
      <c r="R2" s="3">
        <f>P2-Q2</f>
        <v/>
      </c>
      <c r="S2" s="3" t="n">
        <v>44.22</v>
      </c>
      <c r="T2" s="3" t="n">
        <v>3</v>
      </c>
      <c r="U2" s="3" t="n">
        <v>0</v>
      </c>
      <c r="V2" s="3" t="n">
        <v>2.7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42029200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47.22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128.29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42029200</t>
        </is>
      </c>
      <c r="K11" s="7" t="n"/>
      <c r="L11" s="7" t="n"/>
      <c r="M11" s="7" t="n"/>
      <c r="N11" s="7" t="n"/>
      <c r="O11" s="7" t="n"/>
      <c r="P11" s="9" t="n">
        <v>25.66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7.7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24.25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57.61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0.449060721802167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16.7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-40.91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37.19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10.69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3" t="inlineStr">
        <is>
          <t>⚠ ITEM ALLOCATION CHECK: actual $38.52 USD vs implied $10.69 USD — OVER-ALLOCATED (items should move to another waybill)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/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inlineStr">
        <is>
          <t>Items on other declaration(s) (6 items)</t>
        </is>
      </c>
      <c r="K22" s="15" t="n"/>
      <c r="L22" s="15" t="n"/>
      <c r="M22" s="15" t="n"/>
      <c r="N22" s="15" t="n"/>
      <c r="O22" s="15" t="n"/>
      <c r="P22" s="16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inlineStr">
        <is>
          <t>Of cotton</t>
        </is>
      </c>
      <c r="F23" s="15" t="inlineStr">
        <is>
          <t>61082100</t>
        </is>
      </c>
      <c r="G23" s="15" t="n"/>
      <c r="H23" s="15" t="n"/>
      <c r="I23" s="15" t="n"/>
      <c r="J23" s="15" t="inlineStr">
        <is>
          <t>Hanes Boys ' and Toddler Underwear , Comfort Flex and ComfortSoft Boxer Brief... (+1 more) (2 items)</t>
        </is>
      </c>
      <c r="K23" s="15" t="n">
        <v>2</v>
      </c>
      <c r="L23" s="15" t="n"/>
      <c r="M23" s="15" t="n"/>
      <c r="N23" s="15" t="inlineStr">
        <is>
          <t>USD</t>
        </is>
      </c>
      <c r="O23" s="16" t="n">
        <v>20.745</v>
      </c>
      <c r="P23" s="16" t="n">
        <v>41.48999999999999</v>
      </c>
      <c r="Q23" s="16" t="n"/>
      <c r="R23" s="16" t="n"/>
      <c r="S23" s="16" t="n"/>
      <c r="T23" s="16" t="n"/>
      <c r="U23" s="16" t="n"/>
      <c r="V23" s="16" t="n"/>
      <c r="W23" s="16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inlineStr">
        <is>
          <t>AMZ-2</t>
        </is>
      </c>
      <c r="J24" s="17" t="inlineStr">
        <is>
          <t>Hanes Boys ' and Toddler Underwear , Comfort Flex and ComfortSoft Boxer Brief...</t>
        </is>
      </c>
      <c r="K24" s="17" t="n">
        <v>1</v>
      </c>
      <c r="L24" s="17" t="n"/>
      <c r="M24" s="17" t="n"/>
      <c r="N24" s="17" t="inlineStr">
        <is>
          <t>USD</t>
        </is>
      </c>
      <c r="O24" s="18" t="n">
        <v>18.49</v>
      </c>
      <c r="P24" s="18" t="n">
        <v>18.49</v>
      </c>
      <c r="Q24" s="18" t="n"/>
      <c r="R24" s="18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inlineStr">
        <is>
          <t>AMZ-6</t>
        </is>
      </c>
      <c r="J25" s="17" t="inlineStr">
        <is>
          <t>Hanes Boys ’ Tank Undershirt , EcoSmart Cotton Shirt , Multiple Packs Availab...</t>
        </is>
      </c>
      <c r="K25" s="17" t="n">
        <v>1</v>
      </c>
      <c r="L25" s="17" t="n"/>
      <c r="M25" s="17" t="n"/>
      <c r="N25" s="17" t="inlineStr">
        <is>
          <t>USD</t>
        </is>
      </c>
      <c r="O25" s="18" t="n">
        <v>23</v>
      </c>
      <c r="P25" s="18" t="n">
        <v>23</v>
      </c>
      <c r="Q25" s="18" t="n"/>
      <c r="R25" s="18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5" t="n"/>
      <c r="B26" s="15" t="n"/>
      <c r="C26" s="15" t="n"/>
      <c r="D26" s="15" t="n"/>
      <c r="E26" s="15" t="inlineStr">
        <is>
          <t>SOAP &amp; BODY WASH</t>
        </is>
      </c>
      <c r="F26" s="15" t="inlineStr">
        <is>
          <t>34013000</t>
        </is>
      </c>
      <c r="G26" s="15" t="n"/>
      <c r="H26" s="15" t="n"/>
      <c r="I26" s="15" t="n"/>
      <c r="J26" s="15" t="inlineStr">
        <is>
          <t>CeraVe Foaming Facial CleanserDaily Face Wash for Oily Skin with Hyaluronic A... (1 items)</t>
        </is>
      </c>
      <c r="K26" s="15" t="n">
        <v>1</v>
      </c>
      <c r="L26" s="15" t="n"/>
      <c r="M26" s="15" t="n"/>
      <c r="N26" s="15" t="inlineStr">
        <is>
          <t>USD</t>
        </is>
      </c>
      <c r="O26" s="16" t="n">
        <v>15.48</v>
      </c>
      <c r="P26" s="16" t="n">
        <v>15.48</v>
      </c>
      <c r="Q26" s="16" t="n"/>
      <c r="R26" s="16" t="n"/>
      <c r="S26" s="16" t="n"/>
      <c r="T26" s="16" t="n"/>
      <c r="U26" s="16" t="n"/>
      <c r="V26" s="16" t="n"/>
      <c r="W26" s="16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inlineStr">
        <is>
          <t>AMZ-3</t>
        </is>
      </c>
      <c r="J27" s="17" t="inlineStr">
        <is>
          <t>CeraVe Foaming Facial CleanserDaily Face Wash for Oily Skin with Hyaluronic A...</t>
        </is>
      </c>
      <c r="K27" s="17" t="n">
        <v>1</v>
      </c>
      <c r="L27" s="17" t="n"/>
      <c r="M27" s="17" t="n"/>
      <c r="N27" s="17" t="inlineStr">
        <is>
          <t>USD</t>
        </is>
      </c>
      <c r="O27" s="18" t="n">
        <v>15.48</v>
      </c>
      <c r="P27" s="18" t="n">
        <v>15.48</v>
      </c>
      <c r="Q27" s="18" t="n"/>
      <c r="R27" s="18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5" t="n"/>
      <c r="B28" s="15" t="n"/>
      <c r="C28" s="15" t="n"/>
      <c r="D28" s="15" t="n"/>
      <c r="E28" s="15" t="inlineStr">
        <is>
          <t>Writing or drawing pencils</t>
        </is>
      </c>
      <c r="F28" s="15" t="inlineStr">
        <is>
          <t>96091010</t>
        </is>
      </c>
      <c r="G28" s="15" t="n"/>
      <c r="H28" s="15" t="n"/>
      <c r="I28" s="15" t="n"/>
      <c r="J28" s="15" t="inlineStr">
        <is>
          <t>V - Opitos Wood - Cased2 HB Pencils , 50 Pack Pre - Sharpened Pencils with To... (1 items)</t>
        </is>
      </c>
      <c r="K28" s="15" t="n">
        <v>1</v>
      </c>
      <c r="L28" s="15" t="n"/>
      <c r="M28" s="15" t="n"/>
      <c r="N28" s="15" t="inlineStr">
        <is>
          <t>USD</t>
        </is>
      </c>
      <c r="O28" s="16" t="n">
        <v>8.48</v>
      </c>
      <c r="P28" s="16" t="n">
        <v>8.48</v>
      </c>
      <c r="Q28" s="16" t="n"/>
      <c r="R28" s="16" t="n"/>
      <c r="S28" s="16" t="n"/>
      <c r="T28" s="16" t="n"/>
      <c r="U28" s="16" t="n"/>
      <c r="V28" s="16" t="n"/>
      <c r="W28" s="16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inlineStr">
        <is>
          <t>AMZ-4</t>
        </is>
      </c>
      <c r="J29" s="17" t="inlineStr">
        <is>
          <t>V - Opitos Wood - Cased2 HB Pencils , 50 Pack Pre - Sharpened Pencils with To...</t>
        </is>
      </c>
      <c r="K29" s="17" t="n">
        <v>1</v>
      </c>
      <c r="L29" s="17" t="n"/>
      <c r="M29" s="17" t="n"/>
      <c r="N29" s="17" t="inlineStr">
        <is>
          <t>USD</t>
        </is>
      </c>
      <c r="O29" s="18" t="n">
        <v>8.48</v>
      </c>
      <c r="P29" s="18" t="n">
        <v>8.48</v>
      </c>
      <c r="Q29" s="18" t="n"/>
      <c r="R29" s="18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5" t="n"/>
      <c r="B30" s="15" t="n"/>
      <c r="C30" s="15" t="n"/>
      <c r="D30" s="15" t="n"/>
      <c r="E30" s="15" t="inlineStr">
        <is>
          <t>LIP CARE</t>
        </is>
      </c>
      <c r="F30" s="15" t="inlineStr">
        <is>
          <t>33049900</t>
        </is>
      </c>
      <c r="G30" s="15" t="n"/>
      <c r="H30" s="15" t="n"/>
      <c r="I30" s="15" t="n"/>
      <c r="J30" s="15" t="inlineStr">
        <is>
          <t>CeraVe Vitamin C Serum with Hyaluronic AcidSkin Brightening Serum for Face wi... (1 items)</t>
        </is>
      </c>
      <c r="K30" s="15" t="n">
        <v>1</v>
      </c>
      <c r="L30" s="15" t="n"/>
      <c r="M30" s="15" t="n"/>
      <c r="N30" s="15" t="inlineStr">
        <is>
          <t>USD</t>
        </is>
      </c>
      <c r="O30" s="16" t="n">
        <v>18.24</v>
      </c>
      <c r="P30" s="16" t="n">
        <v>18.24</v>
      </c>
      <c r="Q30" s="16" t="n"/>
      <c r="R30" s="16" t="n"/>
      <c r="S30" s="16" t="n"/>
      <c r="T30" s="16" t="n"/>
      <c r="U30" s="16" t="n"/>
      <c r="V30" s="16" t="n"/>
      <c r="W30" s="16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inlineStr">
        <is>
          <t>AMZ-5</t>
        </is>
      </c>
      <c r="J31" s="17" t="inlineStr">
        <is>
          <t>CeraVe Vitamin C Serum with Hyaluronic AcidSkin Brightening Serum for Face wi...</t>
        </is>
      </c>
      <c r="K31" s="17" t="n">
        <v>1</v>
      </c>
      <c r="L31" s="17" t="n"/>
      <c r="M31" s="17" t="n"/>
      <c r="N31" s="17" t="inlineStr">
        <is>
          <t>USD</t>
        </is>
      </c>
      <c r="O31" s="18" t="n">
        <v>18.24</v>
      </c>
      <c r="P31" s="18" t="n">
        <v>18.24</v>
      </c>
      <c r="Q31" s="18" t="n"/>
      <c r="R31" s="18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5" t="n"/>
      <c r="B32" s="15" t="n"/>
      <c r="C32" s="15" t="n"/>
      <c r="D32" s="15" t="n"/>
      <c r="E32" s="15" t="inlineStr">
        <is>
          <t>DEODORANTS</t>
        </is>
      </c>
      <c r="F32" s="15" t="inlineStr">
        <is>
          <t>33072000</t>
        </is>
      </c>
      <c r="G32" s="15" t="n"/>
      <c r="H32" s="15" t="n"/>
      <c r="I32" s="15" t="n"/>
      <c r="J32" s="15" t="inlineStr">
        <is>
          <t>8 FL . Oz Glycolic Acid 7 % Exfoliating Toner , Glycolic Acid 7 % Toning Resu... (1 items)</t>
        </is>
      </c>
      <c r="K32" s="15" t="n">
        <v>1</v>
      </c>
      <c r="L32" s="15" t="n"/>
      <c r="M32" s="15" t="n"/>
      <c r="N32" s="15" t="inlineStr">
        <is>
          <t>USD</t>
        </is>
      </c>
      <c r="O32" s="16" t="n">
        <v>9.99</v>
      </c>
      <c r="P32" s="16" t="n">
        <v>9.99</v>
      </c>
      <c r="Q32" s="16" t="n"/>
      <c r="R32" s="16" t="n"/>
      <c r="S32" s="16" t="n"/>
      <c r="T32" s="16" t="n"/>
      <c r="U32" s="16" t="n"/>
      <c r="V32" s="16" t="n"/>
      <c r="W32" s="16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inlineStr">
        <is>
          <t>AMZ-1</t>
        </is>
      </c>
      <c r="J33" s="17" t="inlineStr">
        <is>
          <t>8 FL . Oz Glycolic Acid 7 % Exfoliating Toner , Glycolic Acid 7 % Toning Resu...</t>
        </is>
      </c>
      <c r="K33" s="17" t="n">
        <v>1</v>
      </c>
      <c r="L33" s="17" t="n"/>
      <c r="M33" s="17" t="n"/>
      <c r="N33" s="17" t="inlineStr">
        <is>
          <t>USD</t>
        </is>
      </c>
      <c r="O33" s="18" t="n">
        <v>9.99</v>
      </c>
      <c r="P33" s="18" t="n">
        <v>9.99</v>
      </c>
      <c r="Q33" s="18" t="n"/>
      <c r="R33" s="18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inlineStr">
        <is>
          <t>REFERENCE SUBTOTAL</t>
        </is>
      </c>
      <c r="K34" s="19" t="n"/>
      <c r="L34" s="19" t="n"/>
      <c r="M34" s="19" t="n"/>
      <c r="N34" s="19" t="n"/>
      <c r="O34" s="19" t="n"/>
      <c r="P34" s="20" t="n">
        <v>93.67999999999999</v>
      </c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REFERENCE FREIGHT</t>
        </is>
      </c>
      <c r="K35" s="19" t="n"/>
      <c r="L35" s="19" t="n"/>
      <c r="M35" s="19" t="n"/>
      <c r="N35" s="19" t="n"/>
      <c r="O35" s="19" t="n"/>
      <c r="P35" s="20" t="n">
        <v>18</v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REFERENCE INSURANCE</t>
        </is>
      </c>
      <c r="K36" s="19" t="n"/>
      <c r="L36" s="19" t="n"/>
      <c r="M36" s="19" t="n"/>
      <c r="N36" s="19" t="n"/>
      <c r="O36" s="19" t="n"/>
      <c r="P36" s="20" t="n">
        <v>0</v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REFERENCE OTHER COST</t>
        </is>
      </c>
      <c r="K37" s="19" t="n"/>
      <c r="L37" s="19" t="n"/>
      <c r="M37" s="19" t="n"/>
      <c r="N37" s="19" t="n"/>
      <c r="O37" s="19" t="n"/>
      <c r="P37" s="20" t="n">
        <v>6.55</v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REFERENCE DEDUCTION</t>
        </is>
      </c>
      <c r="K38" s="19" t="n"/>
      <c r="L38" s="19" t="n"/>
      <c r="M38" s="19" t="n"/>
      <c r="N38" s="19" t="n"/>
      <c r="O38" s="19" t="n"/>
      <c r="P38" s="20" t="n">
        <v>0</v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REFERENCE ADJUSTMENTS</t>
        </is>
      </c>
      <c r="K39" s="19" t="n"/>
      <c r="L39" s="19" t="n"/>
      <c r="M39" s="19" t="n"/>
      <c r="N39" s="19" t="n"/>
      <c r="O39" s="19" t="n"/>
      <c r="P39" s="20">
        <f>P35+P36+P37-P38</f>
        <v/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inlineStr">
        <is>
          <t>REFERENCE NET TOTAL</t>
        </is>
      </c>
      <c r="K40" s="19" t="n"/>
      <c r="L40" s="19" t="n"/>
      <c r="M40" s="19" t="n"/>
      <c r="N40" s="19" t="n"/>
      <c r="O40" s="19" t="n"/>
      <c r="P40" s="20">
        <f>P34+P39</f>
        <v/>
      </c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inlineStr">
        <is>
          <t>COMBINED ITEMS TOTAL</t>
        </is>
      </c>
      <c r="K42" s="19" t="n"/>
      <c r="L42" s="19" t="n"/>
      <c r="M42" s="19" t="n"/>
      <c r="N42" s="19" t="n"/>
      <c r="O42" s="19" t="n"/>
      <c r="P42" s="20">
        <f>P3+P34</f>
        <v/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inlineStr">
        <is>
          <t>FULL INVOICE FREIGHT</t>
        </is>
      </c>
      <c r="K43" s="19" t="n"/>
      <c r="L43" s="19" t="n"/>
      <c r="M43" s="19" t="n"/>
      <c r="N43" s="19" t="n"/>
      <c r="O43" s="19" t="n"/>
      <c r="P43" s="20">
        <f>T2+P35</f>
        <v/>
      </c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inlineStr">
        <is>
          <t>FULL INVOICE INSURANCE</t>
        </is>
      </c>
      <c r="K44" s="19" t="n"/>
      <c r="L44" s="19" t="n"/>
      <c r="M44" s="19" t="n"/>
      <c r="N44" s="19" t="n"/>
      <c r="O44" s="19" t="n"/>
      <c r="P44" s="20">
        <f>U2+P36</f>
        <v/>
      </c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inlineStr">
        <is>
          <t>FULL INVOICE OTHER COST</t>
        </is>
      </c>
      <c r="K45" s="19" t="n"/>
      <c r="L45" s="19" t="n"/>
      <c r="M45" s="19" t="n"/>
      <c r="N45" s="19" t="n"/>
      <c r="O45" s="19" t="n"/>
      <c r="P45" s="20">
        <f>V2+P37</f>
        <v/>
      </c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inlineStr">
        <is>
          <t>FULL INVOICE DEDUCTION</t>
        </is>
      </c>
      <c r="K46" s="19" t="n"/>
      <c r="L46" s="19" t="n"/>
      <c r="M46" s="19" t="n"/>
      <c r="N46" s="19" t="n"/>
      <c r="O46" s="19" t="n"/>
      <c r="P46" s="20">
        <f>W2+P38</f>
        <v/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inlineStr">
        <is>
          <t>FULL ADJUSTMENTS</t>
        </is>
      </c>
      <c r="K47" s="19" t="n"/>
      <c r="L47" s="19" t="n"/>
      <c r="M47" s="19" t="n"/>
      <c r="N47" s="19" t="n"/>
      <c r="O47" s="19" t="n"/>
      <c r="P47" s="20">
        <f>P43+P44+P45-P46</f>
        <v/>
      </c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inlineStr">
        <is>
          <t>COMBINED NET TOTAL</t>
        </is>
      </c>
      <c r="K48" s="19" t="n"/>
      <c r="L48" s="19" t="n"/>
      <c r="M48" s="19" t="n"/>
      <c r="N48" s="19" t="n"/>
      <c r="O48" s="19" t="n"/>
      <c r="P48" s="20">
        <f>P42+P47</f>
        <v/>
      </c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inlineStr">
        <is>
          <t>FULL INVOICE TOTAL</t>
        </is>
      </c>
      <c r="K49" s="19" t="n"/>
      <c r="L49" s="19" t="n"/>
      <c r="M49" s="19" t="n"/>
      <c r="N49" s="19" t="n"/>
      <c r="O49" s="19" t="n"/>
      <c r="P49" s="20" t="n">
        <v>162.45</v>
      </c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inlineStr">
        <is>
          <t>COMBINED VARIANCE CHECK</t>
        </is>
      </c>
      <c r="K50" s="19" t="n"/>
      <c r="L50" s="19" t="n"/>
      <c r="M50" s="19" t="n"/>
      <c r="N50" s="19" t="n"/>
      <c r="O50" s="19" t="n"/>
      <c r="P50" s="20">
        <f>P49-P48</f>
        <v/>
      </c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2026-04-26T23:40:43Z</dcterms:created>
  <dcterms:modified xmlns:dcterms="http://purl.org/dc/terms/" xmlns:xsi="http://www.w3.org/2001/XMLSchema-instance" xsi:type="dcterms:W3CDTF">2026-04-26T23:40:43Z</dcterms:modified>
</cp:coreProperties>
</file>