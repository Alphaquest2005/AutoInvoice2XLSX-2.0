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bined Invoices" sheetId="1" state="visible" r:id="rId1"/>
    <sheet xmlns:r="http://schemas.openxmlformats.org/officeDocument/2006/relationships" name="OCR Notes" sheetId="2" state="visible" r:id="rId2"/>
  </sheets>
  <definedNames/>
  <calcPr calcId="124519" fullCalcOnLoad="1"/>
</workbook>
</file>

<file path=xl/styles.xml><?xml version="1.0" encoding="utf-8"?>
<styleSheet xmlns="http://schemas.openxmlformats.org/spreadsheetml/2006/main">
  <numFmts count="3">
    <numFmt numFmtId="164" formatCode="$#,##0.00"/>
    <numFmt numFmtId="165" formatCode="0.0%"/>
    <numFmt numFmtId="166" formatCode="&quot;$&quot;#,##0.00"/>
  </numFmts>
  <fonts count="14">
    <font>
      <name val="Calibri"/>
      <family val="2"/>
      <color theme="1"/>
      <sz val="11"/>
      <scheme val="minor"/>
    </font>
    <font>
      <b val="1"/>
      <color rgb="00FFFFFF"/>
      <sz val="10"/>
    </font>
    <font>
      <b val="1"/>
      <sz val="11"/>
    </font>
    <font>
      <sz val="10"/>
    </font>
    <font>
      <b val="1"/>
      <color rgb="000000FF"/>
      <sz val="11"/>
    </font>
    <font>
      <b val="1"/>
      <color rgb="00FF0000"/>
      <sz val="11"/>
    </font>
    <font>
      <b val="1"/>
      <color rgb="009C5700"/>
      <sz val="11"/>
    </font>
    <font>
      <b val="1"/>
      <color rgb="001F4E79"/>
      <sz val="10"/>
    </font>
    <font>
      <color rgb="001F4E79"/>
      <sz val="10"/>
    </font>
    <font>
      <b val="1"/>
      <color rgb="00FFFFFF"/>
      <sz val="12"/>
    </font>
    <font>
      <b val="1"/>
    </font>
    <font>
      <b val="1"/>
      <color rgb="00FF0000"/>
    </font>
    <font>
      <i val="1"/>
      <color rgb="00666666"/>
    </font>
    <font>
      <b val="1"/>
      <color rgb="00FFFFFF"/>
      <sz val="11"/>
    </font>
  </fonts>
  <fills count="9">
    <fill>
      <patternFill/>
    </fill>
    <fill>
      <patternFill patternType="gray125"/>
    </fill>
    <fill>
      <patternFill patternType="solid">
        <fgColor rgb="004472C4"/>
        <bgColor rgb="004472C4"/>
      </patternFill>
    </fill>
    <fill>
      <patternFill patternType="solid">
        <fgColor rgb="00D9E1F2"/>
        <bgColor rgb="00D9E1F2"/>
      </patternFill>
    </fill>
    <fill>
      <patternFill patternType="solid">
        <fgColor rgb="00FFEBCC"/>
        <bgColor rgb="00FFEBCC"/>
      </patternFill>
    </fill>
    <fill>
      <patternFill patternType="solid">
        <fgColor rgb="00D6E4F0"/>
        <bgColor rgb="00D6E4F0"/>
      </patternFill>
    </fill>
    <fill>
      <patternFill patternType="solid">
        <fgColor rgb="00E0E0E0"/>
        <bgColor rgb="00E0E0E0"/>
      </patternFill>
    </fill>
    <fill>
      <patternFill patternType="solid">
        <fgColor rgb="00FFEB9C"/>
        <bgColor rgb="00FFEB9C"/>
      </patternFill>
    </fill>
    <fill>
      <patternFill patternType="solid">
        <fgColor rgb="00C6EFCE"/>
        <bgColor rgb="00C6EFCE"/>
      </patternFill>
    </fill>
  </fills>
  <borders count="2">
    <border>
      <left/>
      <right/>
      <top/>
      <bottom/>
      <diagonal/>
    </border>
    <border>
      <left style="thin"/>
      <right style="thin"/>
      <top style="thin"/>
      <bottom style="thin"/>
    </border>
  </borders>
  <cellStyleXfs count="1">
    <xf numFmtId="0" fontId="0" fillId="0" borderId="0"/>
  </cellStyleXfs>
  <cellXfs count="36">
    <xf numFmtId="0" fontId="0" fillId="0" borderId="0" pivotButton="0" quotePrefix="0" xfId="0"/>
    <xf numFmtId="0" fontId="1" fillId="2" borderId="1" applyAlignment="1" pivotButton="0" quotePrefix="0" xfId="0">
      <alignment horizontal="center" wrapText="1"/>
    </xf>
    <xf numFmtId="0" fontId="2" fillId="3" borderId="1" pivotButton="0" quotePrefix="0" xfId="0"/>
    <xf numFmtId="4" fontId="2" fillId="3" borderId="1" pivotButton="0" quotePrefix="0" xfId="0"/>
    <xf numFmtId="0" fontId="3" fillId="0" borderId="1" pivotButton="0" quotePrefix="0" xfId="0"/>
    <xf numFmtId="4" fontId="3" fillId="0" borderId="1" pivotButton="0" quotePrefix="0" xfId="0"/>
    <xf numFmtId="0" fontId="2" fillId="0" borderId="1" pivotButton="0" quotePrefix="0" xfId="0"/>
    <xf numFmtId="4" fontId="2" fillId="0" borderId="1" pivotButton="0" quotePrefix="0" xfId="0"/>
    <xf numFmtId="0" fontId="4" fillId="0" borderId="1" pivotButton="0" quotePrefix="0" xfId="0"/>
    <xf numFmtId="4" fontId="4" fillId="0" borderId="1" pivotButton="0" quotePrefix="0" xfId="0"/>
    <xf numFmtId="0" fontId="5" fillId="0" borderId="1" pivotButton="0" quotePrefix="0" xfId="0"/>
    <xf numFmtId="4" fontId="5" fillId="0" borderId="1" pivotButton="0" quotePrefix="0" xfId="0"/>
    <xf numFmtId="0" fontId="0" fillId="4" borderId="1" pivotButton="0" quotePrefix="0" xfId="0"/>
    <xf numFmtId="0" fontId="6" fillId="4" borderId="1" pivotButton="0" quotePrefix="0" xfId="0"/>
    <xf numFmtId="0" fontId="7" fillId="5" borderId="1" pivotButton="0" quotePrefix="0" xfId="0"/>
    <xf numFmtId="0" fontId="0" fillId="0" borderId="1" pivotButton="0" quotePrefix="0" xfId="0"/>
    <xf numFmtId="0" fontId="8" fillId="0" borderId="1" pivotButton="0" quotePrefix="0" xfId="0"/>
    <xf numFmtId="164" fontId="7" fillId="0" borderId="1" pivotButton="0" quotePrefix="0" xfId="0"/>
    <xf numFmtId="0" fontId="0" fillId="5" borderId="1" pivotButton="0" quotePrefix="0" xfId="0"/>
    <xf numFmtId="164" fontId="7" fillId="5" borderId="1" pivotButton="0" quotePrefix="0" xfId="0"/>
    <xf numFmtId="165" fontId="7" fillId="0" borderId="1" pivotButton="0" quotePrefix="0" xfId="0"/>
    <xf numFmtId="0" fontId="0" fillId="6" borderId="0" pivotButton="0" quotePrefix="0" xfId="0"/>
    <xf numFmtId="0" fontId="0" fillId="2" borderId="0" pivotButton="0" quotePrefix="0" xfId="0"/>
    <xf numFmtId="0" fontId="9" fillId="2" borderId="0" pivotButton="0" quotePrefix="0" xfId="0"/>
    <xf numFmtId="0" fontId="10" fillId="0" borderId="0" pivotButton="0" quotePrefix="0" xfId="0"/>
    <xf numFmtId="166" fontId="0" fillId="0" borderId="0" pivotButton="0" quotePrefix="0" xfId="0"/>
    <xf numFmtId="166" fontId="11" fillId="0" borderId="0" pivotButton="0" quotePrefix="0" xfId="0"/>
    <xf numFmtId="0" fontId="2" fillId="0" borderId="0" pivotButton="0" quotePrefix="0" xfId="0"/>
    <xf numFmtId="166" fontId="2" fillId="0" borderId="0" pivotButton="0" quotePrefix="0" xfId="0"/>
    <xf numFmtId="0" fontId="11" fillId="0" borderId="0" pivotButton="0" quotePrefix="0" xfId="0"/>
    <xf numFmtId="0" fontId="12" fillId="0" borderId="0" pivotButton="0" quotePrefix="0" xfId="0"/>
    <xf numFmtId="0" fontId="13" fillId="2" borderId="0" pivotButton="0" quotePrefix="0" xfId="0"/>
    <xf numFmtId="0" fontId="0" fillId="7" borderId="0" pivotButton="0" quotePrefix="0" xfId="0"/>
    <xf numFmtId="0" fontId="0" fillId="7" borderId="0" applyAlignment="1" pivotButton="0" quotePrefix="0" xfId="0">
      <alignment vertical="top" wrapText="1"/>
    </xf>
    <xf numFmtId="0" fontId="0" fillId="8" borderId="0" pivotButton="0" quotePrefix="0" xfId="0"/>
    <xf numFmtId="0" fontId="0" fillId="8"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72"/>
  <sheetViews>
    <sheetView workbookViewId="0">
      <selection activeCell="A1" sqref="A1"/>
    </sheetView>
  </sheetViews>
  <sheetFormatPr baseColWidth="8" defaultRowHeight="15"/>
  <cols>
    <col width="14" customWidth="1" min="1" max="1"/>
    <col width="12" customWidth="1" min="2" max="2"/>
    <col width="20" customWidth="1" min="3" max="3"/>
    <col width="12" customWidth="1" min="4" max="4"/>
    <col width="15" customWidth="1" min="5" max="5"/>
    <col width="12" customWidth="1" min="6" max="6"/>
    <col width="22" customWidth="1" min="7" max="7"/>
    <col width="40" customWidth="1" min="8" max="8"/>
    <col width="18" customWidth="1" min="9" max="9"/>
    <col width="45" customWidth="1" min="10" max="10"/>
    <col width="10" customWidth="1" min="11" max="11"/>
    <col width="12" customWidth="1" min="12" max="12"/>
    <col width="8" customWidth="1" min="13" max="13"/>
    <col width="8" customWidth="1" min="14" max="14"/>
    <col width="12" customWidth="1" min="15" max="15"/>
    <col width="12" customWidth="1" min="16" max="16"/>
    <col width="12" customWidth="1" min="17" max="17"/>
    <col width="14" customWidth="1" min="18" max="18"/>
    <col width="14" customWidth="1" min="19" max="19"/>
    <col width="16" customWidth="1" min="20" max="20"/>
    <col width="14" customWidth="1" min="21" max="21"/>
    <col width="14" customWidth="1" min="22" max="22"/>
    <col width="14" customWidth="1" min="23" max="23"/>
    <col width="10" customWidth="1" min="24" max="24"/>
    <col width="12" customWidth="1" min="25" max="25"/>
    <col width="14" customWidth="1" min="26" max="26"/>
    <col width="28" customWidth="1" min="27" max="27"/>
    <col width="40" customWidth="1" min="28" max="28"/>
    <col width="12" customWidth="1" min="29" max="29"/>
    <col width="12" customWidth="1" min="30" max="30"/>
    <col width="18" customWidth="1" min="31" max="31"/>
    <col width="16" customWidth="1" min="32" max="32"/>
    <col width="10" customWidth="1" min="33" max="33"/>
    <col width="10" customWidth="1" min="34" max="34"/>
    <col width="14" customWidth="1" min="35" max="35"/>
    <col width="14" customWidth="1" min="36" max="36"/>
    <col width="12" customWidth="1" min="37" max="37"/>
  </cols>
  <sheetData>
    <row r="1">
      <c r="A1" s="1" t="inlineStr">
        <is>
          <t>Document Type</t>
        </is>
      </c>
      <c r="B1" s="1" t="inlineStr">
        <is>
          <t>PO Number</t>
        </is>
      </c>
      <c r="C1" s="1" t="inlineStr">
        <is>
          <t>Supplier Invoice#</t>
        </is>
      </c>
      <c r="D1" s="1" t="inlineStr">
        <is>
          <t>Date</t>
        </is>
      </c>
      <c r="E1" s="1" t="inlineStr">
        <is>
          <t>Category</t>
        </is>
      </c>
      <c r="F1" s="1" t="inlineStr">
        <is>
          <t>TariffCode</t>
        </is>
      </c>
      <c r="G1" s="1" t="inlineStr">
        <is>
          <t>PO Item Number</t>
        </is>
      </c>
      <c r="H1" s="1" t="inlineStr">
        <is>
          <t>PO Item Description</t>
        </is>
      </c>
      <c r="I1" s="1" t="inlineStr">
        <is>
          <t>Supplier Item Number</t>
        </is>
      </c>
      <c r="J1" s="1" t="inlineStr">
        <is>
          <t>Supplier Item Description</t>
        </is>
      </c>
      <c r="K1" s="1" t="inlineStr">
        <is>
          <t>Quantity</t>
        </is>
      </c>
      <c r="L1" s="1" t="inlineStr">
        <is>
          <t>Per Unit</t>
        </is>
      </c>
      <c r="M1" s="1" t="inlineStr">
        <is>
          <t>UNITS</t>
        </is>
      </c>
      <c r="N1" s="1" t="inlineStr">
        <is>
          <t>Currency</t>
        </is>
      </c>
      <c r="O1" s="1" t="inlineStr">
        <is>
          <t>Cost</t>
        </is>
      </c>
      <c r="P1" s="1" t="inlineStr">
        <is>
          <t>Total Cost</t>
        </is>
      </c>
      <c r="Q1" s="1" t="inlineStr">
        <is>
          <t>Total</t>
        </is>
      </c>
      <c r="R1" s="1" t="inlineStr">
        <is>
          <t>TotalCost Vs Total</t>
        </is>
      </c>
      <c r="S1" s="1" t="inlineStr">
        <is>
          <t>InvoiceTotal</t>
        </is>
      </c>
      <c r="T1" s="1" t="inlineStr">
        <is>
          <t>Total Internal Freight</t>
        </is>
      </c>
      <c r="U1" s="1" t="inlineStr">
        <is>
          <t>Total Insurance</t>
        </is>
      </c>
      <c r="V1" s="1" t="inlineStr">
        <is>
          <t>Total Other Cost</t>
        </is>
      </c>
      <c r="W1" s="1" t="inlineStr">
        <is>
          <t>Total Deduction</t>
        </is>
      </c>
      <c r="X1" s="1" t="inlineStr">
        <is>
          <t>Packages</t>
        </is>
      </c>
      <c r="Y1" s="1" t="inlineStr">
        <is>
          <t>Warehouse</t>
        </is>
      </c>
      <c r="Z1" s="1" t="inlineStr">
        <is>
          <t>Supplier Code</t>
        </is>
      </c>
      <c r="AA1" s="1" t="inlineStr">
        <is>
          <t>Supplier Name</t>
        </is>
      </c>
      <c r="AB1" s="1" t="inlineStr">
        <is>
          <t>Supplier Address</t>
        </is>
      </c>
      <c r="AC1" s="1" t="inlineStr">
        <is>
          <t>Country Code</t>
        </is>
      </c>
      <c r="AD1" s="1" t="inlineStr">
        <is>
          <t>Instructions</t>
        </is>
      </c>
      <c r="AE1" s="1" t="inlineStr">
        <is>
          <t>Previous Declaration</t>
        </is>
      </c>
      <c r="AF1" s="1" t="inlineStr">
        <is>
          <t>Financial Information</t>
        </is>
      </c>
      <c r="AG1" s="1" t="inlineStr">
        <is>
          <t>Gallons</t>
        </is>
      </c>
      <c r="AH1" s="1" t="inlineStr">
        <is>
          <t>Liters</t>
        </is>
      </c>
      <c r="AI1" s="1" t="inlineStr">
        <is>
          <t>INVTotalCost</t>
        </is>
      </c>
      <c r="AJ1" s="1" t="inlineStr">
        <is>
          <t>POTotalCost</t>
        </is>
      </c>
      <c r="AK1" s="1" t="inlineStr">
        <is>
          <t>GroupBy</t>
        </is>
      </c>
    </row>
    <row r="2">
      <c r="A2" s="2" t="inlineStr">
        <is>
          <t>4000-000</t>
        </is>
      </c>
      <c r="B2" s="2" t="n"/>
      <c r="C2" s="2" t="inlineStr">
        <is>
          <t>HAWB9670577-Manifest_Invoice_1_Invoice_1</t>
        </is>
      </c>
      <c r="D2" s="2" t="n"/>
      <c r="E2" s="2" t="inlineStr">
        <is>
          <t>BAGS &amp; LUGGAGE</t>
        </is>
      </c>
      <c r="F2" s="2" t="inlineStr">
        <is>
          <t>42022200</t>
        </is>
      </c>
      <c r="G2" s="2" t="n"/>
      <c r="H2" s="2" t="n"/>
      <c r="I2" s="2" t="inlineStr">
        <is>
          <t>42022200</t>
        </is>
      </c>
      <c r="J2" s="2" t="inlineStr">
        <is>
          <t>, ih Luxurious Faux Leather Tote Handbag - Spaciou... (1 items)</t>
        </is>
      </c>
      <c r="K2" s="2" t="n">
        <v>0</v>
      </c>
      <c r="L2" s="2" t="n"/>
      <c r="M2" s="2" t="n"/>
      <c r="N2" s="2" t="inlineStr">
        <is>
          <t>USD</t>
        </is>
      </c>
      <c r="O2" s="3" t="n"/>
      <c r="P2" s="3" t="n">
        <v>7.47</v>
      </c>
      <c r="Q2" s="3">
        <f>O2*K2</f>
        <v/>
      </c>
      <c r="R2" s="3">
        <f>P2-Q2</f>
        <v/>
      </c>
      <c r="S2" s="3" t="n">
        <v>10.45</v>
      </c>
      <c r="T2" s="3" t="n">
        <v>0</v>
      </c>
      <c r="U2" s="3" t="n">
        <v>0</v>
      </c>
      <c r="V2" s="3" t="n">
        <v>0</v>
      </c>
      <c r="W2" s="3" t="n">
        <v>0</v>
      </c>
      <c r="X2" s="2" t="n">
        <v>1</v>
      </c>
      <c r="Y2" s="2" t="n"/>
      <c r="Z2" s="2" t="inlineStr">
        <is>
          <t>UNKNOWN_</t>
        </is>
      </c>
      <c r="AA2" s="2" t="inlineStr">
        <is>
          <t>unknown_</t>
        </is>
      </c>
      <c r="AB2" s="2" t="n"/>
      <c r="AC2" s="2" t="inlineStr">
        <is>
          <t>US</t>
        </is>
      </c>
      <c r="AD2" s="2" t="n"/>
      <c r="AE2" s="2" t="n"/>
      <c r="AF2" s="2" t="n"/>
      <c r="AG2" s="2" t="n"/>
      <c r="AH2" s="2" t="n"/>
      <c r="AI2" s="2" t="n"/>
      <c r="AJ2" s="2" t="n"/>
      <c r="AK2" s="2" t="inlineStr">
        <is>
          <t>42022200</t>
        </is>
      </c>
    </row>
    <row r="3">
      <c r="A3" s="4" t="n"/>
      <c r="B3" s="4" t="n"/>
      <c r="C3" s="4" t="n"/>
      <c r="D3" s="4" t="n"/>
      <c r="E3" s="4" t="n"/>
      <c r="F3" s="4" t="inlineStr">
        <is>
          <t>42022200</t>
        </is>
      </c>
      <c r="G3" s="4" t="n"/>
      <c r="H3" s="4" t="n"/>
      <c r="I3" s="4" t="inlineStr">
        <is>
          <t>ITEM-001</t>
        </is>
      </c>
      <c r="J3" s="4" t="inlineStr">
        <is>
          <t>, ih Luxurious Faux Leather Tote Handbag - Spaciou...</t>
        </is>
      </c>
      <c r="K3" s="4" t="n">
        <v>0</v>
      </c>
      <c r="L3" s="4" t="n"/>
      <c r="M3" s="4" t="n"/>
      <c r="N3" s="4" t="inlineStr">
        <is>
          <t>USD</t>
        </is>
      </c>
      <c r="O3" s="5" t="n">
        <v>7.47</v>
      </c>
      <c r="P3" s="5" t="n">
        <v>7.47</v>
      </c>
      <c r="Q3" s="5">
        <f>O3*K3</f>
        <v/>
      </c>
      <c r="R3" s="5">
        <f>P3-Q3</f>
        <v/>
      </c>
      <c r="S3" s="4" t="n"/>
      <c r="T3" s="4" t="n"/>
      <c r="U3" s="4" t="n"/>
      <c r="V3" s="4" t="n"/>
      <c r="W3" s="4" t="n"/>
      <c r="X3" s="4" t="n"/>
      <c r="Y3" s="4" t="n"/>
      <c r="Z3" s="4" t="n"/>
      <c r="AA3" s="4" t="n"/>
      <c r="AB3" s="4" t="n"/>
      <c r="AC3" s="4" t="n"/>
      <c r="AD3" s="4" t="n"/>
      <c r="AE3" s="4" t="n"/>
      <c r="AF3" s="4" t="n"/>
      <c r="AG3" s="4" t="n"/>
      <c r="AH3" s="4" t="n"/>
      <c r="AI3" s="4" t="n"/>
      <c r="AJ3" s="4" t="n"/>
      <c r="AK3" s="4" t="n"/>
    </row>
    <row r="4">
      <c r="A4" s="2" t="n"/>
      <c r="B4" s="2" t="n"/>
      <c r="C4" s="2" t="inlineStr">
        <is>
          <t>HAWB9670577-Manifest_Invoice_1_Invoice_1</t>
        </is>
      </c>
      <c r="D4" s="2" t="n"/>
      <c r="E4" s="2" t="inlineStr">
        <is>
          <t>Parts</t>
        </is>
      </c>
      <c r="F4" s="2" t="inlineStr">
        <is>
          <t>85177000</t>
        </is>
      </c>
      <c r="G4" s="2" t="n"/>
      <c r="H4" s="2" t="n"/>
      <c r="I4" s="2" t="inlineStr">
        <is>
          <t>85177000</t>
        </is>
      </c>
      <c r="J4" s="2" t="inlineStr">
        <is>
          <t>eee = For Xiaomi/Redmi Note 9 4G/Note 9S/Note 10 ... (1 items)</t>
        </is>
      </c>
      <c r="K4" s="2" t="n">
        <v>0</v>
      </c>
      <c r="L4" s="2" t="n"/>
      <c r="M4" s="2" t="n"/>
      <c r="N4" s="2" t="inlineStr">
        <is>
          <t>USD</t>
        </is>
      </c>
      <c r="O4" s="3" t="n"/>
      <c r="P4" s="3" t="n">
        <v>2.98</v>
      </c>
      <c r="Q4" s="3">
        <f>O4*K4</f>
        <v/>
      </c>
      <c r="R4" s="3">
        <f>P4-Q4</f>
        <v/>
      </c>
      <c r="S4" s="3" t="n"/>
      <c r="T4" s="3" t="n"/>
      <c r="U4" s="3" t="n"/>
      <c r="V4" s="3" t="n"/>
      <c r="W4" s="3" t="n"/>
      <c r="X4" s="2" t="n"/>
      <c r="Y4" s="2" t="n"/>
      <c r="Z4" s="2" t="n"/>
      <c r="AA4" s="2" t="n"/>
      <c r="AB4" s="2" t="n"/>
      <c r="AC4" s="2" t="n"/>
      <c r="AD4" s="2" t="n"/>
      <c r="AE4" s="2" t="n"/>
      <c r="AF4" s="2" t="n"/>
      <c r="AG4" s="2" t="n"/>
      <c r="AH4" s="2" t="n"/>
      <c r="AI4" s="2" t="n"/>
      <c r="AJ4" s="2" t="n"/>
      <c r="AK4" s="2" t="inlineStr">
        <is>
          <t>85177000</t>
        </is>
      </c>
    </row>
    <row r="5">
      <c r="A5" s="4" t="n"/>
      <c r="B5" s="4" t="n"/>
      <c r="C5" s="4" t="n"/>
      <c r="D5" s="4" t="n"/>
      <c r="E5" s="4" t="n"/>
      <c r="F5" s="4" t="inlineStr">
        <is>
          <t>85177000</t>
        </is>
      </c>
      <c r="G5" s="4" t="n"/>
      <c r="H5" s="4" t="n"/>
      <c r="I5" s="4" t="inlineStr">
        <is>
          <t>ITEM-002</t>
        </is>
      </c>
      <c r="J5" s="4" t="inlineStr">
        <is>
          <t>eee = For Xiaomi/Redmi Note 9 4G/Note 9S/Note 10 ...</t>
        </is>
      </c>
      <c r="K5" s="4" t="n">
        <v>0</v>
      </c>
      <c r="L5" s="4" t="n"/>
      <c r="M5" s="4" t="n"/>
      <c r="N5" s="4" t="inlineStr">
        <is>
          <t>USD</t>
        </is>
      </c>
      <c r="O5" s="5" t="n">
        <v>2.98</v>
      </c>
      <c r="P5" s="5" t="n">
        <v>2.98</v>
      </c>
      <c r="Q5" s="5">
        <f>O5*K5</f>
        <v/>
      </c>
      <c r="R5" s="5">
        <f>P5-Q5</f>
        <v/>
      </c>
      <c r="S5" s="4" t="n"/>
      <c r="T5" s="4" t="n"/>
      <c r="U5" s="4" t="n"/>
      <c r="V5" s="4" t="n"/>
      <c r="W5" s="4" t="n"/>
      <c r="X5" s="4" t="n"/>
      <c r="Y5" s="4" t="n"/>
      <c r="Z5" s="4" t="n"/>
      <c r="AA5" s="4" t="n"/>
      <c r="AB5" s="4" t="n"/>
      <c r="AC5" s="4" t="n"/>
      <c r="AD5" s="4" t="n"/>
      <c r="AE5" s="4" t="n"/>
      <c r="AF5" s="4" t="n"/>
      <c r="AG5" s="4" t="n"/>
      <c r="AH5" s="4" t="n"/>
      <c r="AI5" s="4" t="n"/>
      <c r="AJ5" s="4" t="n"/>
      <c r="AK5" s="4" t="n"/>
    </row>
    <row r="6">
      <c r="A6" s="6" t="n"/>
      <c r="B6" s="6" t="n"/>
      <c r="C6" s="6" t="n"/>
      <c r="D6" s="6" t="n"/>
      <c r="E6" s="6" t="n"/>
      <c r="F6" s="6" t="n"/>
      <c r="G6" s="6" t="n"/>
      <c r="H6" s="6" t="n"/>
      <c r="I6" s="6" t="n"/>
      <c r="J6" s="6" t="inlineStr">
        <is>
          <t>SUBTOTAL (GROUPED)</t>
        </is>
      </c>
      <c r="K6" s="6" t="n"/>
      <c r="L6" s="6" t="n"/>
      <c r="M6" s="6" t="n"/>
      <c r="N6" s="6" t="n"/>
      <c r="O6" s="6" t="n"/>
      <c r="P6" s="7">
        <f>P2+P4</f>
        <v/>
      </c>
      <c r="Q6" s="7">
        <f>Q2+Q4</f>
        <v/>
      </c>
      <c r="R6" s="6" t="n"/>
      <c r="S6" s="6" t="n"/>
      <c r="T6" s="6" t="n"/>
      <c r="U6" s="6" t="n"/>
      <c r="V6" s="6" t="n"/>
      <c r="W6" s="6" t="n"/>
      <c r="X6" s="6" t="n"/>
      <c r="Y6" s="6" t="n"/>
      <c r="Z6" s="6" t="n"/>
      <c r="AA6" s="6" t="n"/>
      <c r="AB6" s="6" t="n"/>
      <c r="AC6" s="6" t="n"/>
      <c r="AD6" s="6" t="n"/>
      <c r="AE6" s="6" t="n"/>
      <c r="AF6" s="6" t="n"/>
      <c r="AG6" s="6" t="n"/>
      <c r="AH6" s="6" t="n"/>
      <c r="AI6" s="6" t="n"/>
      <c r="AJ6" s="6" t="n"/>
      <c r="AK6" s="6" t="n"/>
    </row>
    <row r="7">
      <c r="A7" s="6" t="n"/>
      <c r="B7" s="6" t="n"/>
      <c r="C7" s="6" t="n"/>
      <c r="D7" s="6" t="n"/>
      <c r="E7" s="6" t="n"/>
      <c r="F7" s="6" t="n"/>
      <c r="G7" s="6" t="n"/>
      <c r="H7" s="6" t="n"/>
      <c r="I7" s="6" t="n"/>
      <c r="J7" s="6" t="inlineStr">
        <is>
          <t>SUBTOTAL (DETAILS)</t>
        </is>
      </c>
      <c r="K7" s="6" t="n"/>
      <c r="L7" s="6" t="n"/>
      <c r="M7" s="6" t="n"/>
      <c r="N7" s="6" t="n"/>
      <c r="O7" s="6" t="n"/>
      <c r="P7" s="7">
        <f>SUM(P2:P5)-P6</f>
        <v/>
      </c>
      <c r="Q7" s="7">
        <f>SUM(Q2:Q5)-Q6</f>
        <v/>
      </c>
      <c r="R7" s="6" t="n"/>
      <c r="S7" s="6" t="n"/>
      <c r="T7" s="6" t="n"/>
      <c r="U7" s="6" t="n"/>
      <c r="V7" s="6" t="n"/>
      <c r="W7" s="6" t="n"/>
      <c r="X7" s="6" t="n"/>
      <c r="Y7" s="6" t="n"/>
      <c r="Z7" s="6" t="n"/>
      <c r="AA7" s="6" t="n"/>
      <c r="AB7" s="6" t="n"/>
      <c r="AC7" s="6" t="n"/>
      <c r="AD7" s="6" t="n"/>
      <c r="AE7" s="6" t="n"/>
      <c r="AF7" s="6" t="n"/>
      <c r="AG7" s="6" t="n"/>
      <c r="AH7" s="6" t="n"/>
      <c r="AI7" s="6" t="n"/>
      <c r="AJ7" s="6" t="n"/>
      <c r="AK7" s="6" t="n"/>
    </row>
    <row r="8">
      <c r="A8" s="8" t="n"/>
      <c r="B8" s="8" t="n"/>
      <c r="C8" s="8" t="n"/>
      <c r="D8" s="8" t="n"/>
      <c r="E8" s="8" t="n"/>
      <c r="F8" s="8" t="n"/>
      <c r="G8" s="8" t="n"/>
      <c r="H8" s="8" t="n"/>
      <c r="I8" s="8" t="n"/>
      <c r="J8" s="8" t="inlineStr">
        <is>
          <t>GROUP VERIFICATION</t>
        </is>
      </c>
      <c r="K8" s="8" t="n"/>
      <c r="L8" s="8" t="n"/>
      <c r="M8" s="8" t="n"/>
      <c r="N8" s="8" t="n"/>
      <c r="O8" s="8" t="n"/>
      <c r="P8" s="9">
        <f>P6-P7</f>
        <v/>
      </c>
      <c r="Q8" s="9">
        <f>Q6-Q7</f>
        <v/>
      </c>
      <c r="R8" s="8" t="n"/>
      <c r="S8" s="8" t="n"/>
      <c r="T8" s="8" t="n"/>
      <c r="U8" s="8" t="n"/>
      <c r="V8" s="8" t="n"/>
      <c r="W8" s="8" t="n"/>
      <c r="X8" s="8" t="n"/>
      <c r="Y8" s="8" t="n"/>
      <c r="Z8" s="8" t="n"/>
      <c r="AA8" s="8" t="n"/>
      <c r="AB8" s="8" t="n"/>
      <c r="AC8" s="8" t="n"/>
      <c r="AD8" s="8" t="n"/>
      <c r="AE8" s="8" t="n"/>
      <c r="AF8" s="8" t="n"/>
      <c r="AG8" s="8" t="n"/>
      <c r="AH8" s="8" t="n"/>
      <c r="AI8" s="8" t="n"/>
      <c r="AJ8" s="8" t="n"/>
      <c r="AK8" s="8" t="n"/>
    </row>
    <row r="9"/>
    <row r="10">
      <c r="A10" s="6" t="n"/>
      <c r="B10" s="6" t="n"/>
      <c r="C10" s="6" t="n"/>
      <c r="D10" s="6" t="n"/>
      <c r="E10" s="6" t="n"/>
      <c r="F10" s="6" t="n"/>
      <c r="G10" s="6" t="n"/>
      <c r="H10" s="6" t="n"/>
      <c r="I10" s="6" t="n"/>
      <c r="J10" s="6" t="inlineStr">
        <is>
          <t>TOTAL INTERNAL FREIGHT</t>
        </is>
      </c>
      <c r="K10" s="6" t="n"/>
      <c r="L10" s="6" t="n"/>
      <c r="M10" s="6" t="n"/>
      <c r="N10" s="6" t="n"/>
      <c r="O10" s="6" t="n"/>
      <c r="P10" s="7" t="n">
        <v>0</v>
      </c>
      <c r="Q10" s="7" t="n"/>
      <c r="R10" s="6" t="n"/>
      <c r="S10" s="6" t="n"/>
      <c r="T10" s="6" t="n"/>
      <c r="U10" s="6" t="n"/>
      <c r="V10" s="6" t="n"/>
      <c r="W10" s="6" t="n"/>
      <c r="X10" s="6" t="n"/>
      <c r="Y10" s="6" t="n"/>
      <c r="Z10" s="6" t="n"/>
      <c r="AA10" s="6" t="n"/>
      <c r="AB10" s="6" t="n"/>
      <c r="AC10" s="6" t="n"/>
      <c r="AD10" s="6" t="n"/>
      <c r="AE10" s="6" t="n"/>
      <c r="AF10" s="6" t="n"/>
      <c r="AG10" s="6" t="n"/>
      <c r="AH10" s="6" t="n"/>
      <c r="AI10" s="6" t="n"/>
      <c r="AJ10" s="6" t="n"/>
      <c r="AK10" s="6" t="n"/>
    </row>
    <row r="11">
      <c r="A11" s="6" t="n"/>
      <c r="B11" s="6" t="n"/>
      <c r="C11" s="6" t="n"/>
      <c r="D11" s="6" t="n"/>
      <c r="E11" s="6" t="n"/>
      <c r="F11" s="6" t="n"/>
      <c r="G11" s="6" t="n"/>
      <c r="H11" s="6" t="n"/>
      <c r="I11" s="6" t="n"/>
      <c r="J11" s="6" t="inlineStr">
        <is>
          <t>TOTAL INSURANCE</t>
        </is>
      </c>
      <c r="K11" s="6" t="n"/>
      <c r="L11" s="6" t="n"/>
      <c r="M11" s="6" t="n"/>
      <c r="N11" s="6" t="n"/>
      <c r="O11" s="6" t="n"/>
      <c r="P11" s="7" t="n">
        <v>0</v>
      </c>
      <c r="Q11" s="7" t="n"/>
      <c r="R11" s="6" t="n"/>
      <c r="S11" s="6" t="n"/>
      <c r="T11" s="6" t="n"/>
      <c r="U11" s="6" t="n"/>
      <c r="V11" s="6" t="n"/>
      <c r="W11" s="6" t="n"/>
      <c r="X11" s="6" t="n"/>
      <c r="Y11" s="6" t="n"/>
      <c r="Z11" s="6" t="n"/>
      <c r="AA11" s="6" t="n"/>
      <c r="AB11" s="6" t="n"/>
      <c r="AC11" s="6" t="n"/>
      <c r="AD11" s="6" t="n"/>
      <c r="AE11" s="6" t="n"/>
      <c r="AF11" s="6" t="n"/>
      <c r="AG11" s="6" t="n"/>
      <c r="AH11" s="6" t="n"/>
      <c r="AI11" s="6" t="n"/>
      <c r="AJ11" s="6" t="n"/>
      <c r="AK11" s="6" t="n"/>
    </row>
    <row r="12">
      <c r="A12" s="6" t="n"/>
      <c r="B12" s="6" t="n"/>
      <c r="C12" s="6" t="n"/>
      <c r="D12" s="6" t="n"/>
      <c r="E12" s="6" t="n"/>
      <c r="F12" s="6" t="n"/>
      <c r="G12" s="6" t="n"/>
      <c r="H12" s="6" t="n"/>
      <c r="I12" s="6" t="n"/>
      <c r="J12" s="6" t="inlineStr">
        <is>
          <t>TOTAL OTHER COST</t>
        </is>
      </c>
      <c r="K12" s="6" t="n"/>
      <c r="L12" s="6" t="n"/>
      <c r="M12" s="6" t="n"/>
      <c r="N12" s="6" t="n"/>
      <c r="O12" s="6" t="n"/>
      <c r="P12" s="7" t="n">
        <v>0</v>
      </c>
      <c r="Q12" s="7" t="n"/>
      <c r="R12" s="6" t="n"/>
      <c r="S12" s="6" t="n"/>
      <c r="T12" s="6" t="n"/>
      <c r="U12" s="6" t="n"/>
      <c r="V12" s="6" t="n"/>
      <c r="W12" s="6" t="n"/>
      <c r="X12" s="6" t="n"/>
      <c r="Y12" s="6" t="n"/>
      <c r="Z12" s="6" t="n"/>
      <c r="AA12" s="6" t="n"/>
      <c r="AB12" s="6" t="n"/>
      <c r="AC12" s="6" t="n"/>
      <c r="AD12" s="6" t="n"/>
      <c r="AE12" s="6" t="n"/>
      <c r="AF12" s="6" t="n"/>
      <c r="AG12" s="6" t="n"/>
      <c r="AH12" s="6" t="n"/>
      <c r="AI12" s="6" t="n"/>
      <c r="AJ12" s="6" t="n"/>
      <c r="AK12" s="6" t="n"/>
    </row>
    <row r="13">
      <c r="A13" s="6" t="n"/>
      <c r="B13" s="6" t="n"/>
      <c r="C13" s="6" t="n"/>
      <c r="D13" s="6" t="n"/>
      <c r="E13" s="6" t="n"/>
      <c r="F13" s="6" t="n"/>
      <c r="G13" s="6" t="n"/>
      <c r="H13" s="6" t="n"/>
      <c r="I13" s="6" t="n"/>
      <c r="J13" s="6" t="inlineStr">
        <is>
          <t>TOTAL DEDUCTION</t>
        </is>
      </c>
      <c r="K13" s="6" t="n"/>
      <c r="L13" s="6" t="n"/>
      <c r="M13" s="6" t="n"/>
      <c r="N13" s="6" t="n"/>
      <c r="O13" s="6" t="n"/>
      <c r="P13" s="7" t="n">
        <v>0</v>
      </c>
      <c r="Q13" s="7" t="n"/>
      <c r="R13" s="6" t="n"/>
      <c r="S13" s="6" t="n"/>
      <c r="T13" s="6" t="n"/>
      <c r="U13" s="6" t="n"/>
      <c r="V13" s="6" t="n"/>
      <c r="W13" s="6" t="n"/>
      <c r="X13" s="6" t="n"/>
      <c r="Y13" s="6" t="n"/>
      <c r="Z13" s="6" t="n"/>
      <c r="AA13" s="6" t="n"/>
      <c r="AB13" s="6" t="n"/>
      <c r="AC13" s="6" t="n"/>
      <c r="AD13" s="6" t="n"/>
      <c r="AE13" s="6" t="n"/>
      <c r="AF13" s="6" t="n"/>
      <c r="AG13" s="6" t="n"/>
      <c r="AH13" s="6" t="n"/>
      <c r="AI13" s="6" t="n"/>
      <c r="AJ13" s="6" t="n"/>
      <c r="AK13" s="6" t="n"/>
    </row>
    <row r="14">
      <c r="A14" s="6" t="n"/>
      <c r="B14" s="6" t="n"/>
      <c r="C14" s="6" t="n"/>
      <c r="D14" s="6" t="n"/>
      <c r="E14" s="6" t="n"/>
      <c r="F14" s="6" t="n"/>
      <c r="G14" s="6" t="n"/>
      <c r="H14" s="6" t="n"/>
      <c r="I14" s="6" t="n"/>
      <c r="J14" s="6" t="inlineStr">
        <is>
          <t>ADJUSTMENTS</t>
        </is>
      </c>
      <c r="K14" s="6" t="n"/>
      <c r="L14" s="6" t="n"/>
      <c r="M14" s="6" t="n"/>
      <c r="N14" s="6" t="n"/>
      <c r="O14" s="6" t="n"/>
      <c r="P14" s="7">
        <f>(T2+U2+V2-W2)</f>
        <v/>
      </c>
      <c r="Q14" s="7">
        <f>(T2+U2+V2-W2)</f>
        <v/>
      </c>
      <c r="R14" s="6" t="n"/>
      <c r="S14" s="6" t="n"/>
      <c r="T14" s="6" t="n"/>
      <c r="U14" s="6" t="n"/>
      <c r="V14" s="6" t="n"/>
      <c r="W14" s="6" t="n"/>
      <c r="X14" s="6" t="n"/>
      <c r="Y14" s="6" t="n"/>
      <c r="Z14" s="6" t="n"/>
      <c r="AA14" s="6" t="n"/>
      <c r="AB14" s="6" t="n"/>
      <c r="AC14" s="6" t="n"/>
      <c r="AD14" s="6" t="n"/>
      <c r="AE14" s="6" t="n"/>
      <c r="AF14" s="6" t="n"/>
      <c r="AG14" s="6" t="n"/>
      <c r="AH14" s="6" t="n"/>
      <c r="AI14" s="6" t="n"/>
      <c r="AJ14" s="6" t="n"/>
      <c r="AK14" s="6" t="n"/>
    </row>
    <row r="15"/>
    <row r="16">
      <c r="A16" s="6" t="n"/>
      <c r="B16" s="6" t="n"/>
      <c r="C16" s="6" t="n"/>
      <c r="D16" s="6" t="n"/>
      <c r="E16" s="6" t="n"/>
      <c r="F16" s="6" t="n"/>
      <c r="G16" s="6" t="n"/>
      <c r="H16" s="6" t="n"/>
      <c r="I16" s="6" t="n"/>
      <c r="J16" s="6" t="inlineStr">
        <is>
          <t>NET TOTAL</t>
        </is>
      </c>
      <c r="K16" s="6" t="n"/>
      <c r="L16" s="6" t="n"/>
      <c r="M16" s="6" t="n"/>
      <c r="N16" s="6" t="n"/>
      <c r="O16" s="6" t="n"/>
      <c r="P16" s="7">
        <f>P6+P14</f>
        <v/>
      </c>
      <c r="Q16" s="7">
        <f>Q6+Q14</f>
        <v/>
      </c>
      <c r="R16" s="6" t="n"/>
      <c r="S16" s="6" t="n"/>
      <c r="T16" s="6" t="n"/>
      <c r="U16" s="6" t="n"/>
      <c r="V16" s="6" t="n"/>
      <c r="W16" s="6" t="n"/>
      <c r="X16" s="6" t="n"/>
      <c r="Y16" s="6" t="n"/>
      <c r="Z16" s="6" t="n"/>
      <c r="AA16" s="6" t="n"/>
      <c r="AB16" s="6" t="n"/>
      <c r="AC16" s="6" t="n"/>
      <c r="AD16" s="6" t="n"/>
      <c r="AE16" s="6" t="n"/>
      <c r="AF16" s="6" t="n"/>
      <c r="AG16" s="6" t="n"/>
      <c r="AH16" s="6" t="n"/>
      <c r="AI16" s="6" t="n"/>
      <c r="AJ16" s="6" t="n"/>
      <c r="AK16" s="6" t="n"/>
    </row>
    <row r="17">
      <c r="A17" s="6" t="n"/>
      <c r="B17" s="6" t="n"/>
      <c r="C17" s="6" t="n"/>
      <c r="D17" s="6" t="n"/>
      <c r="E17" s="6" t="n"/>
      <c r="F17" s="6" t="n"/>
      <c r="G17" s="6" t="n"/>
      <c r="H17" s="6" t="n"/>
      <c r="I17" s="6" t="n"/>
      <c r="J17" s="6" t="inlineStr">
        <is>
          <t>INVOICE TOTAL</t>
        </is>
      </c>
      <c r="K17" s="6" t="n"/>
      <c r="L17" s="6" t="n"/>
      <c r="M17" s="6" t="n"/>
      <c r="N17" s="6" t="n"/>
      <c r="O17" s="6" t="n"/>
      <c r="P17" s="7">
        <f>S2</f>
        <v/>
      </c>
      <c r="Q17" s="7" t="n"/>
      <c r="R17" s="6" t="n"/>
      <c r="S17" s="6" t="n"/>
      <c r="T17" s="6" t="n"/>
      <c r="U17" s="6" t="n"/>
      <c r="V17" s="6" t="n"/>
      <c r="W17" s="6" t="n"/>
      <c r="X17" s="6" t="n"/>
      <c r="Y17" s="6" t="n"/>
      <c r="Z17" s="6" t="n"/>
      <c r="AA17" s="6" t="n"/>
      <c r="AB17" s="6" t="n"/>
      <c r="AC17" s="6" t="n"/>
      <c r="AD17" s="6" t="n"/>
      <c r="AE17" s="6" t="n"/>
      <c r="AF17" s="6" t="n"/>
      <c r="AG17" s="6" t="n"/>
      <c r="AH17" s="6" t="n"/>
      <c r="AI17" s="6" t="n"/>
      <c r="AJ17" s="6" t="n"/>
      <c r="AK17" s="6" t="n"/>
    </row>
    <row r="18"/>
    <row r="19">
      <c r="A19" s="10" t="n"/>
      <c r="B19" s="10" t="n"/>
      <c r="C19" s="10" t="n"/>
      <c r="D19" s="10" t="n"/>
      <c r="E19" s="10" t="n"/>
      <c r="F19" s="10" t="n"/>
      <c r="G19" s="10" t="n"/>
      <c r="H19" s="10" t="n"/>
      <c r="I19" s="10" t="n"/>
      <c r="J19" s="10" t="inlineStr">
        <is>
          <t>VARIANCE CHECK</t>
        </is>
      </c>
      <c r="K19" s="10" t="n"/>
      <c r="L19" s="10" t="n"/>
      <c r="M19" s="10" t="n"/>
      <c r="N19" s="10" t="n"/>
      <c r="O19" s="10" t="n"/>
      <c r="P19" s="11">
        <f>S2-P16</f>
        <v/>
      </c>
      <c r="Q19" s="11">
        <f>S2-Q16</f>
        <v/>
      </c>
      <c r="R19" s="10" t="n"/>
      <c r="S19" s="10" t="n"/>
      <c r="T19" s="10" t="n"/>
      <c r="U19" s="10" t="n"/>
      <c r="V19" s="10" t="n"/>
      <c r="W19" s="10" t="n"/>
      <c r="X19" s="10" t="n"/>
      <c r="Y19" s="10" t="n"/>
      <c r="Z19" s="10" t="n"/>
      <c r="AA19" s="10" t="n"/>
      <c r="AB19" s="10" t="n"/>
      <c r="AC19" s="10" t="n"/>
      <c r="AD19" s="10" t="n"/>
      <c r="AE19" s="10" t="n"/>
      <c r="AF19" s="10" t="n"/>
      <c r="AG19" s="10" t="n"/>
      <c r="AH19" s="10" t="n"/>
      <c r="AI19" s="10" t="n"/>
      <c r="AJ19" s="10" t="n"/>
      <c r="AK19" s="10" t="n"/>
    </row>
    <row r="20"/>
    <row r="21">
      <c r="A21" s="12" t="n"/>
      <c r="B21" s="12" t="n"/>
      <c r="C21" s="12" t="n"/>
      <c r="D21" s="12" t="n"/>
      <c r="E21" s="12" t="n"/>
      <c r="F21" s="12" t="n"/>
      <c r="G21" s="12" t="n"/>
      <c r="H21" s="12" t="n"/>
      <c r="I21" s="12" t="n"/>
      <c r="J21" s="13" t="inlineStr">
        <is>
          <t>INVOICE NOTES: Invoice total uncertain</t>
        </is>
      </c>
      <c r="K21" s="12" t="n"/>
      <c r="L21" s="12" t="n"/>
      <c r="M21" s="12" t="n"/>
      <c r="N21" s="12" t="n"/>
      <c r="O21" s="12" t="n"/>
      <c r="P21" s="12" t="n"/>
      <c r="Q21" s="12" t="n"/>
      <c r="R21" s="12" t="n"/>
      <c r="S21" s="12" t="n"/>
      <c r="T21" s="12" t="n"/>
      <c r="U21" s="12" t="n"/>
      <c r="V21" s="12" t="n"/>
      <c r="W21" s="12" t="n"/>
      <c r="X21" s="12" t="n"/>
      <c r="Y21" s="12" t="n"/>
      <c r="Z21" s="12" t="n"/>
      <c r="AA21" s="12" t="n"/>
      <c r="AB21" s="12" t="n"/>
      <c r="AC21" s="12" t="n"/>
      <c r="AD21" s="12" t="n"/>
      <c r="AE21" s="12" t="n"/>
      <c r="AF21" s="12" t="n"/>
      <c r="AG21" s="12" t="n"/>
      <c r="AH21" s="12" t="n"/>
      <c r="AI21" s="12" t="n"/>
      <c r="AJ21" s="12" t="n"/>
      <c r="AK21" s="12" t="n"/>
    </row>
    <row r="22"/>
    <row r="23">
      <c r="A23" s="14" t="n"/>
      <c r="B23" s="14" t="n"/>
      <c r="C23" s="14" t="n"/>
      <c r="D23" s="14" t="n"/>
      <c r="E23" s="14" t="n"/>
      <c r="F23" s="14" t="n"/>
      <c r="G23" s="14" t="n"/>
      <c r="H23" s="14" t="n"/>
      <c r="I23" s="14" t="n"/>
      <c r="J23" s="14" t="inlineStr">
        <is>
          <t>DUTY ESTIMATION (Classification Cross-Check)</t>
        </is>
      </c>
      <c r="K23" s="14" t="n"/>
      <c r="L23" s="14" t="n"/>
      <c r="M23" s="14" t="n"/>
      <c r="N23" s="14" t="n"/>
      <c r="O23" s="14" t="n"/>
      <c r="P23" s="14" t="n"/>
      <c r="Q23" s="14" t="n"/>
      <c r="R23" s="14" t="n"/>
      <c r="S23" s="14" t="n"/>
      <c r="T23" s="14" t="n"/>
      <c r="U23" s="14" t="n"/>
      <c r="V23" s="14" t="n"/>
      <c r="W23" s="14" t="n"/>
      <c r="X23" s="14" t="n"/>
      <c r="Y23" s="14" t="n"/>
      <c r="Z23" s="14" t="n"/>
      <c r="AA23" s="14" t="n"/>
      <c r="AB23" s="14" t="n"/>
      <c r="AC23" s="14" t="n"/>
      <c r="AD23" s="14" t="n"/>
      <c r="AE23" s="14" t="n"/>
      <c r="AF23" s="14" t="n"/>
      <c r="AG23" s="14" t="n"/>
      <c r="AH23" s="14" t="n"/>
      <c r="AI23" s="14" t="n"/>
      <c r="AJ23" s="14" t="n"/>
      <c r="AK23" s="14" t="n"/>
    </row>
    <row r="24">
      <c r="A24" s="15" t="n"/>
      <c r="B24" s="15" t="n"/>
      <c r="C24" s="15" t="n"/>
      <c r="D24" s="15" t="n"/>
      <c r="E24" s="15" t="n"/>
      <c r="F24" s="15" t="n"/>
      <c r="G24" s="15" t="n"/>
      <c r="H24" s="15" t="n"/>
      <c r="I24" s="15" t="n"/>
      <c r="J24" s="16" t="inlineStr">
        <is>
          <t>CIF (USD) = InvTotal + Freight + Insurance</t>
        </is>
      </c>
      <c r="K24" s="15" t="n"/>
      <c r="L24" s="15" t="n"/>
      <c r="M24" s="15" t="n"/>
      <c r="N24" s="15" t="n"/>
      <c r="O24" s="15" t="n"/>
      <c r="P24" s="17" t="n">
        <v>10.45</v>
      </c>
      <c r="Q24" s="15" t="n"/>
      <c r="R24" s="15" t="n"/>
      <c r="S24" s="15" t="n"/>
      <c r="T24" s="15" t="n"/>
      <c r="U24" s="15" t="n"/>
      <c r="V24" s="15" t="n"/>
      <c r="W24" s="15" t="n"/>
      <c r="X24" s="15" t="n"/>
      <c r="Y24" s="15" t="n"/>
      <c r="Z24" s="15" t="n"/>
      <c r="AA24" s="15" t="n"/>
      <c r="AB24" s="15" t="n"/>
      <c r="AC24" s="15" t="n"/>
      <c r="AD24" s="15" t="n"/>
      <c r="AE24" s="15" t="n"/>
      <c r="AF24" s="15" t="n"/>
      <c r="AG24" s="15" t="n"/>
      <c r="AH24" s="15" t="n"/>
      <c r="AI24" s="15" t="n"/>
      <c r="AJ24" s="15" t="n"/>
      <c r="AK24" s="15" t="n"/>
    </row>
    <row r="25">
      <c r="A25" s="15" t="n"/>
      <c r="B25" s="15" t="n"/>
      <c r="C25" s="15" t="n"/>
      <c r="D25" s="15" t="n"/>
      <c r="E25" s="15" t="n"/>
      <c r="F25" s="15" t="n"/>
      <c r="G25" s="15" t="n"/>
      <c r="H25" s="15" t="n"/>
      <c r="I25" s="15" t="n"/>
      <c r="J25" s="16" t="inlineStr">
        <is>
          <t>CIF (XCD) = CIF × 2.7169</t>
        </is>
      </c>
      <c r="K25" s="15" t="n"/>
      <c r="L25" s="15" t="n"/>
      <c r="M25" s="15" t="n"/>
      <c r="N25" s="15" t="n"/>
      <c r="O25" s="15" t="n"/>
      <c r="P25" s="17" t="n">
        <v>28.39</v>
      </c>
      <c r="Q25" s="15" t="n"/>
      <c r="R25" s="15" t="n"/>
      <c r="S25" s="15" t="n"/>
      <c r="T25" s="15" t="n"/>
      <c r="U25" s="15" t="n"/>
      <c r="V25" s="15" t="n"/>
      <c r="W25" s="15" t="n"/>
      <c r="X25" s="15" t="n"/>
      <c r="Y25" s="15" t="n"/>
      <c r="Z25" s="15" t="n"/>
      <c r="AA25" s="15" t="n"/>
      <c r="AB25" s="15" t="n"/>
      <c r="AC25" s="15" t="n"/>
      <c r="AD25" s="15" t="n"/>
      <c r="AE25" s="15" t="n"/>
      <c r="AF25" s="15" t="n"/>
      <c r="AG25" s="15" t="n"/>
      <c r="AH25" s="15" t="n"/>
      <c r="AI25" s="15" t="n"/>
      <c r="AJ25" s="15" t="n"/>
      <c r="AK25" s="15" t="n"/>
    </row>
    <row r="26">
      <c r="A26" s="15" t="n"/>
      <c r="B26" s="15" t="n"/>
      <c r="C26" s="15" t="n"/>
      <c r="D26" s="15" t="n"/>
      <c r="E26" s="15" t="n"/>
      <c r="F26" s="15" t="n"/>
      <c r="G26" s="15" t="n"/>
      <c r="H26" s="15" t="n"/>
      <c r="I26" s="15" t="n"/>
      <c r="J26" s="16" t="inlineStr">
        <is>
          <t>CET (weighted avg 15.7%)</t>
        </is>
      </c>
      <c r="K26" s="15" t="n"/>
      <c r="L26" s="15" t="n"/>
      <c r="M26" s="15" t="n"/>
      <c r="N26" s="15" t="n"/>
      <c r="O26" s="15" t="n"/>
      <c r="P26" s="17" t="n">
        <v>4.46</v>
      </c>
      <c r="Q26" s="15" t="n"/>
      <c r="R26" s="15" t="n"/>
      <c r="S26" s="15" t="n"/>
      <c r="T26" s="15" t="n"/>
      <c r="U26" s="15" t="n"/>
      <c r="V26" s="15" t="n"/>
      <c r="W26" s="15" t="n"/>
      <c r="X26" s="15" t="n"/>
      <c r="Y26" s="15" t="n"/>
      <c r="Z26" s="15" t="n"/>
      <c r="AA26" s="15" t="n"/>
      <c r="AB26" s="15" t="n"/>
      <c r="AC26" s="15" t="n"/>
      <c r="AD26" s="15" t="n"/>
      <c r="AE26" s="15" t="n"/>
      <c r="AF26" s="15" t="n"/>
      <c r="AG26" s="15" t="n"/>
      <c r="AH26" s="15" t="n"/>
      <c r="AI26" s="15" t="n"/>
      <c r="AJ26" s="15" t="n"/>
      <c r="AK26" s="15" t="n"/>
    </row>
    <row r="27">
      <c r="A27" s="15" t="n"/>
      <c r="B27" s="15" t="n"/>
      <c r="C27" s="15" t="n"/>
      <c r="D27" s="15" t="n"/>
      <c r="E27" s="15" t="n"/>
      <c r="F27" s="15" t="n"/>
      <c r="G27" s="15" t="n"/>
      <c r="H27" s="15" t="n"/>
      <c r="I27" s="15" t="n"/>
      <c r="J27" s="16" t="inlineStr">
        <is>
          <t xml:space="preserve">  └ 42022200: 20% CET (71% of value)</t>
        </is>
      </c>
      <c r="K27" s="15" t="n"/>
      <c r="L27" s="15" t="n"/>
      <c r="M27" s="15" t="n"/>
      <c r="N27" s="15" t="n"/>
      <c r="O27" s="15" t="n"/>
      <c r="P27" s="17" t="n">
        <v>4.06</v>
      </c>
      <c r="Q27" s="15" t="n"/>
      <c r="R27" s="15" t="n"/>
      <c r="S27" s="15" t="n"/>
      <c r="T27" s="15" t="n"/>
      <c r="U27" s="15" t="n"/>
      <c r="V27" s="15" t="n"/>
      <c r="W27" s="15" t="n"/>
      <c r="X27" s="15" t="n"/>
      <c r="Y27" s="15" t="n"/>
      <c r="Z27" s="15" t="n"/>
      <c r="AA27" s="15" t="n"/>
      <c r="AB27" s="15" t="n"/>
      <c r="AC27" s="15" t="n"/>
      <c r="AD27" s="15" t="n"/>
      <c r="AE27" s="15" t="n"/>
      <c r="AF27" s="15" t="n"/>
      <c r="AG27" s="15" t="n"/>
      <c r="AH27" s="15" t="n"/>
      <c r="AI27" s="15" t="n"/>
      <c r="AJ27" s="15" t="n"/>
      <c r="AK27" s="15" t="n"/>
    </row>
    <row r="28">
      <c r="A28" s="15" t="n"/>
      <c r="B28" s="15" t="n"/>
      <c r="C28" s="15" t="n"/>
      <c r="D28" s="15" t="n"/>
      <c r="E28" s="15" t="n"/>
      <c r="F28" s="15" t="n"/>
      <c r="G28" s="15" t="n"/>
      <c r="H28" s="15" t="n"/>
      <c r="I28" s="15" t="n"/>
      <c r="J28" s="16" t="inlineStr">
        <is>
          <t xml:space="preserve">  └ 85177000: 5% CET (29% of value)</t>
        </is>
      </c>
      <c r="K28" s="15" t="n"/>
      <c r="L28" s="15" t="n"/>
      <c r="M28" s="15" t="n"/>
      <c r="N28" s="15" t="n"/>
      <c r="O28" s="15" t="n"/>
      <c r="P28" s="17" t="n">
        <v>0.4</v>
      </c>
      <c r="Q28" s="15" t="n"/>
      <c r="R28" s="15" t="n"/>
      <c r="S28" s="15" t="n"/>
      <c r="T28" s="15" t="n"/>
      <c r="U28" s="15" t="n"/>
      <c r="V28" s="15" t="n"/>
      <c r="W28" s="15" t="n"/>
      <c r="X28" s="15" t="n"/>
      <c r="Y28" s="15" t="n"/>
      <c r="Z28" s="15" t="n"/>
      <c r="AA28" s="15" t="n"/>
      <c r="AB28" s="15" t="n"/>
      <c r="AC28" s="15" t="n"/>
      <c r="AD28" s="15" t="n"/>
      <c r="AE28" s="15" t="n"/>
      <c r="AF28" s="15" t="n"/>
      <c r="AG28" s="15" t="n"/>
      <c r="AH28" s="15" t="n"/>
      <c r="AI28" s="15" t="n"/>
      <c r="AJ28" s="15" t="n"/>
      <c r="AK28" s="15" t="n"/>
    </row>
    <row r="29">
      <c r="A29" s="15" t="n"/>
      <c r="B29" s="15" t="n"/>
      <c r="C29" s="15" t="n"/>
      <c r="D29" s="15" t="n"/>
      <c r="E29" s="15" t="n"/>
      <c r="F29" s="15" t="n"/>
      <c r="G29" s="15" t="n"/>
      <c r="H29" s="15" t="n"/>
      <c r="I29" s="15" t="n"/>
      <c r="J29" s="16" t="inlineStr">
        <is>
          <t>CSC (6%)</t>
        </is>
      </c>
      <c r="K29" s="15" t="n"/>
      <c r="L29" s="15" t="n"/>
      <c r="M29" s="15" t="n"/>
      <c r="N29" s="15" t="n"/>
      <c r="O29" s="15" t="n"/>
      <c r="P29" s="17" t="n">
        <v>1.7</v>
      </c>
      <c r="Q29" s="15" t="n"/>
      <c r="R29" s="15" t="n"/>
      <c r="S29" s="15" t="n"/>
      <c r="T29" s="15" t="n"/>
      <c r="U29" s="15" t="n"/>
      <c r="V29" s="15" t="n"/>
      <c r="W29" s="15" t="n"/>
      <c r="X29" s="15" t="n"/>
      <c r="Y29" s="15" t="n"/>
      <c r="Z29" s="15" t="n"/>
      <c r="AA29" s="15" t="n"/>
      <c r="AB29" s="15" t="n"/>
      <c r="AC29" s="15" t="n"/>
      <c r="AD29" s="15" t="n"/>
      <c r="AE29" s="15" t="n"/>
      <c r="AF29" s="15" t="n"/>
      <c r="AG29" s="15" t="n"/>
      <c r="AH29" s="15" t="n"/>
      <c r="AI29" s="15" t="n"/>
      <c r="AJ29" s="15" t="n"/>
      <c r="AK29" s="15" t="n"/>
    </row>
    <row r="30">
      <c r="A30" s="15" t="n"/>
      <c r="B30" s="15" t="n"/>
      <c r="C30" s="15" t="n"/>
      <c r="D30" s="15" t="n"/>
      <c r="E30" s="15" t="n"/>
      <c r="F30" s="15" t="n"/>
      <c r="G30" s="15" t="n"/>
      <c r="H30" s="15" t="n"/>
      <c r="I30" s="15" t="n"/>
      <c r="J30" s="16" t="inlineStr">
        <is>
          <t>VAT (15%) on CIF+CET+CSC</t>
        </is>
      </c>
      <c r="K30" s="15" t="n"/>
      <c r="L30" s="15" t="n"/>
      <c r="M30" s="15" t="n"/>
      <c r="N30" s="15" t="n"/>
      <c r="O30" s="15" t="n"/>
      <c r="P30" s="17" t="n">
        <v>5.18</v>
      </c>
      <c r="Q30" s="15" t="n"/>
      <c r="R30" s="15" t="n"/>
      <c r="S30" s="15" t="n"/>
      <c r="T30" s="15" t="n"/>
      <c r="U30" s="15" t="n"/>
      <c r="V30" s="15" t="n"/>
      <c r="W30" s="15" t="n"/>
      <c r="X30" s="15" t="n"/>
      <c r="Y30" s="15" t="n"/>
      <c r="Z30" s="15" t="n"/>
      <c r="AA30" s="15" t="n"/>
      <c r="AB30" s="15" t="n"/>
      <c r="AC30" s="15" t="n"/>
      <c r="AD30" s="15" t="n"/>
      <c r="AE30" s="15" t="n"/>
      <c r="AF30" s="15" t="n"/>
      <c r="AG30" s="15" t="n"/>
      <c r="AH30" s="15" t="n"/>
      <c r="AI30" s="15" t="n"/>
      <c r="AJ30" s="15" t="n"/>
      <c r="AK30" s="15" t="n"/>
    </row>
    <row r="31">
      <c r="A31" s="18" t="n"/>
      <c r="B31" s="18" t="n"/>
      <c r="C31" s="18" t="n"/>
      <c r="D31" s="18" t="n"/>
      <c r="E31" s="18" t="n"/>
      <c r="F31" s="18" t="n"/>
      <c r="G31" s="18" t="n"/>
      <c r="H31" s="18" t="n"/>
      <c r="I31" s="18" t="n"/>
      <c r="J31" s="14" t="inlineStr">
        <is>
          <t>ESTIMATED TOTAL DUTIES</t>
        </is>
      </c>
      <c r="K31" s="18" t="n"/>
      <c r="L31" s="18" t="n"/>
      <c r="M31" s="18" t="n"/>
      <c r="N31" s="18" t="n"/>
      <c r="O31" s="18" t="n"/>
      <c r="P31" s="19" t="n">
        <v>11.34</v>
      </c>
      <c r="Q31" s="18" t="n"/>
      <c r="R31" s="18" t="n"/>
      <c r="S31" s="18" t="n"/>
      <c r="T31" s="18" t="n"/>
      <c r="U31" s="18" t="n"/>
      <c r="V31" s="18" t="n"/>
      <c r="W31" s="18" t="n"/>
      <c r="X31" s="18" t="n"/>
      <c r="Y31" s="18" t="n"/>
      <c r="Z31" s="18" t="n"/>
      <c r="AA31" s="18" t="n"/>
      <c r="AB31" s="18" t="n"/>
      <c r="AC31" s="18" t="n"/>
      <c r="AD31" s="18" t="n"/>
      <c r="AE31" s="18" t="n"/>
      <c r="AF31" s="18" t="n"/>
      <c r="AG31" s="18" t="n"/>
      <c r="AH31" s="18" t="n"/>
      <c r="AI31" s="18" t="n"/>
      <c r="AJ31" s="18" t="n"/>
      <c r="AK31" s="18" t="n"/>
    </row>
    <row r="32">
      <c r="A32" s="15" t="n"/>
      <c r="B32" s="15" t="n"/>
      <c r="C32" s="15" t="n"/>
      <c r="D32" s="15" t="n"/>
      <c r="E32" s="15" t="n"/>
      <c r="F32" s="15" t="n"/>
      <c r="G32" s="15" t="n"/>
      <c r="H32" s="15" t="n"/>
      <c r="I32" s="15" t="n"/>
      <c r="J32" s="16" t="inlineStr">
        <is>
          <t>Effective Duty Rate</t>
        </is>
      </c>
      <c r="K32" s="15" t="n"/>
      <c r="L32" s="15" t="n"/>
      <c r="M32" s="15" t="n"/>
      <c r="N32" s="15" t="n"/>
      <c r="O32" s="15" t="n"/>
      <c r="P32" s="20" t="n">
        <v>0.3994364212750969</v>
      </c>
      <c r="Q32" s="15" t="n"/>
      <c r="R32" s="15" t="n"/>
      <c r="S32" s="15" t="n"/>
      <c r="T32" s="15" t="n"/>
      <c r="U32" s="15" t="n"/>
      <c r="V32" s="15" t="n"/>
      <c r="W32" s="15" t="n"/>
      <c r="X32" s="15" t="n"/>
      <c r="Y32" s="15" t="n"/>
      <c r="Z32" s="15" t="n"/>
      <c r="AA32" s="15" t="n"/>
      <c r="AB32" s="15" t="n"/>
      <c r="AC32" s="15" t="n"/>
      <c r="AD32" s="15" t="n"/>
      <c r="AE32" s="15" t="n"/>
      <c r="AF32" s="15" t="n"/>
      <c r="AG32" s="15" t="n"/>
      <c r="AH32" s="15" t="n"/>
      <c r="AI32" s="15" t="n"/>
      <c r="AJ32" s="15" t="n"/>
      <c r="AK32" s="15" t="n"/>
    </row>
    <row r="33">
      <c r="A33" s="21" t="n"/>
      <c r="B33" s="21" t="n"/>
      <c r="C33" s="21" t="n"/>
      <c r="D33" s="21" t="n"/>
      <c r="E33" s="21" t="n"/>
      <c r="F33" s="21" t="n"/>
      <c r="G33" s="21" t="n"/>
      <c r="H33" s="21" t="n"/>
      <c r="I33" s="21" t="n"/>
      <c r="J33" s="21" t="n"/>
      <c r="K33" s="21" t="n"/>
      <c r="L33" s="21" t="n"/>
      <c r="M33" s="21" t="n"/>
      <c r="N33" s="21" t="n"/>
      <c r="O33" s="21" t="n"/>
      <c r="P33" s="21" t="n"/>
      <c r="Q33" s="21" t="n"/>
      <c r="R33" s="21" t="n"/>
      <c r="S33" s="21" t="n"/>
      <c r="T33" s="21" t="n"/>
      <c r="U33" s="21" t="n"/>
      <c r="V33" s="21" t="n"/>
      <c r="W33" s="21" t="n"/>
      <c r="X33" s="21" t="n"/>
      <c r="Y33" s="21" t="n"/>
      <c r="Z33" s="21" t="n"/>
      <c r="AA33" s="21" t="n"/>
      <c r="AB33" s="21" t="n"/>
      <c r="AC33" s="21" t="n"/>
      <c r="AD33" s="21" t="n"/>
      <c r="AE33" s="21" t="n"/>
      <c r="AF33" s="21" t="n"/>
      <c r="AG33" s="21" t="n"/>
      <c r="AH33" s="21" t="n"/>
      <c r="AI33" s="21" t="n"/>
      <c r="AJ33" s="21" t="n"/>
      <c r="AK33" s="21" t="n"/>
    </row>
    <row r="34">
      <c r="A34" s="4" t="inlineStr">
        <is>
          <t>4000-000</t>
        </is>
      </c>
      <c r="B34" s="4" t="n"/>
      <c r="C34" s="4" t="inlineStr">
        <is>
          <t>PO-211-08132515666552999</t>
        </is>
      </c>
      <c r="D34" s="4" t="inlineStr">
        <is>
          <t>2024-07-29</t>
        </is>
      </c>
      <c r="E34" s="4" t="inlineStr">
        <is>
          <t>Unspecified miscellaneous goods</t>
        </is>
      </c>
      <c r="F34" s="4" t="inlineStr">
        <is>
          <t>00000000</t>
        </is>
      </c>
      <c r="G34" s="4" t="n"/>
      <c r="H34" s="4" t="n"/>
      <c r="I34" s="4" t="inlineStr">
        <is>
          <t>TEM-1</t>
        </is>
      </c>
      <c r="J34" s="4" t="inlineStr">
        <is>
          <t>TEMU Purchase</t>
        </is>
      </c>
      <c r="K34" s="4" t="n">
        <v>1</v>
      </c>
      <c r="L34" s="4" t="n"/>
      <c r="M34" s="4" t="n"/>
      <c r="N34" s="4" t="inlineStr">
        <is>
          <t>USD</t>
        </is>
      </c>
      <c r="O34" s="5" t="n">
        <v>16.16</v>
      </c>
      <c r="P34" s="5" t="n">
        <v>16.16</v>
      </c>
      <c r="Q34" s="5">
        <f>O34*K34</f>
        <v/>
      </c>
      <c r="R34" s="5">
        <f>P34-Q34</f>
        <v/>
      </c>
      <c r="S34" s="5" t="n">
        <v>16.85</v>
      </c>
      <c r="T34" s="5" t="n">
        <v>0</v>
      </c>
      <c r="U34" s="5" t="n">
        <v>0</v>
      </c>
      <c r="V34" s="5" t="n">
        <v>0.6899999999999999</v>
      </c>
      <c r="W34" s="5" t="n">
        <v>65.53</v>
      </c>
      <c r="X34" s="4" t="n"/>
      <c r="Y34" s="4" t="n"/>
      <c r="Z34" s="4" t="inlineStr">
        <is>
          <t>TEMU</t>
        </is>
      </c>
      <c r="AA34" s="4" t="inlineStr">
        <is>
          <t>TEMU</t>
        </is>
      </c>
      <c r="AB34" s="4" t="inlineStr">
        <is>
          <t>31 St. James Avenue, Suite 355, Boston, MA 02116</t>
        </is>
      </c>
      <c r="AC34" s="4" t="inlineStr">
        <is>
          <t>CN</t>
        </is>
      </c>
      <c r="AD34" s="4" t="n"/>
      <c r="AE34" s="4" t="n"/>
      <c r="AF34" s="4" t="n"/>
      <c r="AG34" s="4" t="n"/>
      <c r="AH34" s="4" t="n"/>
      <c r="AI34" s="4" t="n"/>
      <c r="AJ34" s="4" t="n"/>
      <c r="AK34" s="4" t="inlineStr">
        <is>
          <t>00000000</t>
        </is>
      </c>
    </row>
    <row r="35">
      <c r="A35" s="6" t="n"/>
      <c r="B35" s="6" t="n"/>
      <c r="C35" s="6" t="n"/>
      <c r="D35" s="6" t="n"/>
      <c r="E35" s="6" t="n"/>
      <c r="F35" s="6" t="n"/>
      <c r="G35" s="6" t="n"/>
      <c r="H35" s="6" t="n"/>
      <c r="I35" s="6" t="n"/>
      <c r="J35" s="6" t="inlineStr">
        <is>
          <t>SUBTOTAL</t>
        </is>
      </c>
      <c r="K35" s="6" t="n"/>
      <c r="L35" s="6" t="n"/>
      <c r="M35" s="6" t="n"/>
      <c r="N35" s="6" t="n"/>
      <c r="O35" s="6" t="n"/>
      <c r="P35" s="7">
        <f>P34</f>
        <v/>
      </c>
      <c r="Q35" s="6" t="n"/>
      <c r="R35" s="6" t="n"/>
      <c r="S35" s="6" t="n"/>
      <c r="T35" s="6" t="n"/>
      <c r="U35" s="6" t="n"/>
      <c r="V35" s="6" t="n"/>
      <c r="W35" s="6" t="n"/>
      <c r="X35" s="6" t="n"/>
      <c r="Y35" s="6" t="n"/>
      <c r="Z35" s="6" t="n"/>
      <c r="AA35" s="6" t="n"/>
      <c r="AB35" s="6" t="n"/>
      <c r="AC35" s="6" t="n"/>
      <c r="AD35" s="6" t="n"/>
      <c r="AE35" s="6" t="n"/>
      <c r="AF35" s="6" t="n"/>
      <c r="AG35" s="6" t="n"/>
      <c r="AH35" s="6" t="n"/>
      <c r="AI35" s="6" t="n"/>
      <c r="AJ35" s="6" t="n"/>
      <c r="AK35" s="6" t="n"/>
    </row>
    <row r="36">
      <c r="A36" s="6" t="n"/>
      <c r="B36" s="6" t="n"/>
      <c r="C36" s="6" t="n"/>
      <c r="D36" s="6" t="n"/>
      <c r="E36" s="6" t="n"/>
      <c r="F36" s="6" t="n"/>
      <c r="G36" s="6" t="n"/>
      <c r="H36" s="6" t="n"/>
      <c r="I36" s="6" t="n"/>
      <c r="J36" s="6" t="inlineStr">
        <is>
          <t>ADJUSTMENTS</t>
        </is>
      </c>
      <c r="K36" s="6" t="n"/>
      <c r="L36" s="6" t="n"/>
      <c r="M36" s="6" t="n"/>
      <c r="N36" s="6" t="n"/>
      <c r="O36" s="6" t="n"/>
      <c r="P36" s="7">
        <f>(T34+U34+V34-W34)</f>
        <v/>
      </c>
      <c r="Q36" s="6" t="n"/>
      <c r="R36" s="6" t="n"/>
      <c r="S36" s="6" t="n"/>
      <c r="T36" s="6" t="n"/>
      <c r="U36" s="6" t="n"/>
      <c r="V36" s="6" t="n"/>
      <c r="W36" s="6" t="n"/>
      <c r="X36" s="6" t="n"/>
      <c r="Y36" s="6" t="n"/>
      <c r="Z36" s="6" t="n"/>
      <c r="AA36" s="6" t="n"/>
      <c r="AB36" s="6" t="n"/>
      <c r="AC36" s="6" t="n"/>
      <c r="AD36" s="6" t="n"/>
      <c r="AE36" s="6" t="n"/>
      <c r="AF36" s="6" t="n"/>
      <c r="AG36" s="6" t="n"/>
      <c r="AH36" s="6" t="n"/>
      <c r="AI36" s="6" t="n"/>
      <c r="AJ36" s="6" t="n"/>
      <c r="AK36" s="6" t="n"/>
    </row>
    <row r="37">
      <c r="A37" s="6" t="n"/>
      <c r="B37" s="6" t="n"/>
      <c r="C37" s="6" t="n"/>
      <c r="D37" s="6" t="n"/>
      <c r="E37" s="6" t="n"/>
      <c r="F37" s="6" t="n"/>
      <c r="G37" s="6" t="n"/>
      <c r="H37" s="6" t="n"/>
      <c r="I37" s="6" t="n"/>
      <c r="J37" s="6" t="inlineStr">
        <is>
          <t>NET TOTAL</t>
        </is>
      </c>
      <c r="K37" s="6" t="n"/>
      <c r="L37" s="6" t="n"/>
      <c r="M37" s="6" t="n"/>
      <c r="N37" s="6" t="n"/>
      <c r="O37" s="6" t="n"/>
      <c r="P37" s="7">
        <f>(P35+P36)</f>
        <v/>
      </c>
      <c r="Q37" s="6" t="n"/>
      <c r="R37" s="6" t="n"/>
      <c r="S37" s="6" t="n"/>
      <c r="T37" s="6" t="n"/>
      <c r="U37" s="6" t="n"/>
      <c r="V37" s="6" t="n"/>
      <c r="W37" s="6" t="n"/>
      <c r="X37" s="6" t="n"/>
      <c r="Y37" s="6" t="n"/>
      <c r="Z37" s="6" t="n"/>
      <c r="AA37" s="6" t="n"/>
      <c r="AB37" s="6" t="n"/>
      <c r="AC37" s="6" t="n"/>
      <c r="AD37" s="6" t="n"/>
      <c r="AE37" s="6" t="n"/>
      <c r="AF37" s="6" t="n"/>
      <c r="AG37" s="6" t="n"/>
      <c r="AH37" s="6" t="n"/>
      <c r="AI37" s="6" t="n"/>
      <c r="AJ37" s="6" t="n"/>
      <c r="AK37" s="6" t="n"/>
    </row>
    <row r="38">
      <c r="A38" s="6" t="n"/>
      <c r="B38" s="6" t="n"/>
      <c r="C38" s="6" t="n"/>
      <c r="D38" s="6" t="n"/>
      <c r="E38" s="6" t="n"/>
      <c r="F38" s="6" t="n"/>
      <c r="G38" s="6" t="n"/>
      <c r="H38" s="6" t="n"/>
      <c r="I38" s="6" t="n"/>
      <c r="J38" s="6" t="inlineStr">
        <is>
          <t>VARIANCE CHECK</t>
        </is>
      </c>
      <c r="K38" s="6" t="n"/>
      <c r="L38" s="6" t="n"/>
      <c r="M38" s="6" t="n"/>
      <c r="N38" s="6" t="n"/>
      <c r="O38" s="6" t="n"/>
      <c r="P38" s="7">
        <f>(S34-P37)</f>
        <v/>
      </c>
      <c r="Q38" s="6" t="n"/>
      <c r="R38" s="6" t="n"/>
      <c r="S38" s="6" t="n"/>
      <c r="T38" s="6" t="n"/>
      <c r="U38" s="6" t="n"/>
      <c r="V38" s="6" t="n"/>
      <c r="W38" s="6" t="n"/>
      <c r="X38" s="6" t="n"/>
      <c r="Y38" s="6" t="n"/>
      <c r="Z38" s="6" t="n"/>
      <c r="AA38" s="6" t="n"/>
      <c r="AB38" s="6" t="n"/>
      <c r="AC38" s="6" t="n"/>
      <c r="AD38" s="6" t="n"/>
      <c r="AE38" s="6" t="n"/>
      <c r="AF38" s="6" t="n"/>
      <c r="AG38" s="6" t="n"/>
      <c r="AH38" s="6" t="n"/>
      <c r="AI38" s="6" t="n"/>
      <c r="AJ38" s="6" t="n"/>
      <c r="AK38" s="6" t="n"/>
    </row>
    <row r="39"/>
    <row r="40">
      <c r="A40" s="14" t="n"/>
      <c r="B40" s="14" t="n"/>
      <c r="C40" s="14" t="n"/>
      <c r="D40" s="14" t="n"/>
      <c r="E40" s="14" t="n"/>
      <c r="F40" s="14" t="n"/>
      <c r="G40" s="14" t="n"/>
      <c r="H40" s="14" t="n"/>
      <c r="I40" s="14" t="n"/>
      <c r="J40" s="14" t="inlineStr">
        <is>
          <t>DUTY ESTIMATION (Classification Cross-Check)</t>
        </is>
      </c>
      <c r="K40" s="14" t="n"/>
      <c r="L40" s="14" t="n"/>
      <c r="M40" s="14" t="n"/>
      <c r="N40" s="14" t="n"/>
      <c r="O40" s="14" t="n"/>
      <c r="P40" s="14" t="n"/>
      <c r="Q40" s="14" t="n"/>
      <c r="R40" s="14" t="n"/>
      <c r="S40" s="14" t="n"/>
      <c r="T40" s="14" t="n"/>
      <c r="U40" s="14" t="n"/>
      <c r="V40" s="14" t="n"/>
      <c r="W40" s="14" t="n"/>
      <c r="X40" s="14" t="n"/>
      <c r="Y40" s="14" t="n"/>
      <c r="Z40" s="14" t="n"/>
      <c r="AA40" s="14" t="n"/>
      <c r="AB40" s="14" t="n"/>
      <c r="AC40" s="14" t="n"/>
      <c r="AD40" s="14" t="n"/>
      <c r="AE40" s="14" t="n"/>
      <c r="AF40" s="14" t="n"/>
      <c r="AG40" s="14" t="n"/>
      <c r="AH40" s="14" t="n"/>
      <c r="AI40" s="14" t="n"/>
      <c r="AJ40" s="14" t="n"/>
      <c r="AK40" s="14" t="n"/>
    </row>
    <row r="41">
      <c r="A41" s="15" t="n"/>
      <c r="B41" s="15" t="n"/>
      <c r="C41" s="15" t="n"/>
      <c r="D41" s="15" t="n"/>
      <c r="E41" s="15" t="n"/>
      <c r="F41" s="15" t="n"/>
      <c r="G41" s="15" t="n"/>
      <c r="H41" s="15" t="n"/>
      <c r="I41" s="15" t="n"/>
      <c r="J41" s="16" t="inlineStr">
        <is>
          <t>CIF (USD) = InvTotal + Freight + Insurance</t>
        </is>
      </c>
      <c r="K41" s="15" t="n"/>
      <c r="L41" s="15" t="n"/>
      <c r="M41" s="15" t="n"/>
      <c r="N41" s="15" t="n"/>
      <c r="O41" s="15" t="n"/>
      <c r="P41" s="17" t="n">
        <v>16.85</v>
      </c>
      <c r="Q41" s="15" t="n"/>
      <c r="R41" s="15" t="n"/>
      <c r="S41" s="15" t="n"/>
      <c r="T41" s="15" t="n"/>
      <c r="U41" s="15" t="n"/>
      <c r="V41" s="15" t="n"/>
      <c r="W41" s="15" t="n"/>
      <c r="X41" s="15" t="n"/>
      <c r="Y41" s="15" t="n"/>
      <c r="Z41" s="15" t="n"/>
      <c r="AA41" s="15" t="n"/>
      <c r="AB41" s="15" t="n"/>
      <c r="AC41" s="15" t="n"/>
      <c r="AD41" s="15" t="n"/>
      <c r="AE41" s="15" t="n"/>
      <c r="AF41" s="15" t="n"/>
      <c r="AG41" s="15" t="n"/>
      <c r="AH41" s="15" t="n"/>
      <c r="AI41" s="15" t="n"/>
      <c r="AJ41" s="15" t="n"/>
      <c r="AK41" s="15" t="n"/>
    </row>
    <row r="42">
      <c r="A42" s="15" t="n"/>
      <c r="B42" s="15" t="n"/>
      <c r="C42" s="15" t="n"/>
      <c r="D42" s="15" t="n"/>
      <c r="E42" s="15" t="n"/>
      <c r="F42" s="15" t="n"/>
      <c r="G42" s="15" t="n"/>
      <c r="H42" s="15" t="n"/>
      <c r="I42" s="15" t="n"/>
      <c r="J42" s="16" t="inlineStr">
        <is>
          <t>CIF (XCD) = CIF × 2.7169</t>
        </is>
      </c>
      <c r="K42" s="15" t="n"/>
      <c r="L42" s="15" t="n"/>
      <c r="M42" s="15" t="n"/>
      <c r="N42" s="15" t="n"/>
      <c r="O42" s="15" t="n"/>
      <c r="P42" s="17" t="n">
        <v>45.78</v>
      </c>
      <c r="Q42" s="15" t="n"/>
      <c r="R42" s="15" t="n"/>
      <c r="S42" s="15" t="n"/>
      <c r="T42" s="15" t="n"/>
      <c r="U42" s="15" t="n"/>
      <c r="V42" s="15" t="n"/>
      <c r="W42" s="15" t="n"/>
      <c r="X42" s="15" t="n"/>
      <c r="Y42" s="15" t="n"/>
      <c r="Z42" s="15" t="n"/>
      <c r="AA42" s="15" t="n"/>
      <c r="AB42" s="15" t="n"/>
      <c r="AC42" s="15" t="n"/>
      <c r="AD42" s="15" t="n"/>
      <c r="AE42" s="15" t="n"/>
      <c r="AF42" s="15" t="n"/>
      <c r="AG42" s="15" t="n"/>
      <c r="AH42" s="15" t="n"/>
      <c r="AI42" s="15" t="n"/>
      <c r="AJ42" s="15" t="n"/>
      <c r="AK42" s="15" t="n"/>
    </row>
    <row r="43">
      <c r="A43" s="15" t="n"/>
      <c r="B43" s="15" t="n"/>
      <c r="C43" s="15" t="n"/>
      <c r="D43" s="15" t="n"/>
      <c r="E43" s="15" t="n"/>
      <c r="F43" s="15" t="n"/>
      <c r="G43" s="15" t="n"/>
      <c r="H43" s="15" t="n"/>
      <c r="I43" s="15" t="n"/>
      <c r="J43" s="16" t="inlineStr">
        <is>
          <t>CET (20%) — Tariff 00000000</t>
        </is>
      </c>
      <c r="K43" s="15" t="n"/>
      <c r="L43" s="15" t="n"/>
      <c r="M43" s="15" t="n"/>
      <c r="N43" s="15" t="n"/>
      <c r="O43" s="15" t="n"/>
      <c r="P43" s="17" t="n">
        <v>9.16</v>
      </c>
      <c r="Q43" s="15" t="n"/>
      <c r="R43" s="15" t="n"/>
      <c r="S43" s="15" t="n"/>
      <c r="T43" s="15" t="n"/>
      <c r="U43" s="15" t="n"/>
      <c r="V43" s="15" t="n"/>
      <c r="W43" s="15" t="n"/>
      <c r="X43" s="15" t="n"/>
      <c r="Y43" s="15" t="n"/>
      <c r="Z43" s="15" t="n"/>
      <c r="AA43" s="15" t="n"/>
      <c r="AB43" s="15" t="n"/>
      <c r="AC43" s="15" t="n"/>
      <c r="AD43" s="15" t="n"/>
      <c r="AE43" s="15" t="n"/>
      <c r="AF43" s="15" t="n"/>
      <c r="AG43" s="15" t="n"/>
      <c r="AH43" s="15" t="n"/>
      <c r="AI43" s="15" t="n"/>
      <c r="AJ43" s="15" t="n"/>
      <c r="AK43" s="15" t="n"/>
    </row>
    <row r="44">
      <c r="A44" s="15" t="n"/>
      <c r="B44" s="15" t="n"/>
      <c r="C44" s="15" t="n"/>
      <c r="D44" s="15" t="n"/>
      <c r="E44" s="15" t="n"/>
      <c r="F44" s="15" t="n"/>
      <c r="G44" s="15" t="n"/>
      <c r="H44" s="15" t="n"/>
      <c r="I44" s="15" t="n"/>
      <c r="J44" s="16" t="inlineStr">
        <is>
          <t>CSC (6%)</t>
        </is>
      </c>
      <c r="K44" s="15" t="n"/>
      <c r="L44" s="15" t="n"/>
      <c r="M44" s="15" t="n"/>
      <c r="N44" s="15" t="n"/>
      <c r="O44" s="15" t="n"/>
      <c r="P44" s="17" t="n">
        <v>2.75</v>
      </c>
      <c r="Q44" s="15" t="n"/>
      <c r="R44" s="15" t="n"/>
      <c r="S44" s="15" t="n"/>
      <c r="T44" s="15" t="n"/>
      <c r="U44" s="15" t="n"/>
      <c r="V44" s="15" t="n"/>
      <c r="W44" s="15" t="n"/>
      <c r="X44" s="15" t="n"/>
      <c r="Y44" s="15" t="n"/>
      <c r="Z44" s="15" t="n"/>
      <c r="AA44" s="15" t="n"/>
      <c r="AB44" s="15" t="n"/>
      <c r="AC44" s="15" t="n"/>
      <c r="AD44" s="15" t="n"/>
      <c r="AE44" s="15" t="n"/>
      <c r="AF44" s="15" t="n"/>
      <c r="AG44" s="15" t="n"/>
      <c r="AH44" s="15" t="n"/>
      <c r="AI44" s="15" t="n"/>
      <c r="AJ44" s="15" t="n"/>
      <c r="AK44" s="15" t="n"/>
    </row>
    <row r="45">
      <c r="A45" s="15" t="n"/>
      <c r="B45" s="15" t="n"/>
      <c r="C45" s="15" t="n"/>
      <c r="D45" s="15" t="n"/>
      <c r="E45" s="15" t="n"/>
      <c r="F45" s="15" t="n"/>
      <c r="G45" s="15" t="n"/>
      <c r="H45" s="15" t="n"/>
      <c r="I45" s="15" t="n"/>
      <c r="J45" s="16" t="inlineStr">
        <is>
          <t>VAT (15%) on CIF+CET+CSC</t>
        </is>
      </c>
      <c r="K45" s="15" t="n"/>
      <c r="L45" s="15" t="n"/>
      <c r="M45" s="15" t="n"/>
      <c r="N45" s="15" t="n"/>
      <c r="O45" s="15" t="n"/>
      <c r="P45" s="17" t="n">
        <v>8.65</v>
      </c>
      <c r="Q45" s="15" t="n"/>
      <c r="R45" s="15" t="n"/>
      <c r="S45" s="15" t="n"/>
      <c r="T45" s="15" t="n"/>
      <c r="U45" s="15" t="n"/>
      <c r="V45" s="15" t="n"/>
      <c r="W45" s="15" t="n"/>
      <c r="X45" s="15" t="n"/>
      <c r="Y45" s="15" t="n"/>
      <c r="Z45" s="15" t="n"/>
      <c r="AA45" s="15" t="n"/>
      <c r="AB45" s="15" t="n"/>
      <c r="AC45" s="15" t="n"/>
      <c r="AD45" s="15" t="n"/>
      <c r="AE45" s="15" t="n"/>
      <c r="AF45" s="15" t="n"/>
      <c r="AG45" s="15" t="n"/>
      <c r="AH45" s="15" t="n"/>
      <c r="AI45" s="15" t="n"/>
      <c r="AJ45" s="15" t="n"/>
      <c r="AK45" s="15" t="n"/>
    </row>
    <row r="46">
      <c r="A46" s="18" t="n"/>
      <c r="B46" s="18" t="n"/>
      <c r="C46" s="18" t="n"/>
      <c r="D46" s="18" t="n"/>
      <c r="E46" s="18" t="n"/>
      <c r="F46" s="18" t="n"/>
      <c r="G46" s="18" t="n"/>
      <c r="H46" s="18" t="n"/>
      <c r="I46" s="18" t="n"/>
      <c r="J46" s="14" t="inlineStr">
        <is>
          <t>ESTIMATED TOTAL DUTIES</t>
        </is>
      </c>
      <c r="K46" s="18" t="n"/>
      <c r="L46" s="18" t="n"/>
      <c r="M46" s="18" t="n"/>
      <c r="N46" s="18" t="n"/>
      <c r="O46" s="18" t="n"/>
      <c r="P46" s="19" t="n">
        <v>20.56</v>
      </c>
      <c r="Q46" s="18" t="n"/>
      <c r="R46" s="18" t="n"/>
      <c r="S46" s="18" t="n"/>
      <c r="T46" s="18" t="n"/>
      <c r="U46" s="18" t="n"/>
      <c r="V46" s="18" t="n"/>
      <c r="W46" s="18" t="n"/>
      <c r="X46" s="18" t="n"/>
      <c r="Y46" s="18" t="n"/>
      <c r="Z46" s="18" t="n"/>
      <c r="AA46" s="18" t="n"/>
      <c r="AB46" s="18" t="n"/>
      <c r="AC46" s="18" t="n"/>
      <c r="AD46" s="18" t="n"/>
      <c r="AE46" s="18" t="n"/>
      <c r="AF46" s="18" t="n"/>
      <c r="AG46" s="18" t="n"/>
      <c r="AH46" s="18" t="n"/>
      <c r="AI46" s="18" t="n"/>
      <c r="AJ46" s="18" t="n"/>
      <c r="AK46" s="18" t="n"/>
    </row>
    <row r="47">
      <c r="A47" s="15" t="n"/>
      <c r="B47" s="15" t="n"/>
      <c r="C47" s="15" t="n"/>
      <c r="D47" s="15" t="n"/>
      <c r="E47" s="15" t="n"/>
      <c r="F47" s="15" t="n"/>
      <c r="G47" s="15" t="n"/>
      <c r="H47" s="15" t="n"/>
      <c r="I47" s="15" t="n"/>
      <c r="J47" s="16" t="inlineStr">
        <is>
          <t>Effective Duty Rate</t>
        </is>
      </c>
      <c r="K47" s="15" t="n"/>
      <c r="L47" s="15" t="n"/>
      <c r="M47" s="15" t="n"/>
      <c r="N47" s="15" t="n"/>
      <c r="O47" s="15" t="n"/>
      <c r="P47" s="20" t="n">
        <v>0.4491044124071646</v>
      </c>
      <c r="Q47" s="15" t="n"/>
      <c r="R47" s="15" t="n"/>
      <c r="S47" s="15" t="n"/>
      <c r="T47" s="15" t="n"/>
      <c r="U47" s="15" t="n"/>
      <c r="V47" s="15" t="n"/>
      <c r="W47" s="15" t="n"/>
      <c r="X47" s="15" t="n"/>
      <c r="Y47" s="15" t="n"/>
      <c r="Z47" s="15" t="n"/>
      <c r="AA47" s="15" t="n"/>
      <c r="AB47" s="15" t="n"/>
      <c r="AC47" s="15" t="n"/>
      <c r="AD47" s="15" t="n"/>
      <c r="AE47" s="15" t="n"/>
      <c r="AF47" s="15" t="n"/>
      <c r="AG47" s="15" t="n"/>
      <c r="AH47" s="15" t="n"/>
      <c r="AI47" s="15" t="n"/>
      <c r="AJ47" s="15" t="n"/>
      <c r="AK47" s="15" t="n"/>
    </row>
    <row r="48">
      <c r="A48" s="21" t="n"/>
      <c r="B48" s="21" t="n"/>
      <c r="C48" s="21" t="n"/>
      <c r="D48" s="21" t="n"/>
      <c r="E48" s="21" t="n"/>
      <c r="F48" s="21" t="n"/>
      <c r="G48" s="21" t="n"/>
      <c r="H48" s="21" t="n"/>
      <c r="I48" s="21" t="n"/>
      <c r="J48" s="21" t="n"/>
      <c r="K48" s="21" t="n"/>
      <c r="L48" s="21" t="n"/>
      <c r="M48" s="21" t="n"/>
      <c r="N48" s="21" t="n"/>
      <c r="O48" s="21" t="n"/>
      <c r="P48" s="21" t="n"/>
      <c r="Q48" s="21" t="n"/>
      <c r="R48" s="21" t="n"/>
      <c r="S48" s="21" t="n"/>
      <c r="T48" s="21" t="n"/>
      <c r="U48" s="21" t="n"/>
      <c r="V48" s="21" t="n"/>
      <c r="W48" s="21" t="n"/>
      <c r="X48" s="21" t="n"/>
      <c r="Y48" s="21" t="n"/>
      <c r="Z48" s="21" t="n"/>
      <c r="AA48" s="21" t="n"/>
      <c r="AB48" s="21" t="n"/>
      <c r="AC48" s="21" t="n"/>
      <c r="AD48" s="21" t="n"/>
      <c r="AE48" s="21" t="n"/>
      <c r="AF48" s="21" t="n"/>
      <c r="AG48" s="21" t="n"/>
      <c r="AH48" s="21" t="n"/>
      <c r="AI48" s="21" t="n"/>
      <c r="AJ48" s="21" t="n"/>
      <c r="AK48" s="21" t="n"/>
    </row>
    <row r="49">
      <c r="A49" s="4" t="inlineStr">
        <is>
          <t>4000-000</t>
        </is>
      </c>
      <c r="B49" s="4" t="n"/>
      <c r="C49" s="4" t="inlineStr">
        <is>
          <t>PO-211-13630044146552999</t>
        </is>
      </c>
      <c r="D49" s="4" t="inlineStr">
        <is>
          <t>2024-07-29</t>
        </is>
      </c>
      <c r="E49" s="4" t="inlineStr">
        <is>
          <t>Unspecified miscellaneous goods</t>
        </is>
      </c>
      <c r="F49" s="4" t="inlineStr">
        <is>
          <t>00000000</t>
        </is>
      </c>
      <c r="G49" s="4" t="n"/>
      <c r="H49" s="4" t="n"/>
      <c r="I49" s="4" t="inlineStr">
        <is>
          <t>TEM-1</t>
        </is>
      </c>
      <c r="J49" s="4" t="inlineStr">
        <is>
          <t>TEMU Purchase</t>
        </is>
      </c>
      <c r="K49" s="4" t="n">
        <v>1</v>
      </c>
      <c r="L49" s="4" t="n"/>
      <c r="M49" s="4" t="n"/>
      <c r="N49" s="4" t="inlineStr">
        <is>
          <t>USD</t>
        </is>
      </c>
      <c r="O49" s="5" t="n">
        <v>59.95</v>
      </c>
      <c r="P49" s="5" t="n">
        <v>59.95</v>
      </c>
      <c r="Q49" s="5">
        <f>O49*K49</f>
        <v/>
      </c>
      <c r="R49" s="5">
        <f>P49-Q49</f>
        <v/>
      </c>
      <c r="S49" s="5" t="n">
        <v>64.72</v>
      </c>
      <c r="T49" s="5" t="n">
        <v>0</v>
      </c>
      <c r="U49" s="5" t="n">
        <v>0</v>
      </c>
      <c r="V49" s="5" t="n">
        <v>4.79</v>
      </c>
      <c r="W49" s="5" t="n">
        <v>163.39</v>
      </c>
      <c r="X49" s="4" t="n"/>
      <c r="Y49" s="4" t="n"/>
      <c r="Z49" s="4" t="inlineStr">
        <is>
          <t>TEMU</t>
        </is>
      </c>
      <c r="AA49" s="4" t="inlineStr">
        <is>
          <t>TEMU</t>
        </is>
      </c>
      <c r="AB49" s="4" t="inlineStr">
        <is>
          <t>31 St. James Avenue, Suite 355, Boston, MA 02116</t>
        </is>
      </c>
      <c r="AC49" s="4" t="inlineStr">
        <is>
          <t>CN</t>
        </is>
      </c>
      <c r="AD49" s="4" t="n"/>
      <c r="AE49" s="4" t="n"/>
      <c r="AF49" s="4" t="n"/>
      <c r="AG49" s="4" t="n"/>
      <c r="AH49" s="4" t="n"/>
      <c r="AI49" s="4" t="n"/>
      <c r="AJ49" s="4" t="n"/>
      <c r="AK49" s="4" t="inlineStr">
        <is>
          <t>00000000</t>
        </is>
      </c>
    </row>
    <row r="50">
      <c r="A50" s="6" t="n"/>
      <c r="B50" s="6" t="n"/>
      <c r="C50" s="6" t="n"/>
      <c r="D50" s="6" t="n"/>
      <c r="E50" s="6" t="n"/>
      <c r="F50" s="6" t="n"/>
      <c r="G50" s="6" t="n"/>
      <c r="H50" s="6" t="n"/>
      <c r="I50" s="6" t="n"/>
      <c r="J50" s="6" t="inlineStr">
        <is>
          <t>SUBTOTAL</t>
        </is>
      </c>
      <c r="K50" s="6" t="n"/>
      <c r="L50" s="6" t="n"/>
      <c r="M50" s="6" t="n"/>
      <c r="N50" s="6" t="n"/>
      <c r="O50" s="6" t="n"/>
      <c r="P50" s="7">
        <f>P49</f>
        <v/>
      </c>
      <c r="Q50" s="6" t="n"/>
      <c r="R50" s="6" t="n"/>
      <c r="S50" s="6" t="n"/>
      <c r="T50" s="6" t="n"/>
      <c r="U50" s="6" t="n"/>
      <c r="V50" s="6" t="n"/>
      <c r="W50" s="6" t="n"/>
      <c r="X50" s="6" t="n"/>
      <c r="Y50" s="6" t="n"/>
      <c r="Z50" s="6" t="n"/>
      <c r="AA50" s="6" t="n"/>
      <c r="AB50" s="6" t="n"/>
      <c r="AC50" s="6" t="n"/>
      <c r="AD50" s="6" t="n"/>
      <c r="AE50" s="6" t="n"/>
      <c r="AF50" s="6" t="n"/>
      <c r="AG50" s="6" t="n"/>
      <c r="AH50" s="6" t="n"/>
      <c r="AI50" s="6" t="n"/>
      <c r="AJ50" s="6" t="n"/>
      <c r="AK50" s="6" t="n"/>
    </row>
    <row r="51">
      <c r="A51" s="6" t="n"/>
      <c r="B51" s="6" t="n"/>
      <c r="C51" s="6" t="n"/>
      <c r="D51" s="6" t="n"/>
      <c r="E51" s="6" t="n"/>
      <c r="F51" s="6" t="n"/>
      <c r="G51" s="6" t="n"/>
      <c r="H51" s="6" t="n"/>
      <c r="I51" s="6" t="n"/>
      <c r="J51" s="6" t="inlineStr">
        <is>
          <t>ADJUSTMENTS</t>
        </is>
      </c>
      <c r="K51" s="6" t="n"/>
      <c r="L51" s="6" t="n"/>
      <c r="M51" s="6" t="n"/>
      <c r="N51" s="6" t="n"/>
      <c r="O51" s="6" t="n"/>
      <c r="P51" s="7">
        <f>(T49+U49+V49-W49)</f>
        <v/>
      </c>
      <c r="Q51" s="6" t="n"/>
      <c r="R51" s="6" t="n"/>
      <c r="S51" s="6" t="n"/>
      <c r="T51" s="6" t="n"/>
      <c r="U51" s="6" t="n"/>
      <c r="V51" s="6" t="n"/>
      <c r="W51" s="6" t="n"/>
      <c r="X51" s="6" t="n"/>
      <c r="Y51" s="6" t="n"/>
      <c r="Z51" s="6" t="n"/>
      <c r="AA51" s="6" t="n"/>
      <c r="AB51" s="6" t="n"/>
      <c r="AC51" s="6" t="n"/>
      <c r="AD51" s="6" t="n"/>
      <c r="AE51" s="6" t="n"/>
      <c r="AF51" s="6" t="n"/>
      <c r="AG51" s="6" t="n"/>
      <c r="AH51" s="6" t="n"/>
      <c r="AI51" s="6" t="n"/>
      <c r="AJ51" s="6" t="n"/>
      <c r="AK51" s="6" t="n"/>
    </row>
    <row r="52">
      <c r="A52" s="6" t="n"/>
      <c r="B52" s="6" t="n"/>
      <c r="C52" s="6" t="n"/>
      <c r="D52" s="6" t="n"/>
      <c r="E52" s="6" t="n"/>
      <c r="F52" s="6" t="n"/>
      <c r="G52" s="6" t="n"/>
      <c r="H52" s="6" t="n"/>
      <c r="I52" s="6" t="n"/>
      <c r="J52" s="6" t="inlineStr">
        <is>
          <t>NET TOTAL</t>
        </is>
      </c>
      <c r="K52" s="6" t="n"/>
      <c r="L52" s="6" t="n"/>
      <c r="M52" s="6" t="n"/>
      <c r="N52" s="6" t="n"/>
      <c r="O52" s="6" t="n"/>
      <c r="P52" s="7">
        <f>(P50+P51)</f>
        <v/>
      </c>
      <c r="Q52" s="6" t="n"/>
      <c r="R52" s="6" t="n"/>
      <c r="S52" s="6" t="n"/>
      <c r="T52" s="6" t="n"/>
      <c r="U52" s="6" t="n"/>
      <c r="V52" s="6" t="n"/>
      <c r="W52" s="6" t="n"/>
      <c r="X52" s="6" t="n"/>
      <c r="Y52" s="6" t="n"/>
      <c r="Z52" s="6" t="n"/>
      <c r="AA52" s="6" t="n"/>
      <c r="AB52" s="6" t="n"/>
      <c r="AC52" s="6" t="n"/>
      <c r="AD52" s="6" t="n"/>
      <c r="AE52" s="6" t="n"/>
      <c r="AF52" s="6" t="n"/>
      <c r="AG52" s="6" t="n"/>
      <c r="AH52" s="6" t="n"/>
      <c r="AI52" s="6" t="n"/>
      <c r="AJ52" s="6" t="n"/>
      <c r="AK52" s="6" t="n"/>
    </row>
    <row r="53">
      <c r="A53" s="6" t="n"/>
      <c r="B53" s="6" t="n"/>
      <c r="C53" s="6" t="n"/>
      <c r="D53" s="6" t="n"/>
      <c r="E53" s="6" t="n"/>
      <c r="F53" s="6" t="n"/>
      <c r="G53" s="6" t="n"/>
      <c r="H53" s="6" t="n"/>
      <c r="I53" s="6" t="n"/>
      <c r="J53" s="6" t="inlineStr">
        <is>
          <t>VARIANCE CHECK</t>
        </is>
      </c>
      <c r="K53" s="6" t="n"/>
      <c r="L53" s="6" t="n"/>
      <c r="M53" s="6" t="n"/>
      <c r="N53" s="6" t="n"/>
      <c r="O53" s="6" t="n"/>
      <c r="P53" s="7">
        <f>(S49-P52)</f>
        <v/>
      </c>
      <c r="Q53" s="6" t="n"/>
      <c r="R53" s="6" t="n"/>
      <c r="S53" s="6" t="n"/>
      <c r="T53" s="6" t="n"/>
      <c r="U53" s="6" t="n"/>
      <c r="V53" s="6" t="n"/>
      <c r="W53" s="6" t="n"/>
      <c r="X53" s="6" t="n"/>
      <c r="Y53" s="6" t="n"/>
      <c r="Z53" s="6" t="n"/>
      <c r="AA53" s="6" t="n"/>
      <c r="AB53" s="6" t="n"/>
      <c r="AC53" s="6" t="n"/>
      <c r="AD53" s="6" t="n"/>
      <c r="AE53" s="6" t="n"/>
      <c r="AF53" s="6" t="n"/>
      <c r="AG53" s="6" t="n"/>
      <c r="AH53" s="6" t="n"/>
      <c r="AI53" s="6" t="n"/>
      <c r="AJ53" s="6" t="n"/>
      <c r="AK53" s="6" t="n"/>
    </row>
    <row r="54"/>
    <row r="55">
      <c r="A55" s="14" t="n"/>
      <c r="B55" s="14" t="n"/>
      <c r="C55" s="14" t="n"/>
      <c r="D55" s="14" t="n"/>
      <c r="E55" s="14" t="n"/>
      <c r="F55" s="14" t="n"/>
      <c r="G55" s="14" t="n"/>
      <c r="H55" s="14" t="n"/>
      <c r="I55" s="14" t="n"/>
      <c r="J55" s="14" t="inlineStr">
        <is>
          <t>DUTY ESTIMATION (Classification Cross-Check)</t>
        </is>
      </c>
      <c r="K55" s="14" t="n"/>
      <c r="L55" s="14" t="n"/>
      <c r="M55" s="14" t="n"/>
      <c r="N55" s="14" t="n"/>
      <c r="O55" s="14" t="n"/>
      <c r="P55" s="14" t="n"/>
      <c r="Q55" s="14" t="n"/>
      <c r="R55" s="14" t="n"/>
      <c r="S55" s="14" t="n"/>
      <c r="T55" s="14" t="n"/>
      <c r="U55" s="14" t="n"/>
      <c r="V55" s="14" t="n"/>
      <c r="W55" s="14" t="n"/>
      <c r="X55" s="14" t="n"/>
      <c r="Y55" s="14" t="n"/>
      <c r="Z55" s="14" t="n"/>
      <c r="AA55" s="14" t="n"/>
      <c r="AB55" s="14" t="n"/>
      <c r="AC55" s="14" t="n"/>
      <c r="AD55" s="14" t="n"/>
      <c r="AE55" s="14" t="n"/>
      <c r="AF55" s="14" t="n"/>
      <c r="AG55" s="14" t="n"/>
      <c r="AH55" s="14" t="n"/>
      <c r="AI55" s="14" t="n"/>
      <c r="AJ55" s="14" t="n"/>
      <c r="AK55" s="14" t="n"/>
    </row>
    <row r="56">
      <c r="A56" s="15" t="n"/>
      <c r="B56" s="15" t="n"/>
      <c r="C56" s="15" t="n"/>
      <c r="D56" s="15" t="n"/>
      <c r="E56" s="15" t="n"/>
      <c r="F56" s="15" t="n"/>
      <c r="G56" s="15" t="n"/>
      <c r="H56" s="15" t="n"/>
      <c r="I56" s="15" t="n"/>
      <c r="J56" s="16" t="inlineStr">
        <is>
          <t>CIF (USD) = InvTotal + Freight + Insurance</t>
        </is>
      </c>
      <c r="K56" s="15" t="n"/>
      <c r="L56" s="15" t="n"/>
      <c r="M56" s="15" t="n"/>
      <c r="N56" s="15" t="n"/>
      <c r="O56" s="15" t="n"/>
      <c r="P56" s="17" t="n">
        <v>64.72</v>
      </c>
      <c r="Q56" s="15" t="n"/>
      <c r="R56" s="15" t="n"/>
      <c r="S56" s="15" t="n"/>
      <c r="T56" s="15" t="n"/>
      <c r="U56" s="15" t="n"/>
      <c r="V56" s="15" t="n"/>
      <c r="W56" s="15" t="n"/>
      <c r="X56" s="15" t="n"/>
      <c r="Y56" s="15" t="n"/>
      <c r="Z56" s="15" t="n"/>
      <c r="AA56" s="15" t="n"/>
      <c r="AB56" s="15" t="n"/>
      <c r="AC56" s="15" t="n"/>
      <c r="AD56" s="15" t="n"/>
      <c r="AE56" s="15" t="n"/>
      <c r="AF56" s="15" t="n"/>
      <c r="AG56" s="15" t="n"/>
      <c r="AH56" s="15" t="n"/>
      <c r="AI56" s="15" t="n"/>
      <c r="AJ56" s="15" t="n"/>
      <c r="AK56" s="15" t="n"/>
    </row>
    <row r="57">
      <c r="A57" s="15" t="n"/>
      <c r="B57" s="15" t="n"/>
      <c r="C57" s="15" t="n"/>
      <c r="D57" s="15" t="n"/>
      <c r="E57" s="15" t="n"/>
      <c r="F57" s="15" t="n"/>
      <c r="G57" s="15" t="n"/>
      <c r="H57" s="15" t="n"/>
      <c r="I57" s="15" t="n"/>
      <c r="J57" s="16" t="inlineStr">
        <is>
          <t>CIF (XCD) = CIF × 2.7169</t>
        </is>
      </c>
      <c r="K57" s="15" t="n"/>
      <c r="L57" s="15" t="n"/>
      <c r="M57" s="15" t="n"/>
      <c r="N57" s="15" t="n"/>
      <c r="O57" s="15" t="n"/>
      <c r="P57" s="17" t="n">
        <v>175.84</v>
      </c>
      <c r="Q57" s="15" t="n"/>
      <c r="R57" s="15" t="n"/>
      <c r="S57" s="15" t="n"/>
      <c r="T57" s="15" t="n"/>
      <c r="U57" s="15" t="n"/>
      <c r="V57" s="15" t="n"/>
      <c r="W57" s="15" t="n"/>
      <c r="X57" s="15" t="n"/>
      <c r="Y57" s="15" t="n"/>
      <c r="Z57" s="15" t="n"/>
      <c r="AA57" s="15" t="n"/>
      <c r="AB57" s="15" t="n"/>
      <c r="AC57" s="15" t="n"/>
      <c r="AD57" s="15" t="n"/>
      <c r="AE57" s="15" t="n"/>
      <c r="AF57" s="15" t="n"/>
      <c r="AG57" s="15" t="n"/>
      <c r="AH57" s="15" t="n"/>
      <c r="AI57" s="15" t="n"/>
      <c r="AJ57" s="15" t="n"/>
      <c r="AK57" s="15" t="n"/>
    </row>
    <row r="58">
      <c r="A58" s="15" t="n"/>
      <c r="B58" s="15" t="n"/>
      <c r="C58" s="15" t="n"/>
      <c r="D58" s="15" t="n"/>
      <c r="E58" s="15" t="n"/>
      <c r="F58" s="15" t="n"/>
      <c r="G58" s="15" t="n"/>
      <c r="H58" s="15" t="n"/>
      <c r="I58" s="15" t="n"/>
      <c r="J58" s="16" t="inlineStr">
        <is>
          <t>CET (20%) — Tariff 00000000</t>
        </is>
      </c>
      <c r="K58" s="15" t="n"/>
      <c r="L58" s="15" t="n"/>
      <c r="M58" s="15" t="n"/>
      <c r="N58" s="15" t="n"/>
      <c r="O58" s="15" t="n"/>
      <c r="P58" s="17" t="n">
        <v>35.17</v>
      </c>
      <c r="Q58" s="15" t="n"/>
      <c r="R58" s="15" t="n"/>
      <c r="S58" s="15" t="n"/>
      <c r="T58" s="15" t="n"/>
      <c r="U58" s="15" t="n"/>
      <c r="V58" s="15" t="n"/>
      <c r="W58" s="15" t="n"/>
      <c r="X58" s="15" t="n"/>
      <c r="Y58" s="15" t="n"/>
      <c r="Z58" s="15" t="n"/>
      <c r="AA58" s="15" t="n"/>
      <c r="AB58" s="15" t="n"/>
      <c r="AC58" s="15" t="n"/>
      <c r="AD58" s="15" t="n"/>
      <c r="AE58" s="15" t="n"/>
      <c r="AF58" s="15" t="n"/>
      <c r="AG58" s="15" t="n"/>
      <c r="AH58" s="15" t="n"/>
      <c r="AI58" s="15" t="n"/>
      <c r="AJ58" s="15" t="n"/>
      <c r="AK58" s="15" t="n"/>
    </row>
    <row r="59">
      <c r="A59" s="15" t="n"/>
      <c r="B59" s="15" t="n"/>
      <c r="C59" s="15" t="n"/>
      <c r="D59" s="15" t="n"/>
      <c r="E59" s="15" t="n"/>
      <c r="F59" s="15" t="n"/>
      <c r="G59" s="15" t="n"/>
      <c r="H59" s="15" t="n"/>
      <c r="I59" s="15" t="n"/>
      <c r="J59" s="16" t="inlineStr">
        <is>
          <t>CSC (6%)</t>
        </is>
      </c>
      <c r="K59" s="15" t="n"/>
      <c r="L59" s="15" t="n"/>
      <c r="M59" s="15" t="n"/>
      <c r="N59" s="15" t="n"/>
      <c r="O59" s="15" t="n"/>
      <c r="P59" s="17" t="n">
        <v>10.55</v>
      </c>
      <c r="Q59" s="15" t="n"/>
      <c r="R59" s="15" t="n"/>
      <c r="S59" s="15" t="n"/>
      <c r="T59" s="15" t="n"/>
      <c r="U59" s="15" t="n"/>
      <c r="V59" s="15" t="n"/>
      <c r="W59" s="15" t="n"/>
      <c r="X59" s="15" t="n"/>
      <c r="Y59" s="15" t="n"/>
      <c r="Z59" s="15" t="n"/>
      <c r="AA59" s="15" t="n"/>
      <c r="AB59" s="15" t="n"/>
      <c r="AC59" s="15" t="n"/>
      <c r="AD59" s="15" t="n"/>
      <c r="AE59" s="15" t="n"/>
      <c r="AF59" s="15" t="n"/>
      <c r="AG59" s="15" t="n"/>
      <c r="AH59" s="15" t="n"/>
      <c r="AI59" s="15" t="n"/>
      <c r="AJ59" s="15" t="n"/>
      <c r="AK59" s="15" t="n"/>
    </row>
    <row r="60">
      <c r="A60" s="15" t="n"/>
      <c r="B60" s="15" t="n"/>
      <c r="C60" s="15" t="n"/>
      <c r="D60" s="15" t="n"/>
      <c r="E60" s="15" t="n"/>
      <c r="F60" s="15" t="n"/>
      <c r="G60" s="15" t="n"/>
      <c r="H60" s="15" t="n"/>
      <c r="I60" s="15" t="n"/>
      <c r="J60" s="16" t="inlineStr">
        <is>
          <t>VAT (15%) on CIF+CET+CSC</t>
        </is>
      </c>
      <c r="K60" s="15" t="n"/>
      <c r="L60" s="15" t="n"/>
      <c r="M60" s="15" t="n"/>
      <c r="N60" s="15" t="n"/>
      <c r="O60" s="15" t="n"/>
      <c r="P60" s="17" t="n">
        <v>33.23</v>
      </c>
      <c r="Q60" s="15" t="n"/>
      <c r="R60" s="15" t="n"/>
      <c r="S60" s="15" t="n"/>
      <c r="T60" s="15" t="n"/>
      <c r="U60" s="15" t="n"/>
      <c r="V60" s="15" t="n"/>
      <c r="W60" s="15" t="n"/>
      <c r="X60" s="15" t="n"/>
      <c r="Y60" s="15" t="n"/>
      <c r="Z60" s="15" t="n"/>
      <c r="AA60" s="15" t="n"/>
      <c r="AB60" s="15" t="n"/>
      <c r="AC60" s="15" t="n"/>
      <c r="AD60" s="15" t="n"/>
      <c r="AE60" s="15" t="n"/>
      <c r="AF60" s="15" t="n"/>
      <c r="AG60" s="15" t="n"/>
      <c r="AH60" s="15" t="n"/>
      <c r="AI60" s="15" t="n"/>
      <c r="AJ60" s="15" t="n"/>
      <c r="AK60" s="15" t="n"/>
    </row>
    <row r="61">
      <c r="A61" s="18" t="n"/>
      <c r="B61" s="18" t="n"/>
      <c r="C61" s="18" t="n"/>
      <c r="D61" s="18" t="n"/>
      <c r="E61" s="18" t="n"/>
      <c r="F61" s="18" t="n"/>
      <c r="G61" s="18" t="n"/>
      <c r="H61" s="18" t="n"/>
      <c r="I61" s="18" t="n"/>
      <c r="J61" s="14" t="inlineStr">
        <is>
          <t>ESTIMATED TOTAL DUTIES</t>
        </is>
      </c>
      <c r="K61" s="18" t="n"/>
      <c r="L61" s="18" t="n"/>
      <c r="M61" s="18" t="n"/>
      <c r="N61" s="18" t="n"/>
      <c r="O61" s="18" t="n"/>
      <c r="P61" s="19" t="n">
        <v>78.95</v>
      </c>
      <c r="Q61" s="18" t="n"/>
      <c r="R61" s="18" t="n"/>
      <c r="S61" s="18" t="n"/>
      <c r="T61" s="18" t="n"/>
      <c r="U61" s="18" t="n"/>
      <c r="V61" s="18" t="n"/>
      <c r="W61" s="18" t="n"/>
      <c r="X61" s="18" t="n"/>
      <c r="Y61" s="18" t="n"/>
      <c r="Z61" s="18" t="n"/>
      <c r="AA61" s="18" t="n"/>
      <c r="AB61" s="18" t="n"/>
      <c r="AC61" s="18" t="n"/>
      <c r="AD61" s="18" t="n"/>
      <c r="AE61" s="18" t="n"/>
      <c r="AF61" s="18" t="n"/>
      <c r="AG61" s="18" t="n"/>
      <c r="AH61" s="18" t="n"/>
      <c r="AI61" s="18" t="n"/>
      <c r="AJ61" s="18" t="n"/>
      <c r="AK61" s="18" t="n"/>
    </row>
    <row r="62">
      <c r="A62" s="15" t="n"/>
      <c r="B62" s="15" t="n"/>
      <c r="C62" s="15" t="n"/>
      <c r="D62" s="15" t="n"/>
      <c r="E62" s="15" t="n"/>
      <c r="F62" s="15" t="n"/>
      <c r="G62" s="15" t="n"/>
      <c r="H62" s="15" t="n"/>
      <c r="I62" s="15" t="n"/>
      <c r="J62" s="16" t="inlineStr">
        <is>
          <t>Effective Duty Rate</t>
        </is>
      </c>
      <c r="K62" s="15" t="n"/>
      <c r="L62" s="15" t="n"/>
      <c r="M62" s="15" t="n"/>
      <c r="N62" s="15" t="n"/>
      <c r="O62" s="15" t="n"/>
      <c r="P62" s="20" t="n">
        <v>0.4489877161055505</v>
      </c>
      <c r="Q62" s="15" t="n"/>
      <c r="R62" s="15" t="n"/>
      <c r="S62" s="15" t="n"/>
      <c r="T62" s="15" t="n"/>
      <c r="U62" s="15" t="n"/>
      <c r="V62" s="15" t="n"/>
      <c r="W62" s="15" t="n"/>
      <c r="X62" s="15" t="n"/>
      <c r="Y62" s="15" t="n"/>
      <c r="Z62" s="15" t="n"/>
      <c r="AA62" s="15" t="n"/>
      <c r="AB62" s="15" t="n"/>
      <c r="AC62" s="15" t="n"/>
      <c r="AD62" s="15" t="n"/>
      <c r="AE62" s="15" t="n"/>
      <c r="AF62" s="15" t="n"/>
      <c r="AG62" s="15" t="n"/>
      <c r="AH62" s="15" t="n"/>
      <c r="AI62" s="15" t="n"/>
      <c r="AJ62" s="15" t="n"/>
      <c r="AK62" s="15" t="n"/>
    </row>
    <row r="63"/>
    <row r="64">
      <c r="A64" s="22" t="n"/>
      <c r="B64" s="22" t="n"/>
      <c r="C64" s="22" t="n"/>
      <c r="D64" s="22" t="n"/>
      <c r="E64" s="22" t="n"/>
      <c r="F64" s="22" t="n"/>
      <c r="G64" s="22" t="n"/>
      <c r="H64" s="22" t="n"/>
      <c r="I64" s="22" t="n"/>
      <c r="J64" s="22" t="n"/>
      <c r="K64" s="22" t="n"/>
      <c r="L64" s="22" t="n"/>
      <c r="M64" s="22" t="n"/>
      <c r="N64" s="22" t="n"/>
      <c r="O64" s="22" t="n"/>
      <c r="P64" s="22" t="n"/>
      <c r="Q64" s="22" t="n"/>
      <c r="R64" s="22" t="n"/>
      <c r="S64" s="22" t="n"/>
      <c r="T64" s="22" t="n"/>
      <c r="U64" s="22" t="n"/>
      <c r="V64" s="22" t="n"/>
      <c r="W64" s="22" t="n"/>
      <c r="X64" s="22" t="n"/>
      <c r="Y64" s="22" t="n"/>
      <c r="Z64" s="22" t="n"/>
      <c r="AA64" s="22" t="n"/>
      <c r="AB64" s="22" t="n"/>
      <c r="AC64" s="22" t="n"/>
      <c r="AD64" s="22" t="n"/>
      <c r="AE64" s="22" t="n"/>
      <c r="AF64" s="22" t="n"/>
      <c r="AG64" s="22" t="n"/>
      <c r="AH64" s="22" t="n"/>
      <c r="AI64" s="22" t="n"/>
      <c r="AJ64" s="22" t="n"/>
      <c r="AK64" s="22" t="n"/>
    </row>
    <row r="65">
      <c r="A65" s="22" t="n"/>
      <c r="B65" s="22" t="n"/>
      <c r="C65" s="22" t="n"/>
      <c r="D65" s="22" t="n"/>
      <c r="E65" s="22" t="n"/>
      <c r="F65" s="22" t="n"/>
      <c r="G65" s="22" t="n"/>
      <c r="H65" s="22" t="n"/>
      <c r="I65" s="22" t="n"/>
      <c r="J65" s="22" t="n"/>
      <c r="K65" s="22" t="n"/>
      <c r="L65" s="23" t="inlineStr">
        <is>
          <t>═══ COMBINED GRAND SUMMARY ═══</t>
        </is>
      </c>
      <c r="M65" s="22" t="n"/>
      <c r="N65" s="22" t="n"/>
      <c r="O65" s="22" t="n"/>
      <c r="P65" s="22" t="n"/>
      <c r="Q65" s="22" t="n"/>
      <c r="R65" s="22" t="n"/>
      <c r="S65" s="22" t="n"/>
      <c r="T65" s="22" t="n"/>
      <c r="U65" s="22" t="n"/>
      <c r="V65" s="22" t="n"/>
      <c r="W65" s="22" t="n"/>
      <c r="X65" s="22" t="n"/>
      <c r="Y65" s="22" t="n"/>
      <c r="Z65" s="22" t="n"/>
      <c r="AA65" s="22" t="n"/>
      <c r="AB65" s="22" t="n"/>
      <c r="AC65" s="22" t="n"/>
      <c r="AD65" s="22" t="n"/>
      <c r="AE65" s="22" t="n"/>
      <c r="AF65" s="22" t="n"/>
      <c r="AG65" s="22" t="n"/>
      <c r="AH65" s="22" t="n"/>
      <c r="AI65" s="22" t="n"/>
      <c r="AJ65" s="22" t="n"/>
      <c r="AK65" s="22" t="n"/>
    </row>
    <row r="66">
      <c r="L66" s="24" t="inlineStr">
        <is>
          <t>Invoice HAWB9670577-Manifest_Invoice_1_Invoice_1</t>
        </is>
      </c>
      <c r="P66" s="25" t="n">
        <v>76.83</v>
      </c>
      <c r="Q66" s="26" t="n">
        <v>-66.38</v>
      </c>
    </row>
    <row r="67">
      <c r="L67" s="24" t="inlineStr">
        <is>
          <t>Invoice PO-211-08132515666552999</t>
        </is>
      </c>
      <c r="P67" s="25" t="n">
        <v>55.52</v>
      </c>
      <c r="Q67" s="26" t="n">
        <v>-38.67</v>
      </c>
    </row>
    <row r="68">
      <c r="L68" s="24" t="inlineStr">
        <is>
          <t>Invoice PO-211-13630044146552999</t>
        </is>
      </c>
      <c r="P68" s="25" t="n">
        <v>300.26</v>
      </c>
      <c r="Q68" s="26" t="n">
        <v>-235.54</v>
      </c>
    </row>
    <row r="69"/>
    <row r="70">
      <c r="L70" s="27" t="inlineStr">
        <is>
          <t>GRAND TOTAL</t>
        </is>
      </c>
      <c r="P70" s="28" t="n">
        <v>432.61</v>
      </c>
    </row>
    <row r="71">
      <c r="L71" s="29" t="inlineStr">
        <is>
          <t>GRAND VARIANCE CHECK</t>
        </is>
      </c>
      <c r="P71" s="26" t="n">
        <v>-340.59</v>
      </c>
    </row>
    <row r="72">
      <c r="L72" s="30" t="inlineStr">
        <is>
          <t>Combined 3 invoice files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cols>
    <col width="25" customWidth="1" min="1" max="1"/>
    <col width="14" customWidth="1" min="2" max="2"/>
    <col width="10" customWidth="1" min="3" max="3"/>
    <col width="60" customWidth="1" min="4" max="4"/>
    <col width="100" customWidth="1" min="5" max="5"/>
  </cols>
  <sheetData>
    <row r="1">
      <c r="A1" s="31" t="inlineStr">
        <is>
          <t>PDF File</t>
        </is>
      </c>
      <c r="B1" s="31" t="inlineStr">
        <is>
          <t>Quality Score</t>
        </is>
      </c>
      <c r="C1" s="31" t="inlineStr">
        <is>
          <t>Rating</t>
        </is>
      </c>
      <c r="D1" s="31" t="inlineStr">
        <is>
          <t>Details</t>
        </is>
      </c>
      <c r="E1" s="31" t="inlineStr">
        <is>
          <t>OCR Text (first 2000 chars)</t>
        </is>
      </c>
    </row>
    <row r="2">
      <c r="A2" s="32" t="inlineStr">
        <is>
          <t>HAWB9670577-Manifest_Invoice_1_Invoice_1.pdf</t>
        </is>
      </c>
      <c r="B2" s="32" t="inlineStr">
        <is>
          <t>42/100</t>
        </is>
      </c>
      <c r="C2" s="32" t="inlineStr">
        <is>
          <t>FAIR</t>
        </is>
      </c>
      <c r="D2" s="32" t="inlineStr">
        <is>
          <t>Text: 238 chars; Prices: 4 ($-sign), 0 (decimal); Total: MISSING; Invoice#: MISSING; Real items: 2/2; Structure words: 0/12</t>
        </is>
      </c>
      <c r="E2" s="33" t="inlineStr">
        <is>
          <t>, ih Luxurious Faux Leather Tote Handbag - Spaciou... $7.47
Brown x1
Se By ~~ COAY
eee = For Xiaomi/Redmi Note 9 4G/Note 9S/Note 10 ... $2.98
if pe Redmi Note 9 / Bright Pink 2 x4
Yi 4
” ad (ait By Case Honour
By &amp; Case Honour
$7.47
$2.98</t>
        </is>
      </c>
    </row>
    <row r="3">
      <c r="A3" s="34" t="inlineStr">
        <is>
          <t>PO-211-08132515666552999.pdf</t>
        </is>
      </c>
      <c r="B3" s="34" t="inlineStr">
        <is>
          <t>77/100</t>
        </is>
      </c>
      <c r="C3" s="34" t="inlineStr">
        <is>
          <t>GOOD</t>
        </is>
      </c>
      <c r="D3" s="34" t="inlineStr">
        <is>
          <t>Text: 903 chars; Prices: 8 ($-sign), 5 (decimal); Total: $16.85; Invoice#: PO-211-08132515666552999; Real items: 0/1; Structure words: 6/12</t>
        </is>
      </c>
      <c r="E3" s="35" t="inlineStr">
        <is>
          <t>TEMU
As we're committed to reducing our environmental impact, we have eliminated paper receipt.
Order summary
Order ID:
PO-211-08132515666552999
Order time:
Jul 29, 2024
Item(s) total:
-$81.69
Item(s) discount:
-$65.53
Subtotal:
$16.16
Shipping:
FREE
Sales tax:
$0.69
Order total:
$16.85
Shipping address
Ansha Charles +1 (786)306-4102 , 10813 NW 30th St, BLDG 115, GRE 452, DORAL, FL 33172, United States
Payment method
Temu is committed to protecting your payment information. We follow PCI DSS standards, use strong encryption, and perform regular reviews of its system to protect your privacy.
PayPal c***s@gmail.com
$16.85
Paid on Jul 29, 2024
Item details (4)
Montessori Magic Practice Copybook Set For Ki...
$3.90
Whole Brain Development
×1
By wxic WXIC
6pcs/set Kawaii Stationery Gift Bag - Colorful Sc...
$1.81
1PC Six-piece Stationery Gift Pack For Back-to-school Season, Blue
×1
By Felice</t>
        </is>
      </c>
    </row>
    <row r="4">
      <c r="A4" s="34" t="inlineStr">
        <is>
          <t>PO-211-13630044146552999.pdf</t>
        </is>
      </c>
      <c r="B4" s="34" t="inlineStr">
        <is>
          <t>77/100</t>
        </is>
      </c>
      <c r="C4" s="34" t="inlineStr">
        <is>
          <t>GOOD</t>
        </is>
      </c>
      <c r="D4" s="34" t="inlineStr">
        <is>
          <t>Text: 831 chars; Prices: 9 ($-sign), 5 (decimal); Total: $64.72; Invoice#: PO-211-13630044146552999; Real items: 0/1; Structure words: 6/12</t>
        </is>
      </c>
      <c r="E4" s="35" t="inlineStr">
        <is>
          <t>TEMU
As we're committed to reducing our environmental impact, we have eliminated paper receipt.
Order summary
Order ID:
PO-211-13630044146552999
Order time:
Jul 29, 2024
Item(s) total:
-$223.34
Item(s) discount:
-$163.39
Subtotal:
$59.95
Shipping:
FREE
Sales tax:
$4.79
Credit:
-$0.02
Order total:
$64.72
Shipping address
Ansha Charles +1 (786)306-4102 , 10813 NW 30th St, BLDG 115, GRE 452, DORAL, FL 33172, United States
Payment method
Temu is committed to protecting your payment information. We follow PCI DSS standards, use strong encryption, and perform regular reviews of its system to protect your privacy.
PayPal c***s@gmail.com
Paid on Jul 29, 2024
$64.72
You have applied $0.02 Credit on this order
Item details (9)
Luxurious Vintage Pattern Tote Bag - Spacious L...
$7.08
Brown Grid
×1
By 〃〃 NA BI NI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2026-04-26T18:31:22Z</dcterms:created>
  <dcterms:modified xmlns:dcterms="http://purl.org/dc/terms/" xmlns:xsi="http://www.w3.org/2001/XMLSchema-instance" xsi:type="dcterms:W3CDTF">2026-04-26T18:31:29Z</dcterms:modified>
</cp:coreProperties>
</file>