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0" fontId="9" fillId="0" borderId="1" pivotButton="0" quotePrefix="0" xfId="0"/>
    <xf numFmtId="4" fontId="9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HAWB9670577-Manifest_Invoice_1_Invoice_1</t>
        </is>
      </c>
      <c r="D2" s="2" t="inlineStr"/>
      <c r="E2" s="2" t="inlineStr">
        <is>
          <t>BAGS &amp; LUGGAGE</t>
        </is>
      </c>
      <c r="F2" s="2" t="inlineStr">
        <is>
          <t>42022200</t>
        </is>
      </c>
      <c r="G2" s="2" t="inlineStr"/>
      <c r="H2" s="2" t="inlineStr"/>
      <c r="I2" s="2" t="inlineStr">
        <is>
          <t>ITEM-001</t>
        </is>
      </c>
      <c r="J2" s="2" t="inlineStr">
        <is>
          <t>, ih Luxurious Faux Leather Tote Handbag - Spaciou...</t>
        </is>
      </c>
      <c r="K2" s="2" t="n">
        <v>0</v>
      </c>
      <c r="L2" s="2" t="n"/>
      <c r="M2" s="2" t="inlineStr"/>
      <c r="N2" s="2" t="inlineStr">
        <is>
          <t>USD</t>
        </is>
      </c>
      <c r="O2" s="3" t="n">
        <v>7.47</v>
      </c>
      <c r="P2" s="3" t="n">
        <v>7.47</v>
      </c>
      <c r="Q2" s="3">
        <f>O2*K2</f>
        <v/>
      </c>
      <c r="R2" s="3">
        <f>P2-Q2</f>
        <v/>
      </c>
      <c r="S2" s="3" t="n">
        <v>30.47</v>
      </c>
      <c r="T2" s="3" t="n">
        <v>23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UNKNOWN_</t>
        </is>
      </c>
      <c r="AA2" s="2" t="inlineStr">
        <is>
          <t>unknown_</t>
        </is>
      </c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42022200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inlineStr">
        <is>
          <t>INVOICE NOTES: Invoice total uncertain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DUTY ESTIMATION (Classification Cross-Check)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inlineStr">
        <is>
          <t>CIF (USD) = InvTotal + Freight + Insurance</t>
        </is>
      </c>
      <c r="K11" s="9" t="n"/>
      <c r="L11" s="9" t="n"/>
      <c r="M11" s="9" t="n"/>
      <c r="N11" s="9" t="n"/>
      <c r="O11" s="9" t="n"/>
      <c r="P11" s="11" t="n">
        <v>53.47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inlineStr">
        <is>
          <t>CIF (XCD) = CIF × 2.7169</t>
        </is>
      </c>
      <c r="K12" s="9" t="n"/>
      <c r="L12" s="9" t="n"/>
      <c r="M12" s="9" t="n"/>
      <c r="N12" s="9" t="n"/>
      <c r="O12" s="9" t="n"/>
      <c r="P12" s="11" t="n">
        <v>145.27</v>
      </c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inlineStr">
        <is>
          <t>CET (20%) — Tariff 42022200</t>
        </is>
      </c>
      <c r="K13" s="9" t="n"/>
      <c r="L13" s="9" t="n"/>
      <c r="M13" s="9" t="n"/>
      <c r="N13" s="9" t="n"/>
      <c r="O13" s="9" t="n"/>
      <c r="P13" s="11" t="n">
        <v>29.05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inlineStr">
        <is>
          <t>CSC (6%)</t>
        </is>
      </c>
      <c r="K14" s="9" t="n"/>
      <c r="L14" s="9" t="n"/>
      <c r="M14" s="9" t="n"/>
      <c r="N14" s="9" t="n"/>
      <c r="O14" s="9" t="n"/>
      <c r="P14" s="11" t="n">
        <v>8.720000000000001</v>
      </c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inlineStr">
        <is>
          <t>VAT (15%) on CIF+CET+CSC</t>
        </is>
      </c>
      <c r="K15" s="9" t="n"/>
      <c r="L15" s="9" t="n"/>
      <c r="M15" s="9" t="n"/>
      <c r="N15" s="9" t="n"/>
      <c r="O15" s="9" t="n"/>
      <c r="P15" s="11" t="n">
        <v>27.46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8" t="inlineStr">
        <is>
          <t>ESTIMATED TOTAL DUTIES</t>
        </is>
      </c>
      <c r="K16" s="12" t="n"/>
      <c r="L16" s="12" t="n"/>
      <c r="M16" s="12" t="n"/>
      <c r="N16" s="12" t="n"/>
      <c r="O16" s="12" t="n"/>
      <c r="P16" s="13" t="n">
        <v>65.23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inlineStr">
        <is>
          <t>Effective Duty Rate</t>
        </is>
      </c>
      <c r="K17" s="9" t="n"/>
      <c r="L17" s="9" t="n"/>
      <c r="M17" s="9" t="n"/>
      <c r="N17" s="9" t="n"/>
      <c r="O17" s="9" t="n"/>
      <c r="P17" s="14" t="n">
        <v>0.4490259516761891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 t="inlineStr">
        <is>
          <t>CLIENT DECLARED DUTIES</t>
        </is>
      </c>
      <c r="K18" s="9" t="n"/>
      <c r="L18" s="9" t="n"/>
      <c r="M18" s="9" t="n"/>
      <c r="N18" s="9" t="n"/>
      <c r="O18" s="9" t="n"/>
      <c r="P18" s="11" t="n">
        <v>129.21</v>
      </c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5" t="inlineStr">
        <is>
          <t>DUTY VARIANCE (Client − Estimated)</t>
        </is>
      </c>
      <c r="K19" s="9" t="n"/>
      <c r="L19" s="9" t="n"/>
      <c r="M19" s="9" t="n"/>
      <c r="N19" s="9" t="n"/>
      <c r="O19" s="9" t="n"/>
      <c r="P19" s="16" t="n">
        <v>63.98</v>
      </c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0" t="inlineStr">
        <is>
          <t>IMPLIED CET RATE (from client value)</t>
        </is>
      </c>
      <c r="K20" s="9" t="n"/>
      <c r="L20" s="9" t="n"/>
      <c r="M20" s="9" t="n"/>
      <c r="N20" s="9" t="n"/>
      <c r="O20" s="9" t="n"/>
      <c r="P20" s="14" t="n">
        <v>0.5829975966790475</v>
      </c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5" t="inlineStr">
        <is>
          <t>⚠ CET MISMATCH: System=20% vs Client≈58% — review classification</t>
        </is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0" t="inlineStr">
        <is>
          <t>IMPLIED CIF (from declared duty @ 20% CET, XCD)</t>
        </is>
      </c>
      <c r="K22" s="9" t="n"/>
      <c r="L22" s="9" t="n"/>
      <c r="M22" s="9" t="n"/>
      <c r="N22" s="9" t="n"/>
      <c r="O22" s="9" t="n"/>
      <c r="P22" s="11" t="n">
        <v>287.77</v>
      </c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0" t="inlineStr">
        <is>
          <t>IMPLIED ITEMS VALUE (USD, net of freight/insurance)</t>
        </is>
      </c>
      <c r="K23" s="9" t="n"/>
      <c r="L23" s="9" t="n"/>
      <c r="M23" s="9" t="n"/>
      <c r="N23" s="9" t="n"/>
      <c r="O23" s="9" t="n"/>
      <c r="P23" s="11" t="n">
        <v>82.92</v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15" t="inlineStr">
        <is>
          <t>⚠ ITEM ALLOCATION CHECK: actual $7.47 USD vs implied $82.92 USD — UNDER-ALLOCATED (items from another waybill may belong here)</t>
        </is>
      </c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</row>
    <row r="25"/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inlineStr">
        <is>
          <t>Items on other declaration(s) (1 items)</t>
        </is>
      </c>
      <c r="K26" s="17" t="n"/>
      <c r="L26" s="17" t="n"/>
      <c r="M26" s="17" t="n"/>
      <c r="N26" s="17" t="n"/>
      <c r="O26" s="17" t="n"/>
      <c r="P26" s="18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</row>
    <row r="27">
      <c r="A27" s="17" t="n"/>
      <c r="B27" s="17" t="n"/>
      <c r="C27" s="17" t="n"/>
      <c r="D27" s="17" t="n"/>
      <c r="E27" s="17" t="inlineStr">
        <is>
          <t>Parts</t>
        </is>
      </c>
      <c r="F27" s="17" t="inlineStr">
        <is>
          <t>85177000</t>
        </is>
      </c>
      <c r="G27" s="17" t="n"/>
      <c r="H27" s="17" t="n"/>
      <c r="I27" s="17" t="n"/>
      <c r="J27" s="17" t="inlineStr">
        <is>
          <t>eee = For Xiaomi/Redmi Note 9 4G/Note 9S/Note 10 ... (1 items)</t>
        </is>
      </c>
      <c r="K27" s="17" t="n">
        <v>0</v>
      </c>
      <c r="L27" s="17" t="n"/>
      <c r="M27" s="17" t="n"/>
      <c r="N27" s="17" t="inlineStr">
        <is>
          <t>USD</t>
        </is>
      </c>
      <c r="O27" s="18" t="n">
        <v>2.98</v>
      </c>
      <c r="P27" s="18" t="n">
        <v>2.98</v>
      </c>
      <c r="Q27" s="18" t="n"/>
      <c r="R27" s="18" t="n"/>
      <c r="S27" s="18" t="n"/>
      <c r="T27" s="18" t="n"/>
      <c r="U27" s="18" t="n"/>
      <c r="V27" s="18" t="n"/>
      <c r="W27" s="18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inlineStr">
        <is>
          <t>ITEM-002</t>
        </is>
      </c>
      <c r="J28" s="19" t="inlineStr">
        <is>
          <t>eee = For Xiaomi/Redmi Note 9 4G/Note 9S/Note 10 ...</t>
        </is>
      </c>
      <c r="K28" s="19" t="n">
        <v>0</v>
      </c>
      <c r="L28" s="19" t="n"/>
      <c r="M28" s="19" t="n"/>
      <c r="N28" s="19" t="inlineStr">
        <is>
          <t>USD</t>
        </is>
      </c>
      <c r="O28" s="20" t="n">
        <v>2.98</v>
      </c>
      <c r="P28" s="20" t="n">
        <v>2.98</v>
      </c>
      <c r="Q28" s="20" t="n"/>
      <c r="R28" s="20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inlineStr">
        <is>
          <t>REFERENCE SUBTOTAL</t>
        </is>
      </c>
      <c r="K29" s="21" t="n"/>
      <c r="L29" s="21" t="n"/>
      <c r="M29" s="21" t="n"/>
      <c r="N29" s="21" t="n"/>
      <c r="O29" s="21" t="n"/>
      <c r="P29" s="22" t="n">
        <v>2.98</v>
      </c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inlineStr">
        <is>
          <t>COMBINED ITEMS TOTAL</t>
        </is>
      </c>
      <c r="K31" s="21" t="n"/>
      <c r="L31" s="21" t="n"/>
      <c r="M31" s="21" t="n"/>
      <c r="N31" s="21" t="n"/>
      <c r="O31" s="21" t="n"/>
      <c r="P31" s="22">
        <f>P3+P29</f>
        <v/>
      </c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FULL ADJUSTMENTS</t>
        </is>
      </c>
      <c r="K32" s="21" t="n"/>
      <c r="L32" s="21" t="n"/>
      <c r="M32" s="21" t="n"/>
      <c r="N32" s="21" t="n"/>
      <c r="O32" s="21" t="n"/>
      <c r="P32" s="22">
        <f>P4/P3*P31</f>
        <v/>
      </c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inlineStr">
        <is>
          <t>COMBINED NET TOTAL</t>
        </is>
      </c>
      <c r="K33" s="21" t="n"/>
      <c r="L33" s="21" t="n"/>
      <c r="M33" s="21" t="n"/>
      <c r="N33" s="21" t="n"/>
      <c r="O33" s="21" t="n"/>
      <c r="P33" s="22">
        <f>P31+P32</f>
        <v/>
      </c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inlineStr">
        <is>
          <t>FULL INVOICE TOTAL</t>
        </is>
      </c>
      <c r="K34" s="21" t="n"/>
      <c r="L34" s="21" t="n"/>
      <c r="M34" s="21" t="n"/>
      <c r="N34" s="21" t="n"/>
      <c r="O34" s="21" t="n"/>
      <c r="P34" s="22" t="n">
        <v>33.45</v>
      </c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inlineStr">
        <is>
          <t>COMBINED VARIANCE CHECK</t>
        </is>
      </c>
      <c r="K35" s="21" t="n"/>
      <c r="L35" s="21" t="n"/>
      <c r="M35" s="21" t="n"/>
      <c r="N35" s="21" t="n"/>
      <c r="O35" s="21" t="n"/>
      <c r="P35" s="22">
        <f>P34-P33</f>
        <v/>
      </c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2026-04-26T18:31:35Z</dcterms:created>
  <dcterms:modified xmlns:dcterms="http://purl.org/dc/terms/" xmlns:xsi="http://www.w3.org/2001/XMLSchema-instance" xsi:type="dcterms:W3CDTF">2026-04-26T18:31:35Z</dcterms:modified>
</cp:coreProperties>
</file>