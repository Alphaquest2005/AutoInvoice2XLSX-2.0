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0" fontId="7" fillId="5" borderId="1" pivotButton="0" quotePrefix="0" xfId="0"/>
    <xf numFmtId="4" fontId="7" fillId="5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HAWB9670577-Manifest_Invoice_1_Invoice_1</t>
        </is>
      </c>
      <c r="D2" s="2" t="inlineStr"/>
      <c r="E2" s="2" t="inlineStr">
        <is>
          <t>Parts</t>
        </is>
      </c>
      <c r="F2" s="2" t="inlineStr">
        <is>
          <t>85177000</t>
        </is>
      </c>
      <c r="G2" s="2" t="inlineStr"/>
      <c r="H2" s="2" t="inlineStr"/>
      <c r="I2" s="2" t="inlineStr">
        <is>
          <t>ITEM-002</t>
        </is>
      </c>
      <c r="J2" s="2" t="inlineStr">
        <is>
          <t>eee = For Xiaomi/Redmi Note 9 4G/Note 9S/Note 10 ...</t>
        </is>
      </c>
      <c r="K2" s="2" t="n">
        <v>0</v>
      </c>
      <c r="L2" s="2" t="n"/>
      <c r="M2" s="2" t="inlineStr"/>
      <c r="N2" s="2" t="inlineStr">
        <is>
          <t>USD</t>
        </is>
      </c>
      <c r="O2" s="3" t="n">
        <v>2.98</v>
      </c>
      <c r="P2" s="3" t="n">
        <v>2.98</v>
      </c>
      <c r="Q2" s="3">
        <f>O2*K2</f>
        <v/>
      </c>
      <c r="R2" s="3">
        <f>P2-Q2</f>
        <v/>
      </c>
      <c r="S2" s="3" t="n">
        <v>2.98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UNKNOWN_</t>
        </is>
      </c>
      <c r="AA2" s="2" t="inlineStr">
        <is>
          <t>unknown_</t>
        </is>
      </c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85177000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INVOICE NOTES: Invoice total uncertain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DUTY ESTIMATION (Classification Cross-Check)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inlineStr">
        <is>
          <t>CIF (USD) = InvTotal + Freight + Insurance</t>
        </is>
      </c>
      <c r="K11" s="9" t="n"/>
      <c r="L11" s="9" t="n"/>
      <c r="M11" s="9" t="n"/>
      <c r="N11" s="9" t="n"/>
      <c r="O11" s="9" t="n"/>
      <c r="P11" s="11" t="n">
        <v>2.98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inlineStr">
        <is>
          <t>CIF (XCD) = CIF × 2.7169</t>
        </is>
      </c>
      <c r="K12" s="9" t="n"/>
      <c r="L12" s="9" t="n"/>
      <c r="M12" s="9" t="n"/>
      <c r="N12" s="9" t="n"/>
      <c r="O12" s="9" t="n"/>
      <c r="P12" s="11" t="n">
        <v>8.1</v>
      </c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inlineStr">
        <is>
          <t>CET (5%) — Tariff 85177000</t>
        </is>
      </c>
      <c r="K13" s="9" t="n"/>
      <c r="L13" s="9" t="n"/>
      <c r="M13" s="9" t="n"/>
      <c r="N13" s="9" t="n"/>
      <c r="O13" s="9" t="n"/>
      <c r="P13" s="11" t="n">
        <v>0.4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inlineStr">
        <is>
          <t>CSC (6%)</t>
        </is>
      </c>
      <c r="K14" s="9" t="n"/>
      <c r="L14" s="9" t="n"/>
      <c r="M14" s="9" t="n"/>
      <c r="N14" s="9" t="n"/>
      <c r="O14" s="9" t="n"/>
      <c r="P14" s="11" t="n">
        <v>0.49</v>
      </c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inlineStr">
        <is>
          <t>VAT (15%) on CIF+CET+CSC</t>
        </is>
      </c>
      <c r="K15" s="9" t="n"/>
      <c r="L15" s="9" t="n"/>
      <c r="M15" s="9" t="n"/>
      <c r="N15" s="9" t="n"/>
      <c r="O15" s="9" t="n"/>
      <c r="P15" s="11" t="n">
        <v>1.35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8" t="inlineStr">
        <is>
          <t>ESTIMATED TOTAL DUTIES</t>
        </is>
      </c>
      <c r="K16" s="12" t="n"/>
      <c r="L16" s="12" t="n"/>
      <c r="M16" s="12" t="n"/>
      <c r="N16" s="12" t="n"/>
      <c r="O16" s="12" t="n"/>
      <c r="P16" s="13" t="n">
        <v>2.24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inlineStr">
        <is>
          <t>Effective Duty Rate</t>
        </is>
      </c>
      <c r="K17" s="9" t="n"/>
      <c r="L17" s="9" t="n"/>
      <c r="M17" s="9" t="n"/>
      <c r="N17" s="9" t="n"/>
      <c r="O17" s="9" t="n"/>
      <c r="P17" s="14" t="n">
        <v>0.2765432098765432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/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inlineStr">
        <is>
          <t>Items on other declaration(s) (1 items)</t>
        </is>
      </c>
      <c r="K19" s="15" t="n"/>
      <c r="L19" s="15" t="n"/>
      <c r="M19" s="15" t="n"/>
      <c r="N19" s="15" t="n"/>
      <c r="O19" s="15" t="n"/>
      <c r="P19" s="16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5" t="n"/>
      <c r="B20" s="15" t="n"/>
      <c r="C20" s="15" t="n"/>
      <c r="D20" s="15" t="n"/>
      <c r="E20" s="15" t="inlineStr">
        <is>
          <t>BAGS &amp; LUGGAGE</t>
        </is>
      </c>
      <c r="F20" s="15" t="inlineStr">
        <is>
          <t>42022200</t>
        </is>
      </c>
      <c r="G20" s="15" t="n"/>
      <c r="H20" s="15" t="n"/>
      <c r="I20" s="15" t="n"/>
      <c r="J20" s="15" t="inlineStr">
        <is>
          <t>, ih Luxurious Faux Leather Tote Handbag - Spaciou... (1 items)</t>
        </is>
      </c>
      <c r="K20" s="15" t="n">
        <v>0</v>
      </c>
      <c r="L20" s="15" t="n"/>
      <c r="M20" s="15" t="n"/>
      <c r="N20" s="15" t="inlineStr">
        <is>
          <t>USD</t>
        </is>
      </c>
      <c r="O20" s="16" t="n">
        <v>7.47</v>
      </c>
      <c r="P20" s="16" t="n">
        <v>7.47</v>
      </c>
      <c r="Q20" s="16" t="n"/>
      <c r="R20" s="16" t="n"/>
      <c r="S20" s="16" t="n"/>
      <c r="T20" s="16" t="n"/>
      <c r="U20" s="16" t="n"/>
      <c r="V20" s="16" t="n"/>
      <c r="W20" s="16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inlineStr">
        <is>
          <t>ITEM-001</t>
        </is>
      </c>
      <c r="J21" s="17" t="inlineStr">
        <is>
          <t>, ih Luxurious Faux Leather Tote Handbag - Spaciou...</t>
        </is>
      </c>
      <c r="K21" s="17" t="n">
        <v>0</v>
      </c>
      <c r="L21" s="17" t="n"/>
      <c r="M21" s="17" t="n"/>
      <c r="N21" s="17" t="inlineStr">
        <is>
          <t>USD</t>
        </is>
      </c>
      <c r="O21" s="18" t="n">
        <v>7.47</v>
      </c>
      <c r="P21" s="18" t="n">
        <v>7.47</v>
      </c>
      <c r="Q21" s="18" t="n"/>
      <c r="R21" s="18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inlineStr">
        <is>
          <t>REFERENCE SUBTOTAL</t>
        </is>
      </c>
      <c r="K22" s="19" t="n"/>
      <c r="L22" s="19" t="n"/>
      <c r="M22" s="19" t="n"/>
      <c r="N22" s="19" t="n"/>
      <c r="O22" s="19" t="n"/>
      <c r="P22" s="20" t="n">
        <v>7.47</v>
      </c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inlineStr">
        <is>
          <t>REFERENCE FREIGHT</t>
        </is>
      </c>
      <c r="K23" s="19" t="n"/>
      <c r="L23" s="19" t="n"/>
      <c r="M23" s="19" t="n"/>
      <c r="N23" s="19" t="n"/>
      <c r="O23" s="19" t="n"/>
      <c r="P23" s="20" t="n">
        <v>23</v>
      </c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REFERENCE INSURANCE</t>
        </is>
      </c>
      <c r="K24" s="19" t="n"/>
      <c r="L24" s="19" t="n"/>
      <c r="M24" s="19" t="n"/>
      <c r="N24" s="19" t="n"/>
      <c r="O24" s="19" t="n"/>
      <c r="P24" s="20" t="n">
        <v>0</v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inlineStr">
        <is>
          <t>REFERENCE OTHER COST</t>
        </is>
      </c>
      <c r="K25" s="19" t="n"/>
      <c r="L25" s="19" t="n"/>
      <c r="M25" s="19" t="n"/>
      <c r="N25" s="19" t="n"/>
      <c r="O25" s="19" t="n"/>
      <c r="P25" s="20" t="n">
        <v>0</v>
      </c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REFERENCE DEDUCTION</t>
        </is>
      </c>
      <c r="K26" s="19" t="n"/>
      <c r="L26" s="19" t="n"/>
      <c r="M26" s="19" t="n"/>
      <c r="N26" s="19" t="n"/>
      <c r="O26" s="19" t="n"/>
      <c r="P26" s="20" t="n">
        <v>0</v>
      </c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inlineStr">
        <is>
          <t>REFERENCE ADJUSTMENTS</t>
        </is>
      </c>
      <c r="K27" s="19" t="n"/>
      <c r="L27" s="19" t="n"/>
      <c r="M27" s="19" t="n"/>
      <c r="N27" s="19" t="n"/>
      <c r="O27" s="19" t="n"/>
      <c r="P27" s="20">
        <f>P23+P24+P25-P26</f>
        <v/>
      </c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inlineStr">
        <is>
          <t>REFERENCE NET TOTAL</t>
        </is>
      </c>
      <c r="K28" s="19" t="n"/>
      <c r="L28" s="19" t="n"/>
      <c r="M28" s="19" t="n"/>
      <c r="N28" s="19" t="n"/>
      <c r="O28" s="19" t="n"/>
      <c r="P28" s="20">
        <f>P22+P27</f>
        <v/>
      </c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inlineStr">
        <is>
          <t>COMBINED ITEMS TOTAL</t>
        </is>
      </c>
      <c r="K30" s="19" t="n"/>
      <c r="L30" s="19" t="n"/>
      <c r="M30" s="19" t="n"/>
      <c r="N30" s="19" t="n"/>
      <c r="O30" s="19" t="n"/>
      <c r="P30" s="20">
        <f>P3+P22</f>
        <v/>
      </c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inlineStr">
        <is>
          <t>FULL INVOICE FREIGHT</t>
        </is>
      </c>
      <c r="K31" s="19" t="n"/>
      <c r="L31" s="19" t="n"/>
      <c r="M31" s="19" t="n"/>
      <c r="N31" s="19" t="n"/>
      <c r="O31" s="19" t="n"/>
      <c r="P31" s="20">
        <f>T2+P23</f>
        <v/>
      </c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inlineStr">
        <is>
          <t>FULL INVOICE INSURANCE</t>
        </is>
      </c>
      <c r="K32" s="19" t="n"/>
      <c r="L32" s="19" t="n"/>
      <c r="M32" s="19" t="n"/>
      <c r="N32" s="19" t="n"/>
      <c r="O32" s="19" t="n"/>
      <c r="P32" s="20">
        <f>U2+P24</f>
        <v/>
      </c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inlineStr">
        <is>
          <t>FULL INVOICE OTHER COST</t>
        </is>
      </c>
      <c r="K33" s="19" t="n"/>
      <c r="L33" s="19" t="n"/>
      <c r="M33" s="19" t="n"/>
      <c r="N33" s="19" t="n"/>
      <c r="O33" s="19" t="n"/>
      <c r="P33" s="20">
        <f>V2+P25</f>
        <v/>
      </c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inlineStr">
        <is>
          <t>FULL INVOICE DEDUCTION</t>
        </is>
      </c>
      <c r="K34" s="19" t="n"/>
      <c r="L34" s="19" t="n"/>
      <c r="M34" s="19" t="n"/>
      <c r="N34" s="19" t="n"/>
      <c r="O34" s="19" t="n"/>
      <c r="P34" s="20">
        <f>W2+P26</f>
        <v/>
      </c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inlineStr">
        <is>
          <t>FULL ADJUSTMENTS</t>
        </is>
      </c>
      <c r="K35" s="19" t="n"/>
      <c r="L35" s="19" t="n"/>
      <c r="M35" s="19" t="n"/>
      <c r="N35" s="19" t="n"/>
      <c r="O35" s="19" t="n"/>
      <c r="P35" s="20">
        <f>P31+P32+P33-P34</f>
        <v/>
      </c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inlineStr">
        <is>
          <t>COMBINED NET TOTAL</t>
        </is>
      </c>
      <c r="K36" s="19" t="n"/>
      <c r="L36" s="19" t="n"/>
      <c r="M36" s="19" t="n"/>
      <c r="N36" s="19" t="n"/>
      <c r="O36" s="19" t="n"/>
      <c r="P36" s="20">
        <f>P30+P35</f>
        <v/>
      </c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inlineStr">
        <is>
          <t>FULL INVOICE TOTAL</t>
        </is>
      </c>
      <c r="K37" s="19" t="n"/>
      <c r="L37" s="19" t="n"/>
      <c r="M37" s="19" t="n"/>
      <c r="N37" s="19" t="n"/>
      <c r="O37" s="19" t="n"/>
      <c r="P37" s="20" t="n">
        <v>33.45</v>
      </c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inlineStr">
        <is>
          <t>COMBINED VARIANCE CHECK</t>
        </is>
      </c>
      <c r="K38" s="19" t="n"/>
      <c r="L38" s="19" t="n"/>
      <c r="M38" s="19" t="n"/>
      <c r="N38" s="19" t="n"/>
      <c r="O38" s="19" t="n"/>
      <c r="P38" s="20">
        <f>P37-P36</f>
        <v/>
      </c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2026-04-26T18:31:35Z</dcterms:created>
  <dcterms:modified xmlns:dcterms="http://purl.org/dc/terms/" xmlns:xsi="http://www.w3.org/2001/XMLSchema-instance" xsi:type="dcterms:W3CDTF">2026-04-26T18:31:35Z</dcterms:modified>
</cp:coreProperties>
</file>