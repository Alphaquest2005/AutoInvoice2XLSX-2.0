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5" borderId="1" pivotButton="0" quotePrefix="0" xfId="0"/>
    <xf numFmtId="4" fontId="8" fillId="5" borderId="1" pivotButton="0" quotePrefix="0" xfId="0"/>
    <xf numFmtId="0" fontId="9" fillId="0" borderId="1" pivotButton="0" quotePrefix="0" xfId="0"/>
    <xf numFmtId="4" fontId="9" fillId="0" borderId="1" pivotButton="0" quotePrefix="0" xfId="0"/>
    <xf numFmtId="0" fontId="8" fillId="0" borderId="1" pivotButton="0" quotePrefix="0" xfId="0"/>
    <xf numFmtId="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138984731</t>
        </is>
      </c>
      <c r="D2" s="2" t="inlineStr">
        <is>
          <t>July 17th, 2024</t>
        </is>
      </c>
      <c r="E2" s="2" t="inlineStr">
        <is>
          <t>Singlets and other vests</t>
        </is>
      </c>
      <c r="F2" s="2" t="inlineStr">
        <is>
          <t>61091020</t>
        </is>
      </c>
      <c r="G2" s="2" t="inlineStr"/>
      <c r="H2" s="2" t="inlineStr"/>
      <c r="I2" s="2" t="inlineStr">
        <is>
          <t>61091020</t>
        </is>
      </c>
      <c r="J2" s="2" t="inlineStr">
        <is>
          <t>Harmonized Total . Amount Emma Ribbed Tank - Camel _—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6</v>
      </c>
      <c r="P2" s="3" t="n">
        <v>6</v>
      </c>
      <c r="Q2" s="3">
        <f>O2*K2</f>
        <v/>
      </c>
      <c r="R2" s="3">
        <f>P2-Q2</f>
        <v/>
      </c>
      <c r="S2" s="3" t="n">
        <v>17.46</v>
      </c>
      <c r="T2" s="3" t="n">
        <v>7</v>
      </c>
      <c r="U2" s="3" t="n">
        <v>0</v>
      </c>
      <c r="V2" s="3" t="n">
        <v>0.49</v>
      </c>
      <c r="W2" s="3" t="n">
        <v>0</v>
      </c>
      <c r="X2" s="2" t="n">
        <v>1</v>
      </c>
      <c r="Y2" s="2" t="n"/>
      <c r="Z2" s="2" t="inlineStr">
        <is>
          <t>FASHION</t>
        </is>
      </c>
      <c r="AA2" s="2" t="inlineStr">
        <is>
          <t>Fashion Nova</t>
        </is>
      </c>
      <c r="AB2" s="2" t="inlineStr">
        <is>
          <t>2801 E. 46th Street, Vernon, CA 90058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61091020</t>
        </is>
      </c>
    </row>
    <row r="3">
      <c r="A3" s="4" t="n"/>
      <c r="B3" s="4" t="n"/>
      <c r="C3" s="4" t="n"/>
      <c r="D3" s="4" t="n"/>
      <c r="E3" s="4" t="n"/>
      <c r="F3" s="4" t="inlineStr">
        <is>
          <t>61091020</t>
        </is>
      </c>
      <c r="G3" s="4" t="n"/>
      <c r="H3" s="4" t="n"/>
      <c r="I3" s="4" t="inlineStr">
        <is>
          <t>FN-1</t>
        </is>
      </c>
      <c r="J3" s="4" t="inlineStr">
        <is>
          <t>Harmonized Total . Amount Emma Ribbed Tank - Camel _—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6</v>
      </c>
      <c r="P3" s="5" t="n">
        <v>6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138984731</t>
        </is>
      </c>
      <c r="D4" s="2" t="inlineStr">
        <is>
          <t>July 17th, 2024</t>
        </is>
      </c>
      <c r="E4" s="2" t="inlineStr">
        <is>
          <t>Apparel and clothing accessories, not knitted or crocheted</t>
        </is>
      </c>
      <c r="F4" s="2" t="inlineStr">
        <is>
          <t>62046290</t>
        </is>
      </c>
      <c r="G4" s="2" t="inlineStr"/>
      <c r="H4" s="2" t="inlineStr"/>
      <c r="I4" s="2" t="inlineStr">
        <is>
          <t>62046290</t>
        </is>
      </c>
      <c r="J4" s="2" t="inlineStr">
        <is>
          <t>Glistening Jeans-Olive-5 (+1 more) (2 items)</t>
        </is>
      </c>
      <c r="K4" s="2" t="n">
        <v>2</v>
      </c>
      <c r="L4" s="2" t="n"/>
      <c r="M4" s="2" t="inlineStr"/>
      <c r="N4" s="2" t="inlineStr">
        <is>
          <t>USD</t>
        </is>
      </c>
      <c r="O4" s="3" t="n">
        <v>1.985</v>
      </c>
      <c r="P4" s="3" t="n">
        <v>3.97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62046290</t>
        </is>
      </c>
    </row>
    <row r="5">
      <c r="A5" s="4" t="n"/>
      <c r="B5" s="4" t="n"/>
      <c r="C5" s="4" t="n"/>
      <c r="D5" s="4" t="n"/>
      <c r="E5" s="4" t="n"/>
      <c r="F5" s="4" t="inlineStr">
        <is>
          <t>62046290</t>
        </is>
      </c>
      <c r="G5" s="4" t="n"/>
      <c r="H5" s="4" t="n"/>
      <c r="I5" s="4" t="inlineStr">
        <is>
          <t>FN-2</t>
        </is>
      </c>
      <c r="J5" s="4" t="inlineStr">
        <is>
          <t>Glistening Jeans-Olive-5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1.98</v>
      </c>
      <c r="P5" s="5" t="n">
        <v>1.98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inlineStr">
        <is>
          <t>62046290</t>
        </is>
      </c>
      <c r="G6" s="4" t="n"/>
      <c r="H6" s="4" t="n"/>
      <c r="I6" s="4" t="inlineStr">
        <is>
          <t>FN-3</t>
        </is>
      </c>
      <c r="J6" s="4" t="inlineStr">
        <is>
          <t>Always InA Good Mood Pant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1.99</v>
      </c>
      <c r="P6" s="5" t="n">
        <v>1.99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(GROUPED)</t>
        </is>
      </c>
      <c r="K7" s="6" t="n"/>
      <c r="L7" s="6" t="n"/>
      <c r="M7" s="6" t="n"/>
      <c r="N7" s="6" t="n"/>
      <c r="O7" s="6" t="n"/>
      <c r="P7" s="7">
        <f>P2+P4</f>
        <v/>
      </c>
      <c r="Q7" s="7">
        <f>Q2+Q4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(DETAILS)</t>
        </is>
      </c>
      <c r="K8" s="6" t="n"/>
      <c r="L8" s="6" t="n"/>
      <c r="M8" s="6" t="n"/>
      <c r="N8" s="6" t="n"/>
      <c r="O8" s="6" t="n"/>
      <c r="P8" s="7">
        <f>SUM(P2:P6)-P7</f>
        <v/>
      </c>
      <c r="Q8" s="7">
        <f>SUM(Q2:Q6)-Q7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inlineStr">
        <is>
          <t>GROUP VERIFICATION</t>
        </is>
      </c>
      <c r="K9" s="8" t="n"/>
      <c r="L9" s="8" t="n"/>
      <c r="M9" s="8" t="n"/>
      <c r="N9" s="8" t="n"/>
      <c r="O9" s="8" t="n"/>
      <c r="P9" s="9">
        <f>P7-P8</f>
        <v/>
      </c>
      <c r="Q9" s="9">
        <f>Q7-Q8</f>
        <v/>
      </c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</row>
    <row r="10"/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INTERNAL FREIGHT</t>
        </is>
      </c>
      <c r="K11" s="6" t="n"/>
      <c r="L11" s="6" t="n"/>
      <c r="M11" s="6" t="n"/>
      <c r="N11" s="6" t="n"/>
      <c r="O11" s="6" t="n"/>
      <c r="P11" s="7" t="n">
        <v>7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INSURANCE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OTHER COST</t>
        </is>
      </c>
      <c r="K13" s="6" t="n"/>
      <c r="L13" s="6" t="n"/>
      <c r="M13" s="6" t="n"/>
      <c r="N13" s="6" t="n"/>
      <c r="O13" s="6" t="n"/>
      <c r="P13" s="7" t="n">
        <v>0.49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DEDUCTION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ADJUSTMENTS</t>
        </is>
      </c>
      <c r="K15" s="6" t="n"/>
      <c r="L15" s="6" t="n"/>
      <c r="M15" s="6" t="n"/>
      <c r="N15" s="6" t="n"/>
      <c r="O15" s="6" t="n"/>
      <c r="P15" s="7">
        <f>(T2+U2+V2-W2)</f>
        <v/>
      </c>
      <c r="Q15" s="7">
        <f>(T2+U2+V2-W2)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NET TOTAL</t>
        </is>
      </c>
      <c r="K17" s="6" t="n"/>
      <c r="L17" s="6" t="n"/>
      <c r="M17" s="6" t="n"/>
      <c r="N17" s="6" t="n"/>
      <c r="O17" s="6" t="n"/>
      <c r="P17" s="7">
        <f>P7+P15</f>
        <v/>
      </c>
      <c r="Q17" s="7">
        <f>Q7+Q15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INVOICE TOTAL</t>
        </is>
      </c>
      <c r="K18" s="6" t="n"/>
      <c r="L18" s="6" t="n"/>
      <c r="M18" s="6" t="n"/>
      <c r="N18" s="6" t="n"/>
      <c r="O18" s="6" t="n"/>
      <c r="P18" s="7">
        <f>S2</f>
        <v/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/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inlineStr">
        <is>
          <t>VARIANCE CHECK</t>
        </is>
      </c>
      <c r="K20" s="10" t="n"/>
      <c r="L20" s="10" t="n"/>
      <c r="M20" s="10" t="n"/>
      <c r="N20" s="10" t="n"/>
      <c r="O20" s="10" t="n"/>
      <c r="P20" s="11">
        <f>S2-P17</f>
        <v/>
      </c>
      <c r="Q20" s="11">
        <f>S2-Q17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</row>
    <row r="21"/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inlineStr">
        <is>
          <t>DUTY ESTIMATION (Classification Cross-Check)</t>
        </is>
      </c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(USD) = InvTotal + Freight + Insurance</t>
        </is>
      </c>
      <c r="K23" s="13" t="n"/>
      <c r="L23" s="13" t="n"/>
      <c r="M23" s="13" t="n"/>
      <c r="N23" s="13" t="n"/>
      <c r="O23" s="13" t="n"/>
      <c r="P23" s="15" t="n">
        <v>24.46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CIF (XCD) = CIF × 2.7169</t>
        </is>
      </c>
      <c r="K24" s="13" t="n"/>
      <c r="L24" s="13" t="n"/>
      <c r="M24" s="13" t="n"/>
      <c r="N24" s="13" t="n"/>
      <c r="O24" s="13" t="n"/>
      <c r="P24" s="15" t="n">
        <v>66.45999999999999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CET (weighted avg 20.0%)</t>
        </is>
      </c>
      <c r="K25" s="13" t="n"/>
      <c r="L25" s="13" t="n"/>
      <c r="M25" s="13" t="n"/>
      <c r="N25" s="13" t="n"/>
      <c r="O25" s="13" t="n"/>
      <c r="P25" s="15" t="n">
        <v>13.29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 xml:space="preserve">  └ 61091020: 20% CET (60% of value)</t>
        </is>
      </c>
      <c r="K26" s="13" t="n"/>
      <c r="L26" s="13" t="n"/>
      <c r="M26" s="13" t="n"/>
      <c r="N26" s="13" t="n"/>
      <c r="O26" s="13" t="n"/>
      <c r="P26" s="15" t="n">
        <v>8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 xml:space="preserve">  └ 62046290: 20% CET (40% of value)</t>
        </is>
      </c>
      <c r="K27" s="13" t="n"/>
      <c r="L27" s="13" t="n"/>
      <c r="M27" s="13" t="n"/>
      <c r="N27" s="13" t="n"/>
      <c r="O27" s="13" t="n"/>
      <c r="P27" s="15" t="n">
        <v>5.29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CSC (6%)</t>
        </is>
      </c>
      <c r="K28" s="13" t="n"/>
      <c r="L28" s="13" t="n"/>
      <c r="M28" s="13" t="n"/>
      <c r="N28" s="13" t="n"/>
      <c r="O28" s="13" t="n"/>
      <c r="P28" s="15" t="n">
        <v>3.99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VAT (15%) on CIF+CET+CSC</t>
        </is>
      </c>
      <c r="K29" s="13" t="n"/>
      <c r="L29" s="13" t="n"/>
      <c r="M29" s="13" t="n"/>
      <c r="N29" s="13" t="n"/>
      <c r="O29" s="13" t="n"/>
      <c r="P29" s="15" t="n">
        <v>12.56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2" t="inlineStr">
        <is>
          <t>ESTIMATED TOTAL DUTIES</t>
        </is>
      </c>
      <c r="K30" s="16" t="n"/>
      <c r="L30" s="16" t="n"/>
      <c r="M30" s="16" t="n"/>
      <c r="N30" s="16" t="n"/>
      <c r="O30" s="16" t="n"/>
      <c r="P30" s="17" t="n">
        <v>29.84</v>
      </c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Effective Duty Rate</t>
        </is>
      </c>
      <c r="K31" s="13" t="n"/>
      <c r="L31" s="13" t="n"/>
      <c r="M31" s="13" t="n"/>
      <c r="N31" s="13" t="n"/>
      <c r="O31" s="13" t="n"/>
      <c r="P31" s="18" t="n">
        <v>0.448991874811917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/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inlineStr">
        <is>
          <t>Items on other declaration(s) (1 items)</t>
        </is>
      </c>
      <c r="K33" s="19" t="n"/>
      <c r="L33" s="19" t="n"/>
      <c r="M33" s="19" t="n"/>
      <c r="N33" s="19" t="n"/>
      <c r="O33" s="19" t="n"/>
      <c r="P33" s="20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</row>
    <row r="34">
      <c r="A34" s="19" t="n"/>
      <c r="B34" s="19" t="n"/>
      <c r="C34" s="19" t="n"/>
      <c r="D34" s="19" t="n"/>
      <c r="E34" s="19" t="inlineStr">
        <is>
          <t>Of synthetic fibres</t>
        </is>
      </c>
      <c r="F34" s="19" t="inlineStr">
        <is>
          <t>62044300</t>
        </is>
      </c>
      <c r="G34" s="19" t="n"/>
      <c r="H34" s="19" t="n"/>
      <c r="I34" s="19" t="n"/>
      <c r="J34" s="19" t="inlineStr">
        <is>
          <t>Set - Green/combo - S Maya Bandage Midi Dress- (1 items)</t>
        </is>
      </c>
      <c r="K34" s="19" t="n">
        <v>1</v>
      </c>
      <c r="L34" s="19" t="n"/>
      <c r="M34" s="19" t="n"/>
      <c r="N34" s="19" t="inlineStr">
        <is>
          <t>USD</t>
        </is>
      </c>
      <c r="O34" s="20" t="n">
        <v>59.99</v>
      </c>
      <c r="P34" s="20" t="n">
        <v>59.99</v>
      </c>
      <c r="Q34" s="20" t="n"/>
      <c r="R34" s="20" t="n"/>
      <c r="S34" s="20" t="n"/>
      <c r="T34" s="20" t="n"/>
      <c r="U34" s="20" t="n"/>
      <c r="V34" s="20" t="n"/>
      <c r="W34" s="20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inlineStr">
        <is>
          <t>FN-4</t>
        </is>
      </c>
      <c r="J35" s="21" t="inlineStr">
        <is>
          <t>Set - Green/combo - S Maya Bandage Midi Dress-</t>
        </is>
      </c>
      <c r="K35" s="21" t="n">
        <v>1</v>
      </c>
      <c r="L35" s="21" t="n"/>
      <c r="M35" s="21" t="n"/>
      <c r="N35" s="21" t="inlineStr">
        <is>
          <t>USD</t>
        </is>
      </c>
      <c r="O35" s="22" t="n">
        <v>59.99</v>
      </c>
      <c r="P35" s="22" t="n">
        <v>59.99</v>
      </c>
      <c r="Q35" s="22" t="n"/>
      <c r="R35" s="22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inlineStr">
        <is>
          <t>REFERENCE SUBTOTAL</t>
        </is>
      </c>
      <c r="K36" s="23" t="n"/>
      <c r="L36" s="23" t="n"/>
      <c r="M36" s="23" t="n"/>
      <c r="N36" s="23" t="n"/>
      <c r="O36" s="23" t="n"/>
      <c r="P36" s="24" t="n">
        <v>59.99</v>
      </c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inlineStr">
        <is>
          <t>REFERENCE FREIGHT</t>
        </is>
      </c>
      <c r="K37" s="23" t="n"/>
      <c r="L37" s="23" t="n"/>
      <c r="M37" s="23" t="n"/>
      <c r="N37" s="23" t="n"/>
      <c r="O37" s="23" t="n"/>
      <c r="P37" s="24" t="n">
        <v>7</v>
      </c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inlineStr">
        <is>
          <t>REFERENCE INSURANCE</t>
        </is>
      </c>
      <c r="K38" s="23" t="n"/>
      <c r="L38" s="23" t="n"/>
      <c r="M38" s="23" t="n"/>
      <c r="N38" s="23" t="n"/>
      <c r="O38" s="23" t="n"/>
      <c r="P38" s="24" t="n">
        <v>0</v>
      </c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inlineStr">
        <is>
          <t>REFERENCE OTHER COST</t>
        </is>
      </c>
      <c r="K39" s="23" t="n"/>
      <c r="L39" s="23" t="n"/>
      <c r="M39" s="23" t="n"/>
      <c r="N39" s="23" t="n"/>
      <c r="O39" s="23" t="n"/>
      <c r="P39" s="24" t="n">
        <v>2.97</v>
      </c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inlineStr">
        <is>
          <t>REFERENCE DEDUCTION</t>
        </is>
      </c>
      <c r="K40" s="23" t="n"/>
      <c r="L40" s="23" t="n"/>
      <c r="M40" s="23" t="n"/>
      <c r="N40" s="23" t="n"/>
      <c r="O40" s="23" t="n"/>
      <c r="P40" s="24" t="n">
        <v>0</v>
      </c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inlineStr">
        <is>
          <t>REFERENCE ADJUSTMENTS</t>
        </is>
      </c>
      <c r="K41" s="23" t="n"/>
      <c r="L41" s="23" t="n"/>
      <c r="M41" s="23" t="n"/>
      <c r="N41" s="23" t="n"/>
      <c r="O41" s="23" t="n"/>
      <c r="P41" s="24">
        <f>P37+P38+P39-P40</f>
        <v/>
      </c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inlineStr">
        <is>
          <t>REFERENCE NET TOTAL</t>
        </is>
      </c>
      <c r="K42" s="23" t="n"/>
      <c r="L42" s="23" t="n"/>
      <c r="M42" s="23" t="n"/>
      <c r="N42" s="23" t="n"/>
      <c r="O42" s="23" t="n"/>
      <c r="P42" s="24">
        <f>P36+P41</f>
        <v/>
      </c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inlineStr">
        <is>
          <t>COMBINED ITEMS TOTAL</t>
        </is>
      </c>
      <c r="K44" s="23" t="n"/>
      <c r="L44" s="23" t="n"/>
      <c r="M44" s="23" t="n"/>
      <c r="N44" s="23" t="n"/>
      <c r="O44" s="23" t="n"/>
      <c r="P44" s="24">
        <f>P7+P36</f>
        <v/>
      </c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inlineStr">
        <is>
          <t>FULL INVOICE FREIGHT</t>
        </is>
      </c>
      <c r="K45" s="23" t="n"/>
      <c r="L45" s="23" t="n"/>
      <c r="M45" s="23" t="n"/>
      <c r="N45" s="23" t="n"/>
      <c r="O45" s="23" t="n"/>
      <c r="P45" s="24">
        <f>P11+P37</f>
        <v/>
      </c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inlineStr">
        <is>
          <t>FULL INVOICE INSURANCE</t>
        </is>
      </c>
      <c r="K46" s="23" t="n"/>
      <c r="L46" s="23" t="n"/>
      <c r="M46" s="23" t="n"/>
      <c r="N46" s="23" t="n"/>
      <c r="O46" s="23" t="n"/>
      <c r="P46" s="24">
        <f>P12+P38</f>
        <v/>
      </c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inlineStr">
        <is>
          <t>FULL INVOICE OTHER COST</t>
        </is>
      </c>
      <c r="K47" s="23" t="n"/>
      <c r="L47" s="23" t="n"/>
      <c r="M47" s="23" t="n"/>
      <c r="N47" s="23" t="n"/>
      <c r="O47" s="23" t="n"/>
      <c r="P47" s="24">
        <f>P13+P39</f>
        <v/>
      </c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inlineStr">
        <is>
          <t>FULL INVOICE DEDUCTION</t>
        </is>
      </c>
      <c r="K48" s="23" t="n"/>
      <c r="L48" s="23" t="n"/>
      <c r="M48" s="23" t="n"/>
      <c r="N48" s="23" t="n"/>
      <c r="O48" s="23" t="n"/>
      <c r="P48" s="24">
        <f>P14+P40</f>
        <v/>
      </c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inlineStr">
        <is>
          <t>FULL ADJUSTMENTS</t>
        </is>
      </c>
      <c r="K49" s="23" t="n"/>
      <c r="L49" s="23" t="n"/>
      <c r="M49" s="23" t="n"/>
      <c r="N49" s="23" t="n"/>
      <c r="O49" s="23" t="n"/>
      <c r="P49" s="24">
        <f>P45+P46+P47-P48</f>
        <v/>
      </c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inlineStr">
        <is>
          <t>COMBINED NET TOTAL</t>
        </is>
      </c>
      <c r="K50" s="23" t="n"/>
      <c r="L50" s="23" t="n"/>
      <c r="M50" s="23" t="n"/>
      <c r="N50" s="23" t="n"/>
      <c r="O50" s="23" t="n"/>
      <c r="P50" s="24">
        <f>P44+P49</f>
        <v/>
      </c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inlineStr">
        <is>
          <t>FULL INVOICE TOTAL</t>
        </is>
      </c>
      <c r="K51" s="23" t="n"/>
      <c r="L51" s="23" t="n"/>
      <c r="M51" s="23" t="n"/>
      <c r="N51" s="23" t="n"/>
      <c r="O51" s="23" t="n"/>
      <c r="P51" s="24" t="n">
        <v>87.42</v>
      </c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inlineStr">
        <is>
          <t>COMBINED VARIANCE CHECK</t>
        </is>
      </c>
      <c r="K52" s="23" t="n"/>
      <c r="L52" s="23" t="n"/>
      <c r="M52" s="23" t="n"/>
      <c r="N52" s="23" t="n"/>
      <c r="O52" s="23" t="n"/>
      <c r="P52" s="24">
        <f>P51-P50</f>
        <v/>
      </c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2026-04-26T18:32:51Z</dcterms:created>
  <dcterms:modified xmlns:dcterms="http://purl.org/dc/terms/" xmlns:xsi="http://www.w3.org/2001/XMLSchema-instance" xsi:type="dcterms:W3CDTF">2026-04-26T18:32:51Z</dcterms:modified>
</cp:coreProperties>
</file>