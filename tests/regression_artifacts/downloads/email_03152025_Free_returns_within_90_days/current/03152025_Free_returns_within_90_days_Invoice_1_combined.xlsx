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bined Invoices" sheetId="1" state="visible" r:id="rId1"/>
    <sheet name="OCR 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&quot;$&quot;#,##0.00"/>
  </numFmts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9C5700"/>
      <sz val="11"/>
    </font>
    <font>
      <b val="1"/>
      <color rgb="001F4E79"/>
      <sz val="10"/>
    </font>
    <font>
      <color rgb="001F4E79"/>
      <sz val="10"/>
    </font>
    <font>
      <b val="1"/>
      <color rgb="00FFFFFF"/>
      <sz val="12"/>
    </font>
    <font>
      <b val="1"/>
    </font>
    <font>
      <b val="1"/>
      <color rgb="00FF0000"/>
    </font>
    <font>
      <i val="1"/>
      <color rgb="00666666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EBCC"/>
        <bgColor rgb="00FFEBCC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0" fillId="4" borderId="1" pivotButton="0" quotePrefix="0" xfId="0"/>
    <xf numFmtId="0" fontId="6" fillId="4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8" fillId="0" borderId="1" pivotButton="0" quotePrefix="0" xfId="0"/>
    <xf numFmtId="164" fontId="7" fillId="0" borderId="1" pivotButton="0" quotePrefix="0" xfId="0"/>
    <xf numFmtId="0" fontId="0" fillId="5" borderId="1" pivotButton="0" quotePrefix="0" xfId="0"/>
    <xf numFmtId="164" fontId="7" fillId="5" borderId="1" pivotButton="0" quotePrefix="0" xfId="0"/>
    <xf numFmtId="165" fontId="7" fillId="0" borderId="1" pivotButton="0" quotePrefix="0" xfId="0"/>
    <xf numFmtId="0" fontId="0" fillId="6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10" fillId="0" borderId="0" pivotButton="0" quotePrefix="0" xfId="0"/>
    <xf numFmtId="166" fontId="0" fillId="0" borderId="0" pivotButton="0" quotePrefix="0" xfId="0"/>
    <xf numFmtId="166" fontId="11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7" borderId="0" pivotButton="0" quotePrefix="0" xfId="0"/>
    <xf numFmtId="0" fontId="0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8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n"/>
      <c r="C2" s="2" t="inlineStr">
        <is>
          <t>03152025_Free_returns_within_90_days_Invoice_1</t>
        </is>
      </c>
      <c r="D2" s="2" t="n"/>
      <c r="E2" s="2" t="inlineStr">
        <is>
          <t>IMITATION JEWELRY</t>
        </is>
      </c>
      <c r="F2" s="2" t="inlineStr">
        <is>
          <t>71131100</t>
        </is>
      </c>
      <c r="G2" s="2" t="n"/>
      <c r="H2" s="2" t="n"/>
      <c r="I2" s="2" t="inlineStr">
        <is>
          <t>71171900</t>
        </is>
      </c>
      <c r="J2" s="2" t="inlineStr">
        <is>
          <t>Item details (8) 2pcs Simple Stainless Steel Bracelet Necklace Set For Men Silvery (+1 more) (2 items)</t>
        </is>
      </c>
      <c r="K2" s="2" t="n">
        <v>2</v>
      </c>
      <c r="L2" s="2" t="n"/>
      <c r="M2" s="2" t="n"/>
      <c r="N2" s="2" t="inlineStr">
        <is>
          <t>USD</t>
        </is>
      </c>
      <c r="O2" s="3" t="n">
        <v>2.685</v>
      </c>
      <c r="P2" s="3" t="n">
        <v>5.37</v>
      </c>
      <c r="Q2" s="3">
        <f>O2*K2</f>
        <v/>
      </c>
      <c r="R2" s="3">
        <f>P2-Q2</f>
        <v/>
      </c>
      <c r="S2" s="3" t="n">
        <v>29.14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TEMU</t>
        </is>
      </c>
      <c r="AA2" s="2" t="inlineStr">
        <is>
          <t>TEMU</t>
        </is>
      </c>
      <c r="AB2" s="2" t="inlineStr">
        <is>
          <t>31 St. James Avenue, Suite 355, Boston, MA 02116</t>
        </is>
      </c>
      <c r="AC2" s="2" t="inlineStr">
        <is>
          <t>CN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71131100</t>
        </is>
      </c>
    </row>
    <row r="3">
      <c r="A3" s="4" t="n"/>
      <c r="B3" s="4" t="n"/>
      <c r="C3" s="4" t="n"/>
      <c r="D3" s="4" t="n"/>
      <c r="E3" s="4" t="n"/>
      <c r="F3" s="4" t="inlineStr">
        <is>
          <t>71131100</t>
        </is>
      </c>
      <c r="G3" s="4" t="n"/>
      <c r="H3" s="4" t="n"/>
      <c r="I3" s="4" t="inlineStr">
        <is>
          <t>TEMU-1</t>
        </is>
      </c>
      <c r="J3" s="4" t="inlineStr">
        <is>
          <t>Item details (8) 2pcs Simple Stainless Steel Bracelet Necklace Set For Men Silvery</t>
        </is>
      </c>
      <c r="K3" s="4" t="n">
        <v>1</v>
      </c>
      <c r="L3" s="4" t="n"/>
      <c r="M3" s="4" t="n"/>
      <c r="N3" s="4" t="inlineStr">
        <is>
          <t>USD</t>
        </is>
      </c>
      <c r="O3" s="5" t="n">
        <v>1.98</v>
      </c>
      <c r="P3" s="5" t="n">
        <v>1.98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inlineStr">
        <is>
          <t>71131100</t>
        </is>
      </c>
    </row>
    <row r="4">
      <c r="A4" s="4" t="n"/>
      <c r="B4" s="4" t="n"/>
      <c r="C4" s="4" t="n"/>
      <c r="D4" s="4" t="n"/>
      <c r="E4" s="4" t="n"/>
      <c r="F4" s="4" t="inlineStr">
        <is>
          <t>71171900</t>
        </is>
      </c>
      <c r="G4" s="4" t="n"/>
      <c r="H4" s="4" t="n"/>
      <c r="I4" s="4" t="inlineStr">
        <is>
          <t>TEMU-5</t>
        </is>
      </c>
      <c r="J4" s="4" t="inlineStr">
        <is>
          <t>Exaggerated Design Earrings and Necklace Set for Party Outfits - Stand Out and Be the Most Special One at Any Party Female / Exquisite</t>
        </is>
      </c>
      <c r="K4" s="4" t="n">
        <v>1</v>
      </c>
      <c r="L4" s="4" t="n"/>
      <c r="M4" s="4" t="n"/>
      <c r="N4" s="4" t="inlineStr">
        <is>
          <t>USD</t>
        </is>
      </c>
      <c r="O4" s="5" t="n">
        <v>3.39</v>
      </c>
      <c r="P4" s="5" t="n">
        <v>3.39</v>
      </c>
      <c r="Q4" s="5">
        <f>O4*K4</f>
        <v/>
      </c>
      <c r="R4" s="5">
        <f>P4-Q4</f>
        <v/>
      </c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2" t="n"/>
      <c r="B5" s="2" t="n"/>
      <c r="C5" s="2" t="inlineStr">
        <is>
          <t>03152025_Free_returns_within_90_days_Invoice_1</t>
        </is>
      </c>
      <c r="D5" s="2" t="n"/>
      <c r="E5" s="2" t="inlineStr">
        <is>
          <t>Footwear</t>
        </is>
      </c>
      <c r="F5" s="2" t="inlineStr">
        <is>
          <t>64031900</t>
        </is>
      </c>
      <c r="G5" s="2" t="n"/>
      <c r="H5" s="2" t="n"/>
      <c r="I5" s="2" t="inlineStr">
        <is>
          <t>64031900</t>
        </is>
      </c>
      <c r="J5" s="2" t="inlineStr">
        <is>
          <t>Lightweight Non-Slip Women's Knitted Loafers for Casual Walking 7.5 / Black (1 items)</t>
        </is>
      </c>
      <c r="K5" s="2" t="n">
        <v>1</v>
      </c>
      <c r="L5" s="2" t="n"/>
      <c r="M5" s="2" t="n"/>
      <c r="N5" s="2" t="inlineStr">
        <is>
          <t>USD</t>
        </is>
      </c>
      <c r="O5" s="3" t="n">
        <v>7.99</v>
      </c>
      <c r="P5" s="3" t="n">
        <v>7.99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64031900</t>
        </is>
      </c>
    </row>
    <row r="6">
      <c r="A6" s="4" t="n"/>
      <c r="B6" s="4" t="n"/>
      <c r="C6" s="4" t="n"/>
      <c r="D6" s="4" t="n"/>
      <c r="E6" s="4" t="n"/>
      <c r="F6" s="4" t="inlineStr">
        <is>
          <t>64031900</t>
        </is>
      </c>
      <c r="G6" s="4" t="n"/>
      <c r="H6" s="4" t="n"/>
      <c r="I6" s="4" t="inlineStr">
        <is>
          <t>TEMU-2</t>
        </is>
      </c>
      <c r="J6" s="4" t="inlineStr">
        <is>
          <t>Lightweight Non-Slip Women's Knitted Loafers for Casual Walking 7.5 / Black</t>
        </is>
      </c>
      <c r="K6" s="4" t="n">
        <v>1</v>
      </c>
      <c r="L6" s="4" t="n"/>
      <c r="M6" s="4" t="n"/>
      <c r="N6" s="4" t="inlineStr">
        <is>
          <t>USD</t>
        </is>
      </c>
      <c r="O6" s="5" t="n">
        <v>7.99</v>
      </c>
      <c r="P6" s="5" t="n">
        <v>7.99</v>
      </c>
      <c r="Q6" s="5">
        <f>O6*K6</f>
        <v/>
      </c>
      <c r="R6" s="5">
        <f>P6-Q6</f>
        <v/>
      </c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s="2" t="n"/>
      <c r="B7" s="2" t="n"/>
      <c r="C7" s="2" t="inlineStr">
        <is>
          <t>03152025_Free_returns_within_90_days_Invoice_1</t>
        </is>
      </c>
      <c r="D7" s="2" t="n"/>
      <c r="E7" s="2" t="inlineStr">
        <is>
          <t>SIGNALING EQUIPMENT</t>
        </is>
      </c>
      <c r="F7" s="2" t="inlineStr">
        <is>
          <t>94054000</t>
        </is>
      </c>
      <c r="G7" s="2" t="n"/>
      <c r="H7" s="2" t="n"/>
      <c r="I7" s="2" t="inlineStr">
        <is>
          <t>85319000</t>
        </is>
      </c>
      <c r="J7" s="2" t="inlineStr">
        <is>
          <t>Waterproof LED Solar Lamp Bulb for Outdoor Hiking, Fishing, and Emergency Lighting 7w With Solar Panel (1 items)</t>
        </is>
      </c>
      <c r="K7" s="2" t="n">
        <v>1</v>
      </c>
      <c r="L7" s="2" t="n"/>
      <c r="M7" s="2" t="n"/>
      <c r="N7" s="2" t="inlineStr">
        <is>
          <t>USD</t>
        </is>
      </c>
      <c r="O7" s="3" t="n">
        <v>5.98</v>
      </c>
      <c r="P7" s="3" t="n">
        <v>5.98</v>
      </c>
      <c r="Q7" s="3">
        <f>O7*K7</f>
        <v/>
      </c>
      <c r="R7" s="3">
        <f>P7-Q7</f>
        <v/>
      </c>
      <c r="S7" s="3" t="n"/>
      <c r="T7" s="3" t="n"/>
      <c r="U7" s="3" t="n"/>
      <c r="V7" s="3" t="n"/>
      <c r="W7" s="3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inlineStr">
        <is>
          <t>94054000</t>
        </is>
      </c>
    </row>
    <row r="8">
      <c r="A8" s="4" t="n"/>
      <c r="B8" s="4" t="n"/>
      <c r="C8" s="4" t="n"/>
      <c r="D8" s="4" t="n"/>
      <c r="E8" s="4" t="n"/>
      <c r="F8" s="4" t="inlineStr">
        <is>
          <t>94054000</t>
        </is>
      </c>
      <c r="G8" s="4" t="n"/>
      <c r="H8" s="4" t="n"/>
      <c r="I8" s="4" t="inlineStr">
        <is>
          <t>TEMU-3</t>
        </is>
      </c>
      <c r="J8" s="4" t="inlineStr">
        <is>
          <t>Waterproof LED Solar Lamp Bulb for Outdoor Hiking, Fishing, and Emergency Lighting 7w With Solar Panel</t>
        </is>
      </c>
      <c r="K8" s="4" t="n">
        <v>1</v>
      </c>
      <c r="L8" s="4" t="n"/>
      <c r="M8" s="4" t="n"/>
      <c r="N8" s="4" t="inlineStr">
        <is>
          <t>USD</t>
        </is>
      </c>
      <c r="O8" s="5" t="n">
        <v>5.98</v>
      </c>
      <c r="P8" s="5" t="n">
        <v>5.98</v>
      </c>
      <c r="Q8" s="5">
        <f>O8*K8</f>
        <v/>
      </c>
      <c r="R8" s="5">
        <f>P8-Q8</f>
        <v/>
      </c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inlineStr">
        <is>
          <t>94054000</t>
        </is>
      </c>
    </row>
    <row r="9">
      <c r="A9" s="2" t="n"/>
      <c r="B9" s="2" t="n"/>
      <c r="C9" s="2" t="inlineStr">
        <is>
          <t>03152025_Free_returns_within_90_days_Invoice_1</t>
        </is>
      </c>
      <c r="D9" s="2" t="n"/>
      <c r="E9" s="2" t="inlineStr">
        <is>
          <t>MARINE ELECTRONICS</t>
        </is>
      </c>
      <c r="F9" s="2" t="inlineStr">
        <is>
          <t>85176200</t>
        </is>
      </c>
      <c r="G9" s="2" t="n"/>
      <c r="H9" s="2" t="n"/>
      <c r="I9" s="2" t="inlineStr">
        <is>
          <t>85176200</t>
        </is>
      </c>
      <c r="J9" s="2" t="inlineStr">
        <is>
          <t>Smart Watch With Wireless Calling/Dialing, Multiple Sports Modes, Fitness Tracker, Customizable Wallpaper, Compatible With iPhone/Android, Sporty Smartwatch With Health Monitoring Black (1 items)</t>
        </is>
      </c>
      <c r="K9" s="2" t="n">
        <v>1</v>
      </c>
      <c r="L9" s="2" t="n"/>
      <c r="M9" s="2" t="n"/>
      <c r="N9" s="2" t="inlineStr">
        <is>
          <t>USD</t>
        </is>
      </c>
      <c r="O9" s="3" t="n">
        <v>7.47</v>
      </c>
      <c r="P9" s="3" t="n">
        <v>7.47</v>
      </c>
      <c r="Q9" s="3">
        <f>O9*K9</f>
        <v/>
      </c>
      <c r="R9" s="3">
        <f>P9-Q9</f>
        <v/>
      </c>
      <c r="S9" s="3" t="n"/>
      <c r="T9" s="3" t="n"/>
      <c r="U9" s="3" t="n"/>
      <c r="V9" s="3" t="n"/>
      <c r="W9" s="3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inlineStr">
        <is>
          <t>85176200</t>
        </is>
      </c>
    </row>
    <row r="10">
      <c r="A10" s="4" t="n"/>
      <c r="B10" s="4" t="n"/>
      <c r="C10" s="4" t="n"/>
      <c r="D10" s="4" t="n"/>
      <c r="E10" s="4" t="n"/>
      <c r="F10" s="4" t="inlineStr">
        <is>
          <t>85176200</t>
        </is>
      </c>
      <c r="G10" s="4" t="n"/>
      <c r="H10" s="4" t="n"/>
      <c r="I10" s="4" t="inlineStr">
        <is>
          <t>TEMU-4</t>
        </is>
      </c>
      <c r="J10" s="4" t="inlineStr">
        <is>
          <t>Smart Watch With Wireless Calling/Dialing, Multiple Sports Modes, Fitness Tracker, Customizable Wallpaper, Compatible With iPhone/Android, Sporty Smartwatch With Health Monitoring Black</t>
        </is>
      </c>
      <c r="K10" s="4" t="n">
        <v>1</v>
      </c>
      <c r="L10" s="4" t="n"/>
      <c r="M10" s="4" t="n"/>
      <c r="N10" s="4" t="inlineStr">
        <is>
          <t>USD</t>
        </is>
      </c>
      <c r="O10" s="5" t="n">
        <v>7.47</v>
      </c>
      <c r="P10" s="5" t="n">
        <v>7.47</v>
      </c>
      <c r="Q10" s="5">
        <f>O10*K10</f>
        <v/>
      </c>
      <c r="R10" s="5">
        <f>P10-Q10</f>
        <v/>
      </c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s="2" t="n"/>
      <c r="B11" s="2" t="n"/>
      <c r="C11" s="2" t="inlineStr">
        <is>
          <t>03152025_Free_returns_within_90_days_Invoice_1</t>
        </is>
      </c>
      <c r="D11" s="2" t="n"/>
      <c r="E11" s="2" t="inlineStr">
        <is>
          <t>Clocks and watches</t>
        </is>
      </c>
      <c r="F11" s="2" t="inlineStr">
        <is>
          <t>91021100</t>
        </is>
      </c>
      <c r="G11" s="2" t="n"/>
      <c r="H11" s="2" t="n"/>
      <c r="I11" s="2" t="inlineStr">
        <is>
          <t>91021100</t>
        </is>
      </c>
      <c r="J11" s="2" t="inlineStr">
        <is>
          <t>Elegant Adjustable Rhinestone Bracelet Quartz Watch, Fashionable Luxury Style, Versatile, Women's Accessory Golden (1 items)</t>
        </is>
      </c>
      <c r="K11" s="2" t="n">
        <v>1</v>
      </c>
      <c r="L11" s="2" t="n"/>
      <c r="M11" s="2" t="n"/>
      <c r="N11" s="2" t="inlineStr">
        <is>
          <t>USD</t>
        </is>
      </c>
      <c r="O11" s="3" t="n">
        <v>2.33</v>
      </c>
      <c r="P11" s="3" t="n">
        <v>2.33</v>
      </c>
      <c r="Q11" s="3">
        <f>O11*K11</f>
        <v/>
      </c>
      <c r="R11" s="3">
        <f>P11-Q11</f>
        <v/>
      </c>
      <c r="S11" s="3" t="n"/>
      <c r="T11" s="3" t="n"/>
      <c r="U11" s="3" t="n"/>
      <c r="V11" s="3" t="n"/>
      <c r="W11" s="3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inlineStr">
        <is>
          <t>91021100</t>
        </is>
      </c>
    </row>
    <row r="12">
      <c r="A12" s="4" t="n"/>
      <c r="B12" s="4" t="n"/>
      <c r="C12" s="4" t="n"/>
      <c r="D12" s="4" t="n"/>
      <c r="E12" s="4" t="n"/>
      <c r="F12" s="4" t="inlineStr">
        <is>
          <t>91021100</t>
        </is>
      </c>
      <c r="G12" s="4" t="n"/>
      <c r="H12" s="4" t="n"/>
      <c r="I12" s="4" t="inlineStr">
        <is>
          <t>TEMU-6</t>
        </is>
      </c>
      <c r="J12" s="4" t="inlineStr">
        <is>
          <t>Elegant Adjustable Rhinestone Bracelet Quartz Watch, Fashionable Luxury Style, Versatile, Women's Accessory Golden</t>
        </is>
      </c>
      <c r="K12" s="4" t="n">
        <v>1</v>
      </c>
      <c r="L12" s="4" t="n"/>
      <c r="M12" s="4" t="n"/>
      <c r="N12" s="4" t="inlineStr">
        <is>
          <t>USD</t>
        </is>
      </c>
      <c r="O12" s="5" t="n">
        <v>2.33</v>
      </c>
      <c r="P12" s="5" t="n">
        <v>2.33</v>
      </c>
      <c r="Q12" s="5">
        <f>O12*K12</f>
        <v/>
      </c>
      <c r="R12" s="5">
        <f>P12-Q12</f>
        <v/>
      </c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inlineStr">
        <is>
          <t>SUBTOTAL (GROUPED)</t>
        </is>
      </c>
      <c r="K13" s="6" t="n"/>
      <c r="L13" s="6" t="n"/>
      <c r="M13" s="6" t="n"/>
      <c r="N13" s="6" t="n"/>
      <c r="O13" s="6" t="n"/>
      <c r="P13" s="7">
        <f>P2+P5+P7+P9+P11</f>
        <v/>
      </c>
      <c r="Q13" s="7">
        <f>Q2+Q5+Q7+Q9+Q11</f>
        <v/>
      </c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SUBTOTAL (DETAILS)</t>
        </is>
      </c>
      <c r="K14" s="6" t="n"/>
      <c r="L14" s="6" t="n"/>
      <c r="M14" s="6" t="n"/>
      <c r="N14" s="6" t="n"/>
      <c r="O14" s="6" t="n"/>
      <c r="P14" s="7">
        <f>SUM(P2:P12)-P13</f>
        <v/>
      </c>
      <c r="Q14" s="7">
        <f>SUM(Q2:Q12)-Q13</f>
        <v/>
      </c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inlineStr">
        <is>
          <t>GROUP VERIFICATION</t>
        </is>
      </c>
      <c r="K15" s="8" t="n"/>
      <c r="L15" s="8" t="n"/>
      <c r="M15" s="8" t="n"/>
      <c r="N15" s="8" t="n"/>
      <c r="O15" s="8" t="n"/>
      <c r="P15" s="9">
        <f>P13-P14</f>
        <v/>
      </c>
      <c r="Q15" s="9">
        <f>Q13-Q14</f>
        <v/>
      </c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</row>
    <row r="16"/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inlineStr">
        <is>
          <t>TOTAL INTERNAL FREIGHT</t>
        </is>
      </c>
      <c r="K17" s="6" t="n"/>
      <c r="L17" s="6" t="n"/>
      <c r="M17" s="6" t="n"/>
      <c r="N17" s="6" t="n"/>
      <c r="O17" s="6" t="n"/>
      <c r="P17" s="7" t="n">
        <v>0</v>
      </c>
      <c r="Q17" s="7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inlineStr">
        <is>
          <t>TOTAL INSURANCE</t>
        </is>
      </c>
      <c r="K18" s="6" t="n"/>
      <c r="L18" s="6" t="n"/>
      <c r="M18" s="6" t="n"/>
      <c r="N18" s="6" t="n"/>
      <c r="O18" s="6" t="n"/>
      <c r="P18" s="7" t="n">
        <v>0</v>
      </c>
      <c r="Q18" s="7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inlineStr">
        <is>
          <t>TOTAL OTHER COST</t>
        </is>
      </c>
      <c r="K19" s="6" t="n"/>
      <c r="L19" s="6" t="n"/>
      <c r="M19" s="6" t="n"/>
      <c r="N19" s="6" t="n"/>
      <c r="O19" s="6" t="n"/>
      <c r="P19" s="7" t="n">
        <v>0</v>
      </c>
      <c r="Q19" s="7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inlineStr">
        <is>
          <t>TOTAL DEDUCTION</t>
        </is>
      </c>
      <c r="K20" s="6" t="n"/>
      <c r="L20" s="6" t="n"/>
      <c r="M20" s="6" t="n"/>
      <c r="N20" s="6" t="n"/>
      <c r="O20" s="6" t="n"/>
      <c r="P20" s="7" t="n">
        <v>0</v>
      </c>
      <c r="Q20" s="7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inlineStr">
        <is>
          <t>ADJUSTMENTS</t>
        </is>
      </c>
      <c r="K21" s="6" t="n"/>
      <c r="L21" s="6" t="n"/>
      <c r="M21" s="6" t="n"/>
      <c r="N21" s="6" t="n"/>
      <c r="O21" s="6" t="n"/>
      <c r="P21" s="7">
        <f>(T2+U2+V2-W2)</f>
        <v/>
      </c>
      <c r="Q21" s="7">
        <f>(T2+U2+V2-W2)</f>
        <v/>
      </c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</row>
    <row r="22"/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inlineStr">
        <is>
          <t>NET TOTAL</t>
        </is>
      </c>
      <c r="K23" s="6" t="n"/>
      <c r="L23" s="6" t="n"/>
      <c r="M23" s="6" t="n"/>
      <c r="N23" s="6" t="n"/>
      <c r="O23" s="6" t="n"/>
      <c r="P23" s="7">
        <f>P13+P21</f>
        <v/>
      </c>
      <c r="Q23" s="7">
        <f>Q13+Q21</f>
        <v/>
      </c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inlineStr">
        <is>
          <t>INVOICE TOTAL</t>
        </is>
      </c>
      <c r="K24" s="6" t="n"/>
      <c r="L24" s="6" t="n"/>
      <c r="M24" s="6" t="n"/>
      <c r="N24" s="6" t="n"/>
      <c r="O24" s="6" t="n"/>
      <c r="P24" s="7">
        <f>S2</f>
        <v/>
      </c>
      <c r="Q24" s="7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</row>
    <row r="25"/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inlineStr">
        <is>
          <t>VARIANCE CHECK</t>
        </is>
      </c>
      <c r="K26" s="10" t="n"/>
      <c r="L26" s="10" t="n"/>
      <c r="M26" s="10" t="n"/>
      <c r="N26" s="10" t="n"/>
      <c r="O26" s="10" t="n"/>
      <c r="P26" s="11">
        <f>S2-P23</f>
        <v/>
      </c>
      <c r="Q26" s="11">
        <f>S2-Q23</f>
        <v/>
      </c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</row>
    <row r="27"/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inlineStr">
        <is>
          <t>INVOICE NOTES: Invoice total uncertain</t>
        </is>
      </c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</row>
    <row r="29"/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inlineStr">
        <is>
          <t>DUTY ESTIMATION (Classification Cross-Check)</t>
        </is>
      </c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6" t="inlineStr">
        <is>
          <t>CIF (USD) = InvTotal + Freight + Insurance</t>
        </is>
      </c>
      <c r="K31" s="15" t="n"/>
      <c r="L31" s="15" t="n"/>
      <c r="M31" s="15" t="n"/>
      <c r="N31" s="15" t="n"/>
      <c r="O31" s="15" t="n"/>
      <c r="P31" s="17" t="n">
        <v>29.14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6" t="inlineStr">
        <is>
          <t>CIF (XCD) = CIF × 2.7169</t>
        </is>
      </c>
      <c r="K32" s="15" t="n"/>
      <c r="L32" s="15" t="n"/>
      <c r="M32" s="15" t="n"/>
      <c r="N32" s="15" t="n"/>
      <c r="O32" s="15" t="n"/>
      <c r="P32" s="17" t="n">
        <v>79.17</v>
      </c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6" t="inlineStr">
        <is>
          <t>CET (weighted avg 14.2%)</t>
        </is>
      </c>
      <c r="K33" s="15" t="n"/>
      <c r="L33" s="15" t="n"/>
      <c r="M33" s="15" t="n"/>
      <c r="N33" s="15" t="n"/>
      <c r="O33" s="15" t="n"/>
      <c r="P33" s="17" t="n">
        <v>11.23</v>
      </c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6" t="inlineStr">
        <is>
          <t xml:space="preserve">  └ 64031900: 10% CET (27% of value)</t>
        </is>
      </c>
      <c r="K34" s="15" t="n"/>
      <c r="L34" s="15" t="n"/>
      <c r="M34" s="15" t="n"/>
      <c r="N34" s="15" t="n"/>
      <c r="O34" s="15" t="n"/>
      <c r="P34" s="17" t="n">
        <v>2.17</v>
      </c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6" t="inlineStr">
        <is>
          <t xml:space="preserve">  └ 71171900: 20% CET (18% of value)</t>
        </is>
      </c>
      <c r="K35" s="15" t="n"/>
      <c r="L35" s="15" t="n"/>
      <c r="M35" s="15" t="n"/>
      <c r="N35" s="15" t="n"/>
      <c r="O35" s="15" t="n"/>
      <c r="P35" s="17" t="n">
        <v>2.92</v>
      </c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6" t="inlineStr">
        <is>
          <t xml:space="preserve">  └ 85176200: 20% CET (26% of value)</t>
        </is>
      </c>
      <c r="K36" s="15" t="n"/>
      <c r="L36" s="15" t="n"/>
      <c r="M36" s="15" t="n"/>
      <c r="N36" s="15" t="n"/>
      <c r="O36" s="15" t="n"/>
      <c r="P36" s="17" t="n">
        <v>4.06</v>
      </c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6" t="inlineStr">
        <is>
          <t xml:space="preserve">  └ 85319000: 5% CET (21% of value)</t>
        </is>
      </c>
      <c r="K37" s="15" t="n"/>
      <c r="L37" s="15" t="n"/>
      <c r="M37" s="15" t="n"/>
      <c r="N37" s="15" t="n"/>
      <c r="O37" s="15" t="n"/>
      <c r="P37" s="17" t="n">
        <v>0.8100000000000001</v>
      </c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6" t="inlineStr">
        <is>
          <t xml:space="preserve">  └ 91021100: 20% CET (8% of value)</t>
        </is>
      </c>
      <c r="K38" s="15" t="n"/>
      <c r="L38" s="15" t="n"/>
      <c r="M38" s="15" t="n"/>
      <c r="N38" s="15" t="n"/>
      <c r="O38" s="15" t="n"/>
      <c r="P38" s="17" t="n">
        <v>1.27</v>
      </c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6" t="inlineStr">
        <is>
          <t>CSC (6%)</t>
        </is>
      </c>
      <c r="K39" s="15" t="n"/>
      <c r="L39" s="15" t="n"/>
      <c r="M39" s="15" t="n"/>
      <c r="N39" s="15" t="n"/>
      <c r="O39" s="15" t="n"/>
      <c r="P39" s="17" t="n">
        <v>4.75</v>
      </c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6" t="inlineStr">
        <is>
          <t>VAT (15%) on CIF+CET+CSC</t>
        </is>
      </c>
      <c r="K40" s="15" t="n"/>
      <c r="L40" s="15" t="n"/>
      <c r="M40" s="15" t="n"/>
      <c r="N40" s="15" t="n"/>
      <c r="O40" s="15" t="n"/>
      <c r="P40" s="17" t="n">
        <v>14.27</v>
      </c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4" t="inlineStr">
        <is>
          <t>ESTIMATED TOTAL DUTIES</t>
        </is>
      </c>
      <c r="K41" s="18" t="n"/>
      <c r="L41" s="18" t="n"/>
      <c r="M41" s="18" t="n"/>
      <c r="N41" s="18" t="n"/>
      <c r="O41" s="18" t="n"/>
      <c r="P41" s="19" t="n">
        <v>30.25</v>
      </c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inlineStr">
        <is>
          <t>Effective Duty Rate</t>
        </is>
      </c>
      <c r="K42" s="15" t="n"/>
      <c r="L42" s="15" t="n"/>
      <c r="M42" s="15" t="n"/>
      <c r="N42" s="15" t="n"/>
      <c r="O42" s="15" t="n"/>
      <c r="P42" s="20" t="n">
        <v>0.3820891751926235</v>
      </c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</row>
    <row r="44">
      <c r="A44" s="2" t="inlineStr">
        <is>
          <t>4000-000</t>
        </is>
      </c>
      <c r="B44" s="2" t="n"/>
      <c r="C44" s="2" t="inlineStr">
        <is>
          <t>03152025_Free_returns_within_90_days_Invoice_1_2_Invoice</t>
        </is>
      </c>
      <c r="D44" s="2" t="n"/>
      <c r="E44" s="2" t="inlineStr">
        <is>
          <t>IMITATION JEWELRY</t>
        </is>
      </c>
      <c r="F44" s="2" t="inlineStr">
        <is>
          <t>71131100</t>
        </is>
      </c>
      <c r="G44" s="2" t="n"/>
      <c r="H44" s="2" t="n"/>
      <c r="I44" s="2" t="inlineStr">
        <is>
          <t>71171900</t>
        </is>
      </c>
      <c r="J44" s="2" t="inlineStr">
        <is>
          <t>Item details (8) 2pcs Simple Stainless Steel Bracelet Necklace Set For Men Silvery (+2 more) (3 items)</t>
        </is>
      </c>
      <c r="K44" s="2" t="n">
        <v>3</v>
      </c>
      <c r="L44" s="2" t="n"/>
      <c r="M44" s="2" t="n"/>
      <c r="N44" s="2" t="inlineStr">
        <is>
          <t>USD</t>
        </is>
      </c>
      <c r="O44" s="3" t="n">
        <v>2.566666666666667</v>
      </c>
      <c r="P44" s="3" t="n">
        <v>7.7</v>
      </c>
      <c r="Q44" s="3">
        <f>O44*K44</f>
        <v/>
      </c>
      <c r="R44" s="3">
        <f>P44-Q44</f>
        <v/>
      </c>
      <c r="S44" s="3" t="n">
        <v>29.14</v>
      </c>
      <c r="T44" s="3" t="n">
        <v>0</v>
      </c>
      <c r="U44" s="3" t="n">
        <v>0</v>
      </c>
      <c r="V44" s="3" t="n">
        <v>0</v>
      </c>
      <c r="W44" s="3" t="n">
        <v>0</v>
      </c>
      <c r="X44" s="2" t="n"/>
      <c r="Y44" s="2" t="n"/>
      <c r="Z44" s="2" t="inlineStr">
        <is>
          <t>TEMU</t>
        </is>
      </c>
      <c r="AA44" s="2" t="inlineStr">
        <is>
          <t>TEMU</t>
        </is>
      </c>
      <c r="AB44" s="2" t="inlineStr">
        <is>
          <t>31 St. James Avenue, Suite 355, Boston, MA 02116</t>
        </is>
      </c>
      <c r="AC44" s="2" t="inlineStr">
        <is>
          <t>CN</t>
        </is>
      </c>
      <c r="AD44" s="2" t="n"/>
      <c r="AE44" s="2" t="n"/>
      <c r="AF44" s="2" t="n"/>
      <c r="AG44" s="2" t="n"/>
      <c r="AH44" s="2" t="n"/>
      <c r="AI44" s="2" t="n"/>
      <c r="AJ44" s="2" t="n"/>
      <c r="AK44" s="2" t="inlineStr">
        <is>
          <t>71131100</t>
        </is>
      </c>
    </row>
    <row r="45">
      <c r="A45" s="4" t="n"/>
      <c r="B45" s="4" t="n"/>
      <c r="C45" s="4" t="n"/>
      <c r="D45" s="4" t="n"/>
      <c r="E45" s="4" t="n"/>
      <c r="F45" s="4" t="inlineStr">
        <is>
          <t>71131100</t>
        </is>
      </c>
      <c r="G45" s="4" t="n"/>
      <c r="H45" s="4" t="n"/>
      <c r="I45" s="4" t="inlineStr">
        <is>
          <t>TEMU-1</t>
        </is>
      </c>
      <c r="J45" s="4" t="inlineStr">
        <is>
          <t>Item details (8) 2pcs Simple Stainless Steel Bracelet Necklace Set For Men Silvery</t>
        </is>
      </c>
      <c r="K45" s="4" t="n">
        <v>1</v>
      </c>
      <c r="L45" s="4" t="n"/>
      <c r="M45" s="4" t="n"/>
      <c r="N45" s="4" t="inlineStr">
        <is>
          <t>USD</t>
        </is>
      </c>
      <c r="O45" s="5" t="n">
        <v>1.98</v>
      </c>
      <c r="P45" s="5" t="n">
        <v>1.98</v>
      </c>
      <c r="Q45" s="5">
        <f>O45*K45</f>
        <v/>
      </c>
      <c r="R45" s="5">
        <f>P45-Q45</f>
        <v/>
      </c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inlineStr">
        <is>
          <t>71131100</t>
        </is>
      </c>
    </row>
    <row r="46">
      <c r="A46" s="4" t="n"/>
      <c r="B46" s="4" t="n"/>
      <c r="C46" s="4" t="n"/>
      <c r="D46" s="4" t="n"/>
      <c r="E46" s="4" t="n"/>
      <c r="F46" s="4" t="inlineStr">
        <is>
          <t>71171900</t>
        </is>
      </c>
      <c r="G46" s="4" t="n"/>
      <c r="H46" s="4" t="n"/>
      <c r="I46" s="4" t="inlineStr">
        <is>
          <t>TEMU-5</t>
        </is>
      </c>
      <c r="J46" s="4" t="inlineStr">
        <is>
          <t>Exaggerated Design Earrings and Necklace Set for Party Outfits - Stand Out and Be the Most Special One at Any Party Female / Exquisite</t>
        </is>
      </c>
      <c r="K46" s="4" t="n">
        <v>1</v>
      </c>
      <c r="L46" s="4" t="n"/>
      <c r="M46" s="4" t="n"/>
      <c r="N46" s="4" t="inlineStr">
        <is>
          <t>USD</t>
        </is>
      </c>
      <c r="O46" s="5" t="n">
        <v>3.39</v>
      </c>
      <c r="P46" s="5" t="n">
        <v>3.39</v>
      </c>
      <c r="Q46" s="5">
        <f>O46*K46</f>
        <v/>
      </c>
      <c r="R46" s="5">
        <f>P46-Q46</f>
        <v/>
      </c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s="4" t="n"/>
      <c r="B47" s="4" t="n"/>
      <c r="C47" s="4" t="n"/>
      <c r="D47" s="4" t="n"/>
      <c r="E47" s="4" t="n"/>
      <c r="F47" s="4" t="inlineStr">
        <is>
          <t>91021100</t>
        </is>
      </c>
      <c r="G47" s="4" t="n"/>
      <c r="H47" s="4" t="n"/>
      <c r="I47" s="4" t="inlineStr">
        <is>
          <t>TEMU-6</t>
        </is>
      </c>
      <c r="J47" s="4" t="inlineStr">
        <is>
          <t>Elegant Adjustable Rhinestone Bracelet Quartz Watch, Fashionable Luxury Style, Versatile, Women's Accessory Golden</t>
        </is>
      </c>
      <c r="K47" s="4" t="n">
        <v>1</v>
      </c>
      <c r="L47" s="4" t="n"/>
      <c r="M47" s="4" t="n"/>
      <c r="N47" s="4" t="inlineStr">
        <is>
          <t>USD</t>
        </is>
      </c>
      <c r="O47" s="5" t="n">
        <v>2.33</v>
      </c>
      <c r="P47" s="5" t="n">
        <v>2.33</v>
      </c>
      <c r="Q47" s="5">
        <f>O47*K47</f>
        <v/>
      </c>
      <c r="R47" s="5">
        <f>P47-Q47</f>
        <v/>
      </c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inlineStr">
        <is>
          <t>91021100</t>
        </is>
      </c>
    </row>
    <row r="48">
      <c r="A48" s="2" t="n"/>
      <c r="B48" s="2" t="n"/>
      <c r="C48" s="2" t="inlineStr">
        <is>
          <t>03152025_Free_returns_within_90_days_Invoice_1_2_Invoice</t>
        </is>
      </c>
      <c r="D48" s="2" t="n"/>
      <c r="E48" s="2" t="inlineStr">
        <is>
          <t>MARINE LIGHTING</t>
        </is>
      </c>
      <c r="F48" s="2" t="inlineStr">
        <is>
          <t>64031900</t>
        </is>
      </c>
      <c r="G48" s="2" t="n"/>
      <c r="H48" s="2" t="n"/>
      <c r="I48" s="2" t="inlineStr">
        <is>
          <t>94054000</t>
        </is>
      </c>
      <c r="J48" s="2" t="inlineStr">
        <is>
          <t>Lightweight Non-Slip Women's Knitted Loafers for Casual Walking 7.5 / Black (1 items)</t>
        </is>
      </c>
      <c r="K48" s="2" t="n">
        <v>1</v>
      </c>
      <c r="L48" s="2" t="n"/>
      <c r="M48" s="2" t="n"/>
      <c r="N48" s="2" t="inlineStr">
        <is>
          <t>USD</t>
        </is>
      </c>
      <c r="O48" s="3" t="n">
        <v>7.99</v>
      </c>
      <c r="P48" s="3" t="n">
        <v>7.99</v>
      </c>
      <c r="Q48" s="3">
        <f>O48*K48</f>
        <v/>
      </c>
      <c r="R48" s="3">
        <f>P48-Q48</f>
        <v/>
      </c>
      <c r="S48" s="3" t="n"/>
      <c r="T48" s="3" t="n"/>
      <c r="U48" s="3" t="n"/>
      <c r="V48" s="3" t="n"/>
      <c r="W48" s="3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inlineStr">
        <is>
          <t>64031900</t>
        </is>
      </c>
    </row>
    <row r="49">
      <c r="A49" s="4" t="n"/>
      <c r="B49" s="4" t="n"/>
      <c r="C49" s="4" t="n"/>
      <c r="D49" s="4" t="n"/>
      <c r="E49" s="4" t="n"/>
      <c r="F49" s="4" t="inlineStr">
        <is>
          <t>64031900</t>
        </is>
      </c>
      <c r="G49" s="4" t="n"/>
      <c r="H49" s="4" t="n"/>
      <c r="I49" s="4" t="inlineStr">
        <is>
          <t>TEMU-2</t>
        </is>
      </c>
      <c r="J49" s="4" t="inlineStr">
        <is>
          <t>Lightweight Non-Slip Women's Knitted Loafers for Casual Walking 7.5 / Black</t>
        </is>
      </c>
      <c r="K49" s="4" t="n">
        <v>1</v>
      </c>
      <c r="L49" s="4" t="n"/>
      <c r="M49" s="4" t="n"/>
      <c r="N49" s="4" t="inlineStr">
        <is>
          <t>USD</t>
        </is>
      </c>
      <c r="O49" s="5" t="n">
        <v>7.99</v>
      </c>
      <c r="P49" s="5" t="n">
        <v>7.99</v>
      </c>
      <c r="Q49" s="5">
        <f>O49*K49</f>
        <v/>
      </c>
      <c r="R49" s="5">
        <f>P49-Q49</f>
        <v/>
      </c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inlineStr">
        <is>
          <t>64031900</t>
        </is>
      </c>
    </row>
    <row r="50">
      <c r="A50" s="2" t="n"/>
      <c r="B50" s="2" t="n"/>
      <c r="C50" s="2" t="inlineStr">
        <is>
          <t>03152025_Free_returns_within_90_days_Invoice_1_2_Invoice</t>
        </is>
      </c>
      <c r="D50" s="2" t="n"/>
      <c r="E50" s="2" t="inlineStr">
        <is>
          <t>SIGNALING EQUIPMENT</t>
        </is>
      </c>
      <c r="F50" s="2" t="inlineStr">
        <is>
          <t>94054000</t>
        </is>
      </c>
      <c r="G50" s="2" t="n"/>
      <c r="H50" s="2" t="n"/>
      <c r="I50" s="2" t="inlineStr">
        <is>
          <t>85319000</t>
        </is>
      </c>
      <c r="J50" s="2" t="inlineStr">
        <is>
          <t>Waterproof LED Solar Lamp Bulb for Outdoor Hiking, Fishing, and Emergency Lighting 7w With Solar Panel (1 items)</t>
        </is>
      </c>
      <c r="K50" s="2" t="n">
        <v>1</v>
      </c>
      <c r="L50" s="2" t="n"/>
      <c r="M50" s="2" t="n"/>
      <c r="N50" s="2" t="inlineStr">
        <is>
          <t>USD</t>
        </is>
      </c>
      <c r="O50" s="3" t="n">
        <v>5.98</v>
      </c>
      <c r="P50" s="3" t="n">
        <v>5.98</v>
      </c>
      <c r="Q50" s="3">
        <f>O50*K50</f>
        <v/>
      </c>
      <c r="R50" s="3">
        <f>P50-Q50</f>
        <v/>
      </c>
      <c r="S50" s="3" t="n"/>
      <c r="T50" s="3" t="n"/>
      <c r="U50" s="3" t="n"/>
      <c r="V50" s="3" t="n"/>
      <c r="W50" s="3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inlineStr">
        <is>
          <t>94054000</t>
        </is>
      </c>
    </row>
    <row r="51">
      <c r="A51" s="4" t="n"/>
      <c r="B51" s="4" t="n"/>
      <c r="C51" s="4" t="n"/>
      <c r="D51" s="4" t="n"/>
      <c r="E51" s="4" t="n"/>
      <c r="F51" s="4" t="inlineStr">
        <is>
          <t>94054000</t>
        </is>
      </c>
      <c r="G51" s="4" t="n"/>
      <c r="H51" s="4" t="n"/>
      <c r="I51" s="4" t="inlineStr">
        <is>
          <t>TEMU-3</t>
        </is>
      </c>
      <c r="J51" s="4" t="inlineStr">
        <is>
          <t>Waterproof LED Solar Lamp Bulb for Outdoor Hiking, Fishing, and Emergency Lighting 7w With Solar Panel</t>
        </is>
      </c>
      <c r="K51" s="4" t="n">
        <v>1</v>
      </c>
      <c r="L51" s="4" t="n"/>
      <c r="M51" s="4" t="n"/>
      <c r="N51" s="4" t="inlineStr">
        <is>
          <t>USD</t>
        </is>
      </c>
      <c r="O51" s="5" t="n">
        <v>5.98</v>
      </c>
      <c r="P51" s="5" t="n">
        <v>5.98</v>
      </c>
      <c r="Q51" s="5">
        <f>O51*K51</f>
        <v/>
      </c>
      <c r="R51" s="5">
        <f>P51-Q51</f>
        <v/>
      </c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inlineStr">
        <is>
          <t>94054000</t>
        </is>
      </c>
    </row>
    <row r="52">
      <c r="A52" s="2" t="n"/>
      <c r="B52" s="2" t="n"/>
      <c r="C52" s="2" t="inlineStr">
        <is>
          <t>03152025_Free_returns_within_90_days_Invoice_1_2_Invoice</t>
        </is>
      </c>
      <c r="D52" s="2" t="n"/>
      <c r="E52" s="2" t="inlineStr">
        <is>
          <t>Parts</t>
        </is>
      </c>
      <c r="F52" s="2" t="inlineStr">
        <is>
          <t>85177000</t>
        </is>
      </c>
      <c r="G52" s="2" t="n"/>
      <c r="H52" s="2" t="n"/>
      <c r="I52" s="2" t="inlineStr">
        <is>
          <t>85177000</t>
        </is>
      </c>
      <c r="J52" s="2" t="inlineStr">
        <is>
          <t>Smart Watch With Wireless Calling/Dialing, Multiple Sports Modes, Fitness Tracker, Customizable Wallpaper, Compatible With iPhone/Android, Sporty Smartwatch With Health Monitoring Black (1 items)</t>
        </is>
      </c>
      <c r="K52" s="2" t="n">
        <v>1</v>
      </c>
      <c r="L52" s="2" t="n"/>
      <c r="M52" s="2" t="n"/>
      <c r="N52" s="2" t="inlineStr">
        <is>
          <t>USD</t>
        </is>
      </c>
      <c r="O52" s="3" t="n">
        <v>7.47</v>
      </c>
      <c r="P52" s="3" t="n">
        <v>7.47</v>
      </c>
      <c r="Q52" s="3">
        <f>O52*K52</f>
        <v/>
      </c>
      <c r="R52" s="3">
        <f>P52-Q52</f>
        <v/>
      </c>
      <c r="S52" s="3" t="n"/>
      <c r="T52" s="3" t="n"/>
      <c r="U52" s="3" t="n"/>
      <c r="V52" s="3" t="n"/>
      <c r="W52" s="3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inlineStr">
        <is>
          <t>85177000</t>
        </is>
      </c>
    </row>
    <row r="53">
      <c r="A53" s="4" t="n"/>
      <c r="B53" s="4" t="n"/>
      <c r="C53" s="4" t="n"/>
      <c r="D53" s="4" t="n"/>
      <c r="E53" s="4" t="n"/>
      <c r="F53" s="4" t="inlineStr">
        <is>
          <t>85177000</t>
        </is>
      </c>
      <c r="G53" s="4" t="n"/>
      <c r="H53" s="4" t="n"/>
      <c r="I53" s="4" t="inlineStr">
        <is>
          <t>TEMU-4</t>
        </is>
      </c>
      <c r="J53" s="4" t="inlineStr">
        <is>
          <t>Smart Watch With Wireless Calling/Dialing, Multiple Sports Modes, Fitness Tracker, Customizable Wallpaper, Compatible With iPhone/Android, Sporty Smartwatch With Health Monitoring Black</t>
        </is>
      </c>
      <c r="K53" s="4" t="n">
        <v>1</v>
      </c>
      <c r="L53" s="4" t="n"/>
      <c r="M53" s="4" t="n"/>
      <c r="N53" s="4" t="inlineStr">
        <is>
          <t>USD</t>
        </is>
      </c>
      <c r="O53" s="5" t="n">
        <v>7.47</v>
      </c>
      <c r="P53" s="5" t="n">
        <v>7.47</v>
      </c>
      <c r="Q53" s="5">
        <f>O53*K53</f>
        <v/>
      </c>
      <c r="R53" s="5">
        <f>P53-Q53</f>
        <v/>
      </c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inlineStr">
        <is>
          <t>SUBTOTAL (GROUPED)</t>
        </is>
      </c>
      <c r="K54" s="6" t="n"/>
      <c r="L54" s="6" t="n"/>
      <c r="M54" s="6" t="n"/>
      <c r="N54" s="6" t="n"/>
      <c r="O54" s="6" t="n"/>
      <c r="P54" s="7">
        <f>P44+P48+P50+P52</f>
        <v/>
      </c>
      <c r="Q54" s="7">
        <f>Q44+Q48+Q50+Q52</f>
        <v/>
      </c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inlineStr">
        <is>
          <t>SUBTOTAL (DETAILS)</t>
        </is>
      </c>
      <c r="K55" s="6" t="n"/>
      <c r="L55" s="6" t="n"/>
      <c r="M55" s="6" t="n"/>
      <c r="N55" s="6" t="n"/>
      <c r="O55" s="6" t="n"/>
      <c r="P55" s="7">
        <f>SUM(P44:P53)-P54</f>
        <v/>
      </c>
      <c r="Q55" s="7">
        <f>SUM(Q44:Q53)-Q54</f>
        <v/>
      </c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  <c r="AJ55" s="6" t="n"/>
      <c r="AK55" s="6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inlineStr">
        <is>
          <t>GROUP VERIFICATION</t>
        </is>
      </c>
      <c r="K56" s="8" t="n"/>
      <c r="L56" s="8" t="n"/>
      <c r="M56" s="8" t="n"/>
      <c r="N56" s="8" t="n"/>
      <c r="O56" s="8" t="n"/>
      <c r="P56" s="9">
        <f>P54-P55</f>
        <v/>
      </c>
      <c r="Q56" s="9">
        <f>Q54-Q55</f>
        <v/>
      </c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</row>
    <row r="57"/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inlineStr">
        <is>
          <t>TOTAL INTERNAL FREIGHT</t>
        </is>
      </c>
      <c r="K58" s="6" t="n"/>
      <c r="L58" s="6" t="n"/>
      <c r="M58" s="6" t="n"/>
      <c r="N58" s="6" t="n"/>
      <c r="O58" s="6" t="n"/>
      <c r="P58" s="7" t="n">
        <v>0</v>
      </c>
      <c r="Q58" s="7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  <c r="AK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inlineStr">
        <is>
          <t>TOTAL INSURANCE</t>
        </is>
      </c>
      <c r="K59" s="6" t="n"/>
      <c r="L59" s="6" t="n"/>
      <c r="M59" s="6" t="n"/>
      <c r="N59" s="6" t="n"/>
      <c r="O59" s="6" t="n"/>
      <c r="P59" s="7" t="n">
        <v>0</v>
      </c>
      <c r="Q59" s="7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  <c r="AJ59" s="6" t="n"/>
      <c r="AK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inlineStr">
        <is>
          <t>TOTAL OTHER COST</t>
        </is>
      </c>
      <c r="K60" s="6" t="n"/>
      <c r="L60" s="6" t="n"/>
      <c r="M60" s="6" t="n"/>
      <c r="N60" s="6" t="n"/>
      <c r="O60" s="6" t="n"/>
      <c r="P60" s="7" t="n">
        <v>0</v>
      </c>
      <c r="Q60" s="7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  <c r="AJ60" s="6" t="n"/>
      <c r="AK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inlineStr">
        <is>
          <t>TOTAL DEDUCTION</t>
        </is>
      </c>
      <c r="K61" s="6" t="n"/>
      <c r="L61" s="6" t="n"/>
      <c r="M61" s="6" t="n"/>
      <c r="N61" s="6" t="n"/>
      <c r="O61" s="6" t="n"/>
      <c r="P61" s="7" t="n">
        <v>0</v>
      </c>
      <c r="Q61" s="7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  <c r="AJ61" s="6" t="n"/>
      <c r="AK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inlineStr">
        <is>
          <t>ADJUSTMENTS</t>
        </is>
      </c>
      <c r="K62" s="6" t="n"/>
      <c r="L62" s="6" t="n"/>
      <c r="M62" s="6" t="n"/>
      <c r="N62" s="6" t="n"/>
      <c r="O62" s="6" t="n"/>
      <c r="P62" s="7">
        <f>(T44+U44+V44-W44)</f>
        <v/>
      </c>
      <c r="Q62" s="7">
        <f>(T44+U44+V44-W44)</f>
        <v/>
      </c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  <c r="AJ62" s="6" t="n"/>
      <c r="AK62" s="6" t="n"/>
    </row>
    <row r="63"/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inlineStr">
        <is>
          <t>NET TOTAL</t>
        </is>
      </c>
      <c r="K64" s="6" t="n"/>
      <c r="L64" s="6" t="n"/>
      <c r="M64" s="6" t="n"/>
      <c r="N64" s="6" t="n"/>
      <c r="O64" s="6" t="n"/>
      <c r="P64" s="7">
        <f>P54+P62</f>
        <v/>
      </c>
      <c r="Q64" s="7">
        <f>Q54+Q62</f>
        <v/>
      </c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  <c r="AJ64" s="6" t="n"/>
      <c r="AK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inlineStr">
        <is>
          <t>INVOICE TOTAL</t>
        </is>
      </c>
      <c r="K65" s="6" t="n"/>
      <c r="L65" s="6" t="n"/>
      <c r="M65" s="6" t="n"/>
      <c r="N65" s="6" t="n"/>
      <c r="O65" s="6" t="n"/>
      <c r="P65" s="7">
        <f>S44</f>
        <v/>
      </c>
      <c r="Q65" s="7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  <c r="AJ65" s="6" t="n"/>
      <c r="AK65" s="6" t="n"/>
    </row>
    <row r="66"/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inlineStr">
        <is>
          <t>VARIANCE CHECK</t>
        </is>
      </c>
      <c r="K67" s="10" t="n"/>
      <c r="L67" s="10" t="n"/>
      <c r="M67" s="10" t="n"/>
      <c r="N67" s="10" t="n"/>
      <c r="O67" s="10" t="n"/>
      <c r="P67" s="11">
        <f>S44-P64</f>
        <v/>
      </c>
      <c r="Q67" s="11">
        <f>S44-Q64</f>
        <v/>
      </c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</row>
    <row r="68"/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3" t="inlineStr">
        <is>
          <t>INVOICE NOTES: Invoice total uncertain</t>
        </is>
      </c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</row>
    <row r="70"/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inlineStr">
        <is>
          <t>DUTY ESTIMATION (Classification Cross-Check)</t>
        </is>
      </c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4" t="n"/>
      <c r="AE71" s="14" t="n"/>
      <c r="AF71" s="14" t="n"/>
      <c r="AG71" s="14" t="n"/>
      <c r="AH71" s="14" t="n"/>
      <c r="AI71" s="14" t="n"/>
      <c r="AJ71" s="14" t="n"/>
      <c r="AK71" s="14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inlineStr">
        <is>
          <t>CIF (USD) = InvTotal + Freight + Insurance</t>
        </is>
      </c>
      <c r="K72" s="15" t="n"/>
      <c r="L72" s="15" t="n"/>
      <c r="M72" s="15" t="n"/>
      <c r="N72" s="15" t="n"/>
      <c r="O72" s="15" t="n"/>
      <c r="P72" s="17" t="n">
        <v>29.14</v>
      </c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n"/>
      <c r="AK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6" t="inlineStr">
        <is>
          <t>CIF (XCD) = CIF × 2.7169</t>
        </is>
      </c>
      <c r="K73" s="15" t="n"/>
      <c r="L73" s="15" t="n"/>
      <c r="M73" s="15" t="n"/>
      <c r="N73" s="15" t="n"/>
      <c r="O73" s="15" t="n"/>
      <c r="P73" s="17" t="n">
        <v>79.17</v>
      </c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n"/>
      <c r="AK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6" t="inlineStr">
        <is>
          <t>CET (weighted avg 13.1%)</t>
        </is>
      </c>
      <c r="K74" s="15" t="n"/>
      <c r="L74" s="15" t="n"/>
      <c r="M74" s="15" t="n"/>
      <c r="N74" s="15" t="n"/>
      <c r="O74" s="15" t="n"/>
      <c r="P74" s="17" t="n">
        <v>10.35</v>
      </c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n"/>
      <c r="AK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6" t="inlineStr">
        <is>
          <t xml:space="preserve">  └ 71171900: 20% CET (26% of value)</t>
        </is>
      </c>
      <c r="K75" s="15" t="n"/>
      <c r="L75" s="15" t="n"/>
      <c r="M75" s="15" t="n"/>
      <c r="N75" s="15" t="n"/>
      <c r="O75" s="15" t="n"/>
      <c r="P75" s="17" t="n">
        <v>4.18</v>
      </c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n"/>
      <c r="AK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6" t="inlineStr">
        <is>
          <t xml:space="preserve">  └ 85177000: 5% CET (26% of value)</t>
        </is>
      </c>
      <c r="K76" s="15" t="n"/>
      <c r="L76" s="15" t="n"/>
      <c r="M76" s="15" t="n"/>
      <c r="N76" s="15" t="n"/>
      <c r="O76" s="15" t="n"/>
      <c r="P76" s="17" t="n">
        <v>1.01</v>
      </c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n"/>
      <c r="AK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6" t="inlineStr">
        <is>
          <t xml:space="preserve">  └ 85319000: 5% CET (21% of value)</t>
        </is>
      </c>
      <c r="K77" s="15" t="n"/>
      <c r="L77" s="15" t="n"/>
      <c r="M77" s="15" t="n"/>
      <c r="N77" s="15" t="n"/>
      <c r="O77" s="15" t="n"/>
      <c r="P77" s="17" t="n">
        <v>0.8100000000000001</v>
      </c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n"/>
      <c r="AK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6" t="inlineStr">
        <is>
          <t xml:space="preserve">  └ 94054000: 20% CET (27% of value)</t>
        </is>
      </c>
      <c r="K78" s="15" t="n"/>
      <c r="L78" s="15" t="n"/>
      <c r="M78" s="15" t="n"/>
      <c r="N78" s="15" t="n"/>
      <c r="O78" s="15" t="n"/>
      <c r="P78" s="17" t="n">
        <v>4.34</v>
      </c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n"/>
      <c r="AK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6" t="inlineStr">
        <is>
          <t>CSC (6%)</t>
        </is>
      </c>
      <c r="K79" s="15" t="n"/>
      <c r="L79" s="15" t="n"/>
      <c r="M79" s="15" t="n"/>
      <c r="N79" s="15" t="n"/>
      <c r="O79" s="15" t="n"/>
      <c r="P79" s="17" t="n">
        <v>4.75</v>
      </c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n"/>
      <c r="AK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6" t="inlineStr">
        <is>
          <t>VAT (15%) on CIF+CET+CSC</t>
        </is>
      </c>
      <c r="K80" s="15" t="n"/>
      <c r="L80" s="15" t="n"/>
      <c r="M80" s="15" t="n"/>
      <c r="N80" s="15" t="n"/>
      <c r="O80" s="15" t="n"/>
      <c r="P80" s="17" t="n">
        <v>14.14</v>
      </c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n"/>
      <c r="AK80" s="15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4" t="inlineStr">
        <is>
          <t>ESTIMATED TOTAL DUTIES</t>
        </is>
      </c>
      <c r="K81" s="18" t="n"/>
      <c r="L81" s="18" t="n"/>
      <c r="M81" s="18" t="n"/>
      <c r="N81" s="18" t="n"/>
      <c r="O81" s="18" t="n"/>
      <c r="P81" s="19" t="n">
        <v>29.24</v>
      </c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6" t="inlineStr">
        <is>
          <t>Effective Duty Rate</t>
        </is>
      </c>
      <c r="K82" s="15" t="n"/>
      <c r="L82" s="15" t="n"/>
      <c r="M82" s="15" t="n"/>
      <c r="N82" s="15" t="n"/>
      <c r="O82" s="15" t="n"/>
      <c r="P82" s="20" t="n">
        <v>0.3693318176076796</v>
      </c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n"/>
      <c r="AK82" s="15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</row>
    <row r="84">
      <c r="A84" s="2" t="inlineStr">
        <is>
          <t>4000-000</t>
        </is>
      </c>
      <c r="B84" s="2" t="n"/>
      <c r="C84" s="2" t="inlineStr">
        <is>
          <t>CKETS_Invoice</t>
        </is>
      </c>
      <c r="D84" s="2" t="n"/>
      <c r="E84" s="2" t="inlineStr">
        <is>
          <t>BAGS &amp; LUGGAGE</t>
        </is>
      </c>
      <c r="F84" s="2" t="inlineStr">
        <is>
          <t>42022200</t>
        </is>
      </c>
      <c r="G84" s="2" t="n"/>
      <c r="H84" s="2" t="n"/>
      <c r="I84" s="2" t="inlineStr">
        <is>
          <t>42022200</t>
        </is>
      </c>
      <c r="J84" s="2" t="inlineStr">
        <is>
          <t>Compact Business Laptop Bag, Suitable For Travel, With Shoulder Straps For Both Men And (+2 more) (3 items)</t>
        </is>
      </c>
      <c r="K84" s="2" t="n">
        <v>0</v>
      </c>
      <c r="L84" s="2" t="n"/>
      <c r="M84" s="2" t="n"/>
      <c r="N84" s="2" t="inlineStr">
        <is>
          <t>USD</t>
        </is>
      </c>
      <c r="O84" s="3" t="n"/>
      <c r="P84" s="3" t="n">
        <v>17.96</v>
      </c>
      <c r="Q84" s="3">
        <f>O84*K84</f>
        <v/>
      </c>
      <c r="R84" s="3">
        <f>P84-Q84</f>
        <v/>
      </c>
      <c r="S84" s="3" t="n">
        <v>17.96</v>
      </c>
      <c r="T84" s="3" t="n">
        <v>0</v>
      </c>
      <c r="U84" s="3" t="n">
        <v>0</v>
      </c>
      <c r="V84" s="3" t="n">
        <v>0</v>
      </c>
      <c r="W84" s="3" t="n">
        <v>0</v>
      </c>
      <c r="X84" s="2" t="n"/>
      <c r="Y84" s="2" t="n"/>
      <c r="Z84" s="2" t="inlineStr">
        <is>
          <t>UNKNOWN_</t>
        </is>
      </c>
      <c r="AA84" s="2" t="inlineStr">
        <is>
          <t>unknown_</t>
        </is>
      </c>
      <c r="AB84" s="2" t="n"/>
      <c r="AC84" s="2" t="inlineStr">
        <is>
          <t>US</t>
        </is>
      </c>
      <c r="AD84" s="2" t="n"/>
      <c r="AE84" s="2" t="n"/>
      <c r="AF84" s="2" t="n"/>
      <c r="AG84" s="2" t="n"/>
      <c r="AH84" s="2" t="n"/>
      <c r="AI84" s="2" t="n"/>
      <c r="AJ84" s="2" t="n"/>
      <c r="AK84" s="2" t="inlineStr">
        <is>
          <t>42022200</t>
        </is>
      </c>
    </row>
    <row r="85">
      <c r="A85" s="4" t="n"/>
      <c r="B85" s="4" t="n"/>
      <c r="C85" s="4" t="n"/>
      <c r="D85" s="4" t="n"/>
      <c r="E85" s="4" t="n"/>
      <c r="F85" s="4" t="inlineStr">
        <is>
          <t>42022200</t>
        </is>
      </c>
      <c r="G85" s="4" t="n"/>
      <c r="H85" s="4" t="n"/>
      <c r="I85" s="4" t="inlineStr">
        <is>
          <t>ITEM-001</t>
        </is>
      </c>
      <c r="J85" s="4" t="inlineStr">
        <is>
          <t>Compact Business Laptop Bag, Suitable For Travel, With Shoulder Straps For Both Men And</t>
        </is>
      </c>
      <c r="K85" s="4" t="n">
        <v>0</v>
      </c>
      <c r="L85" s="4" t="n"/>
      <c r="M85" s="4" t="n"/>
      <c r="N85" s="4" t="inlineStr">
        <is>
          <t>USD</t>
        </is>
      </c>
      <c r="O85" s="5" t="n">
        <v>5.91</v>
      </c>
      <c r="P85" s="5" t="n">
        <v>5.91</v>
      </c>
      <c r="Q85" s="5">
        <f>O85*K85</f>
        <v/>
      </c>
      <c r="R85" s="5">
        <f>P85-Q85</f>
        <v/>
      </c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4" t="n"/>
      <c r="B86" s="4" t="n"/>
      <c r="C86" s="4" t="n"/>
      <c r="D86" s="4" t="n"/>
      <c r="E86" s="4" t="n"/>
      <c r="F86" s="4" t="inlineStr">
        <is>
          <t>42022200</t>
        </is>
      </c>
      <c r="G86" s="4" t="n"/>
      <c r="H86" s="4" t="n"/>
      <c r="I86" s="4" t="inlineStr">
        <is>
          <t>ITEM-002</t>
        </is>
      </c>
      <c r="J86" s="4" t="inlineStr">
        <is>
          <t>&gt; Faux Leather Tote Bag, Multi Pockets Large Handbag For Work School Travel</t>
        </is>
      </c>
      <c r="K86" s="4" t="n">
        <v>0</v>
      </c>
      <c r="L86" s="4" t="n"/>
      <c r="M86" s="4" t="n"/>
      <c r="N86" s="4" t="inlineStr">
        <is>
          <t>USD</t>
        </is>
      </c>
      <c r="O86" s="5" t="n">
        <v>6.14</v>
      </c>
      <c r="P86" s="5" t="n">
        <v>6.14</v>
      </c>
      <c r="Q86" s="5">
        <f>O86*K86</f>
        <v/>
      </c>
      <c r="R86" s="5">
        <f>P86-Q86</f>
        <v/>
      </c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s="4" t="n"/>
      <c r="B87" s="4" t="n"/>
      <c r="C87" s="4" t="n"/>
      <c r="D87" s="4" t="n"/>
      <c r="E87" s="4" t="n"/>
      <c r="F87" s="4" t="inlineStr">
        <is>
          <t>42022200</t>
        </is>
      </c>
      <c r="G87" s="4" t="n"/>
      <c r="H87" s="4" t="n"/>
      <c r="I87" s="4" t="inlineStr">
        <is>
          <t>ITEM-003</t>
        </is>
      </c>
      <c r="J87" s="4" t="inlineStr">
        <is>
          <t>3/3</t>
        </is>
      </c>
      <c r="K87" s="4" t="n">
        <v>0</v>
      </c>
      <c r="L87" s="4" t="n"/>
      <c r="M87" s="4" t="n"/>
      <c r="N87" s="4" t="inlineStr">
        <is>
          <t>USD</t>
        </is>
      </c>
      <c r="O87" s="5" t="n">
        <v>5.91</v>
      </c>
      <c r="P87" s="5" t="n">
        <v>5.91</v>
      </c>
      <c r="Q87" s="5">
        <f>O87*K87</f>
        <v/>
      </c>
      <c r="R87" s="5">
        <f>P87-Q87</f>
        <v/>
      </c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inlineStr">
        <is>
          <t>SUBTOTAL (GROUPED)</t>
        </is>
      </c>
      <c r="K88" s="6" t="n"/>
      <c r="L88" s="6" t="n"/>
      <c r="M88" s="6" t="n"/>
      <c r="N88" s="6" t="n"/>
      <c r="O88" s="6" t="n"/>
      <c r="P88" s="7">
        <f>P84</f>
        <v/>
      </c>
      <c r="Q88" s="7">
        <f>Q84</f>
        <v/>
      </c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  <c r="AH88" s="6" t="n"/>
      <c r="AI88" s="6" t="n"/>
      <c r="AJ88" s="6" t="n"/>
      <c r="AK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inlineStr">
        <is>
          <t>SUBTOTAL (DETAILS)</t>
        </is>
      </c>
      <c r="K89" s="6" t="n"/>
      <c r="L89" s="6" t="n"/>
      <c r="M89" s="6" t="n"/>
      <c r="N89" s="6" t="n"/>
      <c r="O89" s="6" t="n"/>
      <c r="P89" s="7">
        <f>SUM(P84:P87)-P88</f>
        <v/>
      </c>
      <c r="Q89" s="7">
        <f>SUM(Q84:Q87)-Q88</f>
        <v/>
      </c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  <c r="AH89" s="6" t="n"/>
      <c r="AI89" s="6" t="n"/>
      <c r="AJ89" s="6" t="n"/>
      <c r="AK89" s="6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inlineStr">
        <is>
          <t>GROUP VERIFICATION</t>
        </is>
      </c>
      <c r="K90" s="8" t="n"/>
      <c r="L90" s="8" t="n"/>
      <c r="M90" s="8" t="n"/>
      <c r="N90" s="8" t="n"/>
      <c r="O90" s="8" t="n"/>
      <c r="P90" s="9">
        <f>P88-P89</f>
        <v/>
      </c>
      <c r="Q90" s="9">
        <f>Q88-Q89</f>
        <v/>
      </c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</row>
    <row r="91"/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inlineStr">
        <is>
          <t>TOTAL INTERNAL FREIGHT</t>
        </is>
      </c>
      <c r="K92" s="6" t="n"/>
      <c r="L92" s="6" t="n"/>
      <c r="M92" s="6" t="n"/>
      <c r="N92" s="6" t="n"/>
      <c r="O92" s="6" t="n"/>
      <c r="P92" s="7" t="n">
        <v>0</v>
      </c>
      <c r="Q92" s="7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  <c r="AH92" s="6" t="n"/>
      <c r="AI92" s="6" t="n"/>
      <c r="AJ92" s="6" t="n"/>
      <c r="AK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inlineStr">
        <is>
          <t>TOTAL INSURANCE</t>
        </is>
      </c>
      <c r="K93" s="6" t="n"/>
      <c r="L93" s="6" t="n"/>
      <c r="M93" s="6" t="n"/>
      <c r="N93" s="6" t="n"/>
      <c r="O93" s="6" t="n"/>
      <c r="P93" s="7" t="n">
        <v>0</v>
      </c>
      <c r="Q93" s="7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  <c r="AH93" s="6" t="n"/>
      <c r="AI93" s="6" t="n"/>
      <c r="AJ93" s="6" t="n"/>
      <c r="AK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inlineStr">
        <is>
          <t>TOTAL OTHER COST</t>
        </is>
      </c>
      <c r="K94" s="6" t="n"/>
      <c r="L94" s="6" t="n"/>
      <c r="M94" s="6" t="n"/>
      <c r="N94" s="6" t="n"/>
      <c r="O94" s="6" t="n"/>
      <c r="P94" s="7" t="n">
        <v>0</v>
      </c>
      <c r="Q94" s="7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  <c r="AH94" s="6" t="n"/>
      <c r="AI94" s="6" t="n"/>
      <c r="AJ94" s="6" t="n"/>
      <c r="AK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inlineStr">
        <is>
          <t>TOTAL DEDUCTION</t>
        </is>
      </c>
      <c r="K95" s="6" t="n"/>
      <c r="L95" s="6" t="n"/>
      <c r="M95" s="6" t="n"/>
      <c r="N95" s="6" t="n"/>
      <c r="O95" s="6" t="n"/>
      <c r="P95" s="7" t="n">
        <v>0</v>
      </c>
      <c r="Q95" s="7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  <c r="AH95" s="6" t="n"/>
      <c r="AI95" s="6" t="n"/>
      <c r="AJ95" s="6" t="n"/>
      <c r="AK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inlineStr">
        <is>
          <t>ADJUSTMENTS</t>
        </is>
      </c>
      <c r="K96" s="6" t="n"/>
      <c r="L96" s="6" t="n"/>
      <c r="M96" s="6" t="n"/>
      <c r="N96" s="6" t="n"/>
      <c r="O96" s="6" t="n"/>
      <c r="P96" s="7">
        <f>(T84+U84+V84-W84)</f>
        <v/>
      </c>
      <c r="Q96" s="7">
        <f>(T84+U84+V84-W84)</f>
        <v/>
      </c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  <c r="AH96" s="6" t="n"/>
      <c r="AI96" s="6" t="n"/>
      <c r="AJ96" s="6" t="n"/>
      <c r="AK96" s="6" t="n"/>
    </row>
    <row r="97"/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inlineStr">
        <is>
          <t>NET TOTAL</t>
        </is>
      </c>
      <c r="K98" s="6" t="n"/>
      <c r="L98" s="6" t="n"/>
      <c r="M98" s="6" t="n"/>
      <c r="N98" s="6" t="n"/>
      <c r="O98" s="6" t="n"/>
      <c r="P98" s="7">
        <f>P88+P96</f>
        <v/>
      </c>
      <c r="Q98" s="7">
        <f>Q88+Q96</f>
        <v/>
      </c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  <c r="AI98" s="6" t="n"/>
      <c r="AJ98" s="6" t="n"/>
      <c r="AK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inlineStr">
        <is>
          <t>INVOICE TOTAL</t>
        </is>
      </c>
      <c r="K99" s="6" t="n"/>
      <c r="L99" s="6" t="n"/>
      <c r="M99" s="6" t="n"/>
      <c r="N99" s="6" t="n"/>
      <c r="O99" s="6" t="n"/>
      <c r="P99" s="7">
        <f>S84</f>
        <v/>
      </c>
      <c r="Q99" s="7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  <c r="AH99" s="6" t="n"/>
      <c r="AI99" s="6" t="n"/>
      <c r="AJ99" s="6" t="n"/>
      <c r="AK99" s="6" t="n"/>
    </row>
    <row r="100"/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inlineStr">
        <is>
          <t>VARIANCE CHECK</t>
        </is>
      </c>
      <c r="K101" s="10" t="n"/>
      <c r="L101" s="10" t="n"/>
      <c r="M101" s="10" t="n"/>
      <c r="N101" s="10" t="n"/>
      <c r="O101" s="10" t="n"/>
      <c r="P101" s="11">
        <f>S84-P98</f>
        <v/>
      </c>
      <c r="Q101" s="11">
        <f>S84-Q98</f>
        <v/>
      </c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</row>
    <row r="102"/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3" t="inlineStr">
        <is>
          <t>INVOICE NOTES: Structural item count mismatch: 1 price lines found between section markers but 3 items extracted</t>
        </is>
      </c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</row>
    <row r="104"/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inlineStr">
        <is>
          <t>DUTY ESTIMATION (Classification Cross-Check)</t>
        </is>
      </c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14" t="n"/>
      <c r="AH105" s="14" t="n"/>
      <c r="AI105" s="14" t="n"/>
      <c r="AJ105" s="14" t="n"/>
      <c r="AK105" s="14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6" t="inlineStr">
        <is>
          <t>CIF (USD) = InvTotal + Freight + Insurance</t>
        </is>
      </c>
      <c r="K106" s="15" t="n"/>
      <c r="L106" s="15" t="n"/>
      <c r="M106" s="15" t="n"/>
      <c r="N106" s="15" t="n"/>
      <c r="O106" s="15" t="n"/>
      <c r="P106" s="17" t="n">
        <v>17.96</v>
      </c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n"/>
      <c r="AK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6" t="inlineStr">
        <is>
          <t>CIF (XCD) = CIF × 2.7169</t>
        </is>
      </c>
      <c r="K107" s="15" t="n"/>
      <c r="L107" s="15" t="n"/>
      <c r="M107" s="15" t="n"/>
      <c r="N107" s="15" t="n"/>
      <c r="O107" s="15" t="n"/>
      <c r="P107" s="17" t="n">
        <v>48.8</v>
      </c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n"/>
      <c r="AK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6" t="inlineStr">
        <is>
          <t>CET (20%) — Tariff 42022200</t>
        </is>
      </c>
      <c r="K108" s="15" t="n"/>
      <c r="L108" s="15" t="n"/>
      <c r="M108" s="15" t="n"/>
      <c r="N108" s="15" t="n"/>
      <c r="O108" s="15" t="n"/>
      <c r="P108" s="17" t="n">
        <v>9.76</v>
      </c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n"/>
      <c r="AK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6" t="inlineStr">
        <is>
          <t>CSC (6%)</t>
        </is>
      </c>
      <c r="K109" s="15" t="n"/>
      <c r="L109" s="15" t="n"/>
      <c r="M109" s="15" t="n"/>
      <c r="N109" s="15" t="n"/>
      <c r="O109" s="15" t="n"/>
      <c r="P109" s="17" t="n">
        <v>2.93</v>
      </c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n"/>
      <c r="AK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6" t="inlineStr">
        <is>
          <t>VAT (15%) on CIF+CET+CSC</t>
        </is>
      </c>
      <c r="K110" s="15" t="n"/>
      <c r="L110" s="15" t="n"/>
      <c r="M110" s="15" t="n"/>
      <c r="N110" s="15" t="n"/>
      <c r="O110" s="15" t="n"/>
      <c r="P110" s="17" t="n">
        <v>9.220000000000001</v>
      </c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n"/>
      <c r="AK110" s="15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4" t="inlineStr">
        <is>
          <t>ESTIMATED TOTAL DUTIES</t>
        </is>
      </c>
      <c r="K111" s="18" t="n"/>
      <c r="L111" s="18" t="n"/>
      <c r="M111" s="18" t="n"/>
      <c r="N111" s="18" t="n"/>
      <c r="O111" s="18" t="n"/>
      <c r="P111" s="19" t="n">
        <v>21.91</v>
      </c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6" t="inlineStr">
        <is>
          <t>Effective Duty Rate</t>
        </is>
      </c>
      <c r="K112" s="15" t="n"/>
      <c r="L112" s="15" t="n"/>
      <c r="M112" s="15" t="n"/>
      <c r="N112" s="15" t="n"/>
      <c r="O112" s="15" t="n"/>
      <c r="P112" s="20" t="n">
        <v>0.4489754098360656</v>
      </c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n"/>
      <c r="AK112" s="15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</row>
    <row r="114">
      <c r="A114" s="2" t="inlineStr">
        <is>
          <t>4000-000</t>
        </is>
      </c>
      <c r="B114" s="2" t="n"/>
      <c r="C114" s="2" t="inlineStr">
        <is>
          <t>PO-211-071185147948703851</t>
        </is>
      </c>
      <c r="D114" s="2" t="n"/>
      <c r="E114" s="2" t="inlineStr">
        <is>
          <t>Non-physical/Financial entry</t>
        </is>
      </c>
      <c r="F114" s="2" t="inlineStr">
        <is>
          <t>00000000</t>
        </is>
      </c>
      <c r="G114" s="2" t="n"/>
      <c r="H114" s="2" t="n"/>
      <c r="I114" s="2" t="inlineStr">
        <is>
          <t>00000000</t>
        </is>
      </c>
      <c r="J114" s="2" t="inlineStr">
        <is>
          <t>Item ( s ) discount : - $200.14 (1 items)</t>
        </is>
      </c>
      <c r="K114" s="2" t="n">
        <v>0</v>
      </c>
      <c r="L114" s="2" t="n"/>
      <c r="M114" s="2" t="n"/>
      <c r="N114" s="2" t="inlineStr">
        <is>
          <t>USD</t>
        </is>
      </c>
      <c r="O114" s="3" t="n"/>
      <c r="P114" s="3" t="n">
        <v>200.14</v>
      </c>
      <c r="Q114" s="3">
        <f>O114*K114</f>
        <v/>
      </c>
      <c r="R114" s="3">
        <f>P114-Q114</f>
        <v/>
      </c>
      <c r="S114" s="3" t="n">
        <v>200.14</v>
      </c>
      <c r="T114" s="3" t="n">
        <v>0</v>
      </c>
      <c r="U114" s="3" t="n">
        <v>0</v>
      </c>
      <c r="V114" s="3" t="n">
        <v>0</v>
      </c>
      <c r="W114" s="3" t="n">
        <v>0</v>
      </c>
      <c r="X114" s="2" t="n"/>
      <c r="Y114" s="2" t="n"/>
      <c r="Z114" s="2" t="inlineStr">
        <is>
          <t>HOME</t>
        </is>
      </c>
      <c r="AA114" s="2" t="inlineStr">
        <is>
          <t>Home Depot</t>
        </is>
      </c>
      <c r="AB114" s="2" t="inlineStr">
        <is>
          <t>2455 Paces Ferry Rd. Atlanta, GA 30339</t>
        </is>
      </c>
      <c r="AC114" s="2" t="inlineStr">
        <is>
          <t>US</t>
        </is>
      </c>
      <c r="AD114" s="2" t="n"/>
      <c r="AE114" s="2" t="n"/>
      <c r="AF114" s="2" t="n"/>
      <c r="AG114" s="2" t="n"/>
      <c r="AH114" s="2" t="n"/>
      <c r="AI114" s="2" t="n"/>
      <c r="AJ114" s="2" t="n"/>
      <c r="AK114" s="2" t="inlineStr">
        <is>
          <t>00000000</t>
        </is>
      </c>
    </row>
    <row r="115">
      <c r="A115" s="4" t="n"/>
      <c r="B115" s="4" t="n"/>
      <c r="C115" s="4" t="n"/>
      <c r="D115" s="4" t="n"/>
      <c r="E115" s="4" t="n"/>
      <c r="F115" s="4" t="inlineStr">
        <is>
          <t>00000000</t>
        </is>
      </c>
      <c r="G115" s="4" t="n"/>
      <c r="H115" s="4" t="n"/>
      <c r="I115" s="4" t="inlineStr">
        <is>
          <t>HD-1</t>
        </is>
      </c>
      <c r="J115" s="4" t="inlineStr">
        <is>
          <t>Item ( s ) discount : - $200.14</t>
        </is>
      </c>
      <c r="K115" s="4" t="n">
        <v>0</v>
      </c>
      <c r="L115" s="4" t="n"/>
      <c r="M115" s="4" t="n"/>
      <c r="N115" s="4" t="inlineStr">
        <is>
          <t>USD</t>
        </is>
      </c>
      <c r="O115" s="5" t="n">
        <v>200.14</v>
      </c>
      <c r="P115" s="5" t="n">
        <v>200.14</v>
      </c>
      <c r="Q115" s="5">
        <f>O115*K115</f>
        <v/>
      </c>
      <c r="R115" s="5">
        <f>P115-Q115</f>
        <v/>
      </c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inlineStr">
        <is>
          <t>SUBTOTAL (GROUPED)</t>
        </is>
      </c>
      <c r="K116" s="6" t="n"/>
      <c r="L116" s="6" t="n"/>
      <c r="M116" s="6" t="n"/>
      <c r="N116" s="6" t="n"/>
      <c r="O116" s="6" t="n"/>
      <c r="P116" s="7">
        <f>P114</f>
        <v/>
      </c>
      <c r="Q116" s="7">
        <f>Q114</f>
        <v/>
      </c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  <c r="AH116" s="6" t="n"/>
      <c r="AI116" s="6" t="n"/>
      <c r="AJ116" s="6" t="n"/>
      <c r="AK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inlineStr">
        <is>
          <t>SUBTOTAL (DETAILS)</t>
        </is>
      </c>
      <c r="K117" s="6" t="n"/>
      <c r="L117" s="6" t="n"/>
      <c r="M117" s="6" t="n"/>
      <c r="N117" s="6" t="n"/>
      <c r="O117" s="6" t="n"/>
      <c r="P117" s="7">
        <f>SUM(P114:P115)-P116</f>
        <v/>
      </c>
      <c r="Q117" s="7">
        <f>SUM(Q114:Q115)-Q116</f>
        <v/>
      </c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  <c r="AH117" s="6" t="n"/>
      <c r="AI117" s="6" t="n"/>
      <c r="AJ117" s="6" t="n"/>
      <c r="AK117" s="6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inlineStr">
        <is>
          <t>GROUP VERIFICATION</t>
        </is>
      </c>
      <c r="K118" s="8" t="n"/>
      <c r="L118" s="8" t="n"/>
      <c r="M118" s="8" t="n"/>
      <c r="N118" s="8" t="n"/>
      <c r="O118" s="8" t="n"/>
      <c r="P118" s="9">
        <f>P116-P117</f>
        <v/>
      </c>
      <c r="Q118" s="9">
        <f>Q116-Q117</f>
        <v/>
      </c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</row>
    <row r="119"/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inlineStr">
        <is>
          <t>TOTAL INTERNAL FREIGHT</t>
        </is>
      </c>
      <c r="K120" s="6" t="n"/>
      <c r="L120" s="6" t="n"/>
      <c r="M120" s="6" t="n"/>
      <c r="N120" s="6" t="n"/>
      <c r="O120" s="6" t="n"/>
      <c r="P120" s="7" t="n">
        <v>0</v>
      </c>
      <c r="Q120" s="7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  <c r="AH120" s="6" t="n"/>
      <c r="AI120" s="6" t="n"/>
      <c r="AJ120" s="6" t="n"/>
      <c r="AK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inlineStr">
        <is>
          <t>TOTAL INSURANCE</t>
        </is>
      </c>
      <c r="K121" s="6" t="n"/>
      <c r="L121" s="6" t="n"/>
      <c r="M121" s="6" t="n"/>
      <c r="N121" s="6" t="n"/>
      <c r="O121" s="6" t="n"/>
      <c r="P121" s="7" t="n">
        <v>0</v>
      </c>
      <c r="Q121" s="7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  <c r="AH121" s="6" t="n"/>
      <c r="AI121" s="6" t="n"/>
      <c r="AJ121" s="6" t="n"/>
      <c r="AK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inlineStr">
        <is>
          <t>TOTAL OTHER COST</t>
        </is>
      </c>
      <c r="K122" s="6" t="n"/>
      <c r="L122" s="6" t="n"/>
      <c r="M122" s="6" t="n"/>
      <c r="N122" s="6" t="n"/>
      <c r="O122" s="6" t="n"/>
      <c r="P122" s="7" t="n">
        <v>0</v>
      </c>
      <c r="Q122" s="7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  <c r="AH122" s="6" t="n"/>
      <c r="AI122" s="6" t="n"/>
      <c r="AJ122" s="6" t="n"/>
      <c r="AK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inlineStr">
        <is>
          <t>TOTAL DEDUCTION</t>
        </is>
      </c>
      <c r="K123" s="6" t="n"/>
      <c r="L123" s="6" t="n"/>
      <c r="M123" s="6" t="n"/>
      <c r="N123" s="6" t="n"/>
      <c r="O123" s="6" t="n"/>
      <c r="P123" s="7" t="n">
        <v>0</v>
      </c>
      <c r="Q123" s="7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  <c r="AH123" s="6" t="n"/>
      <c r="AI123" s="6" t="n"/>
      <c r="AJ123" s="6" t="n"/>
      <c r="AK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inlineStr">
        <is>
          <t>ADJUSTMENTS</t>
        </is>
      </c>
      <c r="K124" s="6" t="n"/>
      <c r="L124" s="6" t="n"/>
      <c r="M124" s="6" t="n"/>
      <c r="N124" s="6" t="n"/>
      <c r="O124" s="6" t="n"/>
      <c r="P124" s="7">
        <f>(T114+U114+V114-W114)</f>
        <v/>
      </c>
      <c r="Q124" s="7">
        <f>(T114+U114+V114-W114)</f>
        <v/>
      </c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  <c r="AH124" s="6" t="n"/>
      <c r="AI124" s="6" t="n"/>
      <c r="AJ124" s="6" t="n"/>
      <c r="AK124" s="6" t="n"/>
    </row>
    <row r="125"/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inlineStr">
        <is>
          <t>NET TOTAL</t>
        </is>
      </c>
      <c r="K126" s="6" t="n"/>
      <c r="L126" s="6" t="n"/>
      <c r="M126" s="6" t="n"/>
      <c r="N126" s="6" t="n"/>
      <c r="O126" s="6" t="n"/>
      <c r="P126" s="7">
        <f>P116+P124</f>
        <v/>
      </c>
      <c r="Q126" s="7">
        <f>Q116+Q124</f>
        <v/>
      </c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  <c r="AH126" s="6" t="n"/>
      <c r="AI126" s="6" t="n"/>
      <c r="AJ126" s="6" t="n"/>
      <c r="AK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inlineStr">
        <is>
          <t>INVOICE TOTAL</t>
        </is>
      </c>
      <c r="K127" s="6" t="n"/>
      <c r="L127" s="6" t="n"/>
      <c r="M127" s="6" t="n"/>
      <c r="N127" s="6" t="n"/>
      <c r="O127" s="6" t="n"/>
      <c r="P127" s="7">
        <f>S114</f>
        <v/>
      </c>
      <c r="Q127" s="7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  <c r="AH127" s="6" t="n"/>
      <c r="AI127" s="6" t="n"/>
      <c r="AJ127" s="6" t="n"/>
      <c r="AK127" s="6" t="n"/>
    </row>
    <row r="128"/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inlineStr">
        <is>
          <t>VARIANCE CHECK</t>
        </is>
      </c>
      <c r="K129" s="10" t="n"/>
      <c r="L129" s="10" t="n"/>
      <c r="M129" s="10" t="n"/>
      <c r="N129" s="10" t="n"/>
      <c r="O129" s="10" t="n"/>
      <c r="P129" s="11">
        <f>S114-P126</f>
        <v/>
      </c>
      <c r="Q129" s="11">
        <f>S114-Q126</f>
        <v/>
      </c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</row>
    <row r="130"/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3" t="inlineStr">
        <is>
          <t>INVOICE NOTES: Invoice total uncertain</t>
        </is>
      </c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</row>
    <row r="132"/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inlineStr">
        <is>
          <t>DUTY ESTIMATION (Classification Cross-Check)</t>
        </is>
      </c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14" t="n"/>
      <c r="AH133" s="14" t="n"/>
      <c r="AI133" s="14" t="n"/>
      <c r="AJ133" s="14" t="n"/>
      <c r="AK133" s="14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6" t="inlineStr">
        <is>
          <t>CIF (USD) = InvTotal + Freight + Insurance</t>
        </is>
      </c>
      <c r="K134" s="15" t="n"/>
      <c r="L134" s="15" t="n"/>
      <c r="M134" s="15" t="n"/>
      <c r="N134" s="15" t="n"/>
      <c r="O134" s="15" t="n"/>
      <c r="P134" s="17" t="n">
        <v>200.14</v>
      </c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n"/>
      <c r="AK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6" t="inlineStr">
        <is>
          <t>CIF (XCD) = CIF × 2.7169</t>
        </is>
      </c>
      <c r="K135" s="15" t="n"/>
      <c r="L135" s="15" t="n"/>
      <c r="M135" s="15" t="n"/>
      <c r="N135" s="15" t="n"/>
      <c r="O135" s="15" t="n"/>
      <c r="P135" s="17" t="n">
        <v>543.76</v>
      </c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  <c r="AF135" s="15" t="n"/>
      <c r="AG135" s="15" t="n"/>
      <c r="AH135" s="15" t="n"/>
      <c r="AI135" s="15" t="n"/>
      <c r="AJ135" s="15" t="n"/>
      <c r="AK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6" t="inlineStr">
        <is>
          <t>CET (20%) — Tariff 00000000</t>
        </is>
      </c>
      <c r="K136" s="15" t="n"/>
      <c r="L136" s="15" t="n"/>
      <c r="M136" s="15" t="n"/>
      <c r="N136" s="15" t="n"/>
      <c r="O136" s="15" t="n"/>
      <c r="P136" s="17" t="n">
        <v>108.75</v>
      </c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n"/>
      <c r="AK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6" t="inlineStr">
        <is>
          <t>CSC (6%)</t>
        </is>
      </c>
      <c r="K137" s="15" t="n"/>
      <c r="L137" s="15" t="n"/>
      <c r="M137" s="15" t="n"/>
      <c r="N137" s="15" t="n"/>
      <c r="O137" s="15" t="n"/>
      <c r="P137" s="17" t="n">
        <v>32.63</v>
      </c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  <c r="AF137" s="15" t="n"/>
      <c r="AG137" s="15" t="n"/>
      <c r="AH137" s="15" t="n"/>
      <c r="AI137" s="15" t="n"/>
      <c r="AJ137" s="15" t="n"/>
      <c r="AK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6" t="inlineStr">
        <is>
          <t>VAT (15%) on CIF+CET+CSC</t>
        </is>
      </c>
      <c r="K138" s="15" t="n"/>
      <c r="L138" s="15" t="n"/>
      <c r="M138" s="15" t="n"/>
      <c r="N138" s="15" t="n"/>
      <c r="O138" s="15" t="n"/>
      <c r="P138" s="17" t="n">
        <v>102.77</v>
      </c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n"/>
      <c r="AK138" s="15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4" t="inlineStr">
        <is>
          <t>ESTIMATED TOTAL DUTIES</t>
        </is>
      </c>
      <c r="K139" s="18" t="n"/>
      <c r="L139" s="18" t="n"/>
      <c r="M139" s="18" t="n"/>
      <c r="N139" s="18" t="n"/>
      <c r="O139" s="18" t="n"/>
      <c r="P139" s="19" t="n">
        <v>244.15</v>
      </c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  <c r="AC139" s="18" t="n"/>
      <c r="AD139" s="18" t="n"/>
      <c r="AE139" s="18" t="n"/>
      <c r="AF139" s="18" t="n"/>
      <c r="AG139" s="18" t="n"/>
      <c r="AH139" s="18" t="n"/>
      <c r="AI139" s="18" t="n"/>
      <c r="AJ139" s="18" t="n"/>
      <c r="AK139" s="18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6" t="inlineStr">
        <is>
          <t>Effective Duty Rate</t>
        </is>
      </c>
      <c r="K140" s="15" t="n"/>
      <c r="L140" s="15" t="n"/>
      <c r="M140" s="15" t="n"/>
      <c r="N140" s="15" t="n"/>
      <c r="O140" s="15" t="n"/>
      <c r="P140" s="20" t="n">
        <v>0.4490032367220833</v>
      </c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n"/>
      <c r="AK140" s="15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21" t="n"/>
      <c r="AI141" s="21" t="n"/>
      <c r="AJ141" s="21" t="n"/>
      <c r="AK141" s="21" t="n"/>
    </row>
    <row r="142">
      <c r="A142" s="2" t="inlineStr">
        <is>
          <t>4000-000</t>
        </is>
      </c>
      <c r="B142" s="2" t="n"/>
      <c r="C142" s="2" t="inlineStr">
        <is>
          <t>03152025_Free_returns_within_90_days_Invoice</t>
        </is>
      </c>
      <c r="D142" s="2" t="n"/>
      <c r="E142" s="2" t="inlineStr">
        <is>
          <t>Non-physical/Financial entry</t>
        </is>
      </c>
      <c r="F142" s="2" t="inlineStr">
        <is>
          <t>99999999</t>
        </is>
      </c>
      <c r="G142" s="2" t="n"/>
      <c r="H142" s="2" t="n"/>
      <c r="I142" s="2" t="inlineStr">
        <is>
          <t>99999999</t>
        </is>
      </c>
      <c r="J142" s="2" t="inlineStr">
        <is>
          <t>Item ( s ) discount : - $200.14 (1 items)</t>
        </is>
      </c>
      <c r="K142" s="2" t="n">
        <v>0</v>
      </c>
      <c r="L142" s="2" t="n"/>
      <c r="M142" s="2" t="n"/>
      <c r="N142" s="2" t="inlineStr">
        <is>
          <t>USD</t>
        </is>
      </c>
      <c r="O142" s="3" t="n"/>
      <c r="P142" s="3" t="n">
        <v>200.14</v>
      </c>
      <c r="Q142" s="3">
        <f>O142*K142</f>
        <v/>
      </c>
      <c r="R142" s="3">
        <f>P142-Q142</f>
        <v/>
      </c>
      <c r="S142" s="3" t="n">
        <v>200.14</v>
      </c>
      <c r="T142" s="3" t="n">
        <v>0</v>
      </c>
      <c r="U142" s="3" t="n">
        <v>0</v>
      </c>
      <c r="V142" s="3" t="n">
        <v>0</v>
      </c>
      <c r="W142" s="3" t="n">
        <v>0</v>
      </c>
      <c r="X142" s="2" t="n"/>
      <c r="Y142" s="2" t="n"/>
      <c r="Z142" s="2" t="inlineStr">
        <is>
          <t>HOME</t>
        </is>
      </c>
      <c r="AA142" s="2" t="inlineStr">
        <is>
          <t>Home Depot</t>
        </is>
      </c>
      <c r="AB142" s="2" t="inlineStr">
        <is>
          <t>2455 Paces Ferry Rd. Atlanta, GA 30339</t>
        </is>
      </c>
      <c r="AC142" s="2" t="inlineStr">
        <is>
          <t>US</t>
        </is>
      </c>
      <c r="AD142" s="2" t="n"/>
      <c r="AE142" s="2" t="n"/>
      <c r="AF142" s="2" t="n"/>
      <c r="AG142" s="2" t="n"/>
      <c r="AH142" s="2" t="n"/>
      <c r="AI142" s="2" t="n"/>
      <c r="AJ142" s="2" t="n"/>
      <c r="AK142" s="2" t="inlineStr">
        <is>
          <t>99999999</t>
        </is>
      </c>
    </row>
    <row r="143">
      <c r="A143" s="4" t="n"/>
      <c r="B143" s="4" t="n"/>
      <c r="C143" s="4" t="n"/>
      <c r="D143" s="4" t="n"/>
      <c r="E143" s="4" t="n"/>
      <c r="F143" s="4" t="inlineStr">
        <is>
          <t>99999999</t>
        </is>
      </c>
      <c r="G143" s="4" t="n"/>
      <c r="H143" s="4" t="n"/>
      <c r="I143" s="4" t="inlineStr">
        <is>
          <t>HD-1</t>
        </is>
      </c>
      <c r="J143" s="4" t="inlineStr">
        <is>
          <t>Item ( s ) discount : - $200.14</t>
        </is>
      </c>
      <c r="K143" s="4" t="n">
        <v>0</v>
      </c>
      <c r="L143" s="4" t="n"/>
      <c r="M143" s="4" t="n"/>
      <c r="N143" s="4" t="inlineStr">
        <is>
          <t>USD</t>
        </is>
      </c>
      <c r="O143" s="5" t="n">
        <v>200.14</v>
      </c>
      <c r="P143" s="5" t="n">
        <v>200.14</v>
      </c>
      <c r="Q143" s="5">
        <f>O143*K143</f>
        <v/>
      </c>
      <c r="R143" s="5">
        <f>P143-Q143</f>
        <v/>
      </c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inlineStr">
        <is>
          <t>SUBTOTAL (GROUPED)</t>
        </is>
      </c>
      <c r="K144" s="6" t="n"/>
      <c r="L144" s="6" t="n"/>
      <c r="M144" s="6" t="n"/>
      <c r="N144" s="6" t="n"/>
      <c r="O144" s="6" t="n"/>
      <c r="P144" s="7">
        <f>P142</f>
        <v/>
      </c>
      <c r="Q144" s="7">
        <f>Q142</f>
        <v/>
      </c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  <c r="AH144" s="6" t="n"/>
      <c r="AI144" s="6" t="n"/>
      <c r="AJ144" s="6" t="n"/>
      <c r="AK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inlineStr">
        <is>
          <t>SUBTOTAL (DETAILS)</t>
        </is>
      </c>
      <c r="K145" s="6" t="n"/>
      <c r="L145" s="6" t="n"/>
      <c r="M145" s="6" t="n"/>
      <c r="N145" s="6" t="n"/>
      <c r="O145" s="6" t="n"/>
      <c r="P145" s="7">
        <f>SUM(P142:P143)-P144</f>
        <v/>
      </c>
      <c r="Q145" s="7">
        <f>SUM(Q142:Q143)-Q144</f>
        <v/>
      </c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  <c r="AI145" s="6" t="n"/>
      <c r="AJ145" s="6" t="n"/>
      <c r="AK145" s="6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inlineStr">
        <is>
          <t>GROUP VERIFICATION</t>
        </is>
      </c>
      <c r="K146" s="8" t="n"/>
      <c r="L146" s="8" t="n"/>
      <c r="M146" s="8" t="n"/>
      <c r="N146" s="8" t="n"/>
      <c r="O146" s="8" t="n"/>
      <c r="P146" s="9">
        <f>P144-P145</f>
        <v/>
      </c>
      <c r="Q146" s="9">
        <f>Q144-Q145</f>
        <v/>
      </c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</row>
    <row r="147"/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inlineStr">
        <is>
          <t>TOTAL INTERNAL FREIGHT</t>
        </is>
      </c>
      <c r="K148" s="6" t="n"/>
      <c r="L148" s="6" t="n"/>
      <c r="M148" s="6" t="n"/>
      <c r="N148" s="6" t="n"/>
      <c r="O148" s="6" t="n"/>
      <c r="P148" s="7" t="n">
        <v>0</v>
      </c>
      <c r="Q148" s="7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  <c r="AH148" s="6" t="n"/>
      <c r="AI148" s="6" t="n"/>
      <c r="AJ148" s="6" t="n"/>
      <c r="AK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inlineStr">
        <is>
          <t>TOTAL INSURANCE</t>
        </is>
      </c>
      <c r="K149" s="6" t="n"/>
      <c r="L149" s="6" t="n"/>
      <c r="M149" s="6" t="n"/>
      <c r="N149" s="6" t="n"/>
      <c r="O149" s="6" t="n"/>
      <c r="P149" s="7" t="n">
        <v>0</v>
      </c>
      <c r="Q149" s="7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  <c r="AH149" s="6" t="n"/>
      <c r="AI149" s="6" t="n"/>
      <c r="AJ149" s="6" t="n"/>
      <c r="AK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inlineStr">
        <is>
          <t>TOTAL OTHER COST</t>
        </is>
      </c>
      <c r="K150" s="6" t="n"/>
      <c r="L150" s="6" t="n"/>
      <c r="M150" s="6" t="n"/>
      <c r="N150" s="6" t="n"/>
      <c r="O150" s="6" t="n"/>
      <c r="P150" s="7" t="n">
        <v>0</v>
      </c>
      <c r="Q150" s="7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  <c r="AI150" s="6" t="n"/>
      <c r="AJ150" s="6" t="n"/>
      <c r="AK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inlineStr">
        <is>
          <t>TOTAL DEDUCTION</t>
        </is>
      </c>
      <c r="K151" s="6" t="n"/>
      <c r="L151" s="6" t="n"/>
      <c r="M151" s="6" t="n"/>
      <c r="N151" s="6" t="n"/>
      <c r="O151" s="6" t="n"/>
      <c r="P151" s="7" t="n">
        <v>0</v>
      </c>
      <c r="Q151" s="7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  <c r="AH151" s="6" t="n"/>
      <c r="AI151" s="6" t="n"/>
      <c r="AJ151" s="6" t="n"/>
      <c r="AK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inlineStr">
        <is>
          <t>ADJUSTMENTS</t>
        </is>
      </c>
      <c r="K152" s="6" t="n"/>
      <c r="L152" s="6" t="n"/>
      <c r="M152" s="6" t="n"/>
      <c r="N152" s="6" t="n"/>
      <c r="O152" s="6" t="n"/>
      <c r="P152" s="7">
        <f>(T142+U142+V142-W142)</f>
        <v/>
      </c>
      <c r="Q152" s="7">
        <f>(T142+U142+V142-W142)</f>
        <v/>
      </c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  <c r="AH152" s="6" t="n"/>
      <c r="AI152" s="6" t="n"/>
      <c r="AJ152" s="6" t="n"/>
      <c r="AK152" s="6" t="n"/>
    </row>
    <row r="153"/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inlineStr">
        <is>
          <t>NET TOTAL</t>
        </is>
      </c>
      <c r="K154" s="6" t="n"/>
      <c r="L154" s="6" t="n"/>
      <c r="M154" s="6" t="n"/>
      <c r="N154" s="6" t="n"/>
      <c r="O154" s="6" t="n"/>
      <c r="P154" s="7">
        <f>P144+P152</f>
        <v/>
      </c>
      <c r="Q154" s="7">
        <f>Q144+Q152</f>
        <v/>
      </c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  <c r="AH154" s="6" t="n"/>
      <c r="AI154" s="6" t="n"/>
      <c r="AJ154" s="6" t="n"/>
      <c r="AK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inlineStr">
        <is>
          <t>INVOICE TOTAL</t>
        </is>
      </c>
      <c r="K155" s="6" t="n"/>
      <c r="L155" s="6" t="n"/>
      <c r="M155" s="6" t="n"/>
      <c r="N155" s="6" t="n"/>
      <c r="O155" s="6" t="n"/>
      <c r="P155" s="7">
        <f>S142</f>
        <v/>
      </c>
      <c r="Q155" s="7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  <c r="AH155" s="6" t="n"/>
      <c r="AI155" s="6" t="n"/>
      <c r="AJ155" s="6" t="n"/>
      <c r="AK155" s="6" t="n"/>
    </row>
    <row r="156"/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inlineStr">
        <is>
          <t>VARIANCE CHECK</t>
        </is>
      </c>
      <c r="K157" s="10" t="n"/>
      <c r="L157" s="10" t="n"/>
      <c r="M157" s="10" t="n"/>
      <c r="N157" s="10" t="n"/>
      <c r="O157" s="10" t="n"/>
      <c r="P157" s="11">
        <f>S142-P154</f>
        <v/>
      </c>
      <c r="Q157" s="11">
        <f>S142-Q154</f>
        <v/>
      </c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</row>
    <row r="158"/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3" t="inlineStr">
        <is>
          <t>INVOICE NOTES: Invoice total uncertain</t>
        </is>
      </c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</row>
    <row r="160"/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inlineStr">
        <is>
          <t>DUTY ESTIMATION (Classification Cross-Check)</t>
        </is>
      </c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  <c r="AG161" s="14" t="n"/>
      <c r="AH161" s="14" t="n"/>
      <c r="AI161" s="14" t="n"/>
      <c r="AJ161" s="14" t="n"/>
      <c r="AK161" s="14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inlineStr">
        <is>
          <t>CIF (USD) = InvTotal + Freight + Insurance</t>
        </is>
      </c>
      <c r="K162" s="15" t="n"/>
      <c r="L162" s="15" t="n"/>
      <c r="M162" s="15" t="n"/>
      <c r="N162" s="15" t="n"/>
      <c r="O162" s="15" t="n"/>
      <c r="P162" s="17" t="n">
        <v>200.14</v>
      </c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n"/>
      <c r="AK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6" t="inlineStr">
        <is>
          <t>CIF (XCD) = CIF × 2.7169</t>
        </is>
      </c>
      <c r="K163" s="15" t="n"/>
      <c r="L163" s="15" t="n"/>
      <c r="M163" s="15" t="n"/>
      <c r="N163" s="15" t="n"/>
      <c r="O163" s="15" t="n"/>
      <c r="P163" s="17" t="n">
        <v>543.76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n"/>
      <c r="AK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6" t="inlineStr">
        <is>
          <t>CET (20%) — Tariff 99999999</t>
        </is>
      </c>
      <c r="K164" s="15" t="n"/>
      <c r="L164" s="15" t="n"/>
      <c r="M164" s="15" t="n"/>
      <c r="N164" s="15" t="n"/>
      <c r="O164" s="15" t="n"/>
      <c r="P164" s="17" t="n">
        <v>108.75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n"/>
      <c r="AG164" s="15" t="n"/>
      <c r="AH164" s="15" t="n"/>
      <c r="AI164" s="15" t="n"/>
      <c r="AJ164" s="15" t="n"/>
      <c r="AK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6" t="inlineStr">
        <is>
          <t>CSC (6%)</t>
        </is>
      </c>
      <c r="K165" s="15" t="n"/>
      <c r="L165" s="15" t="n"/>
      <c r="M165" s="15" t="n"/>
      <c r="N165" s="15" t="n"/>
      <c r="O165" s="15" t="n"/>
      <c r="P165" s="17" t="n">
        <v>32.63</v>
      </c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  <c r="AF165" s="15" t="n"/>
      <c r="AG165" s="15" t="n"/>
      <c r="AH165" s="15" t="n"/>
      <c r="AI165" s="15" t="n"/>
      <c r="AJ165" s="15" t="n"/>
      <c r="AK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6" t="inlineStr">
        <is>
          <t>VAT (15%) on CIF+CET+CSC</t>
        </is>
      </c>
      <c r="K166" s="15" t="n"/>
      <c r="L166" s="15" t="n"/>
      <c r="M166" s="15" t="n"/>
      <c r="N166" s="15" t="n"/>
      <c r="O166" s="15" t="n"/>
      <c r="P166" s="17" t="n">
        <v>102.77</v>
      </c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n"/>
      <c r="AK166" s="15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4" t="inlineStr">
        <is>
          <t>ESTIMATED TOTAL DUTIES</t>
        </is>
      </c>
      <c r="K167" s="18" t="n"/>
      <c r="L167" s="18" t="n"/>
      <c r="M167" s="18" t="n"/>
      <c r="N167" s="18" t="n"/>
      <c r="O167" s="18" t="n"/>
      <c r="P167" s="19" t="n">
        <v>244.15</v>
      </c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  <c r="AA167" s="18" t="n"/>
      <c r="AB167" s="18" t="n"/>
      <c r="AC167" s="18" t="n"/>
      <c r="AD167" s="18" t="n"/>
      <c r="AE167" s="18" t="n"/>
      <c r="AF167" s="18" t="n"/>
      <c r="AG167" s="18" t="n"/>
      <c r="AH167" s="18" t="n"/>
      <c r="AI167" s="18" t="n"/>
      <c r="AJ167" s="18" t="n"/>
      <c r="AK167" s="18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6" t="inlineStr">
        <is>
          <t>Effective Duty Rate</t>
        </is>
      </c>
      <c r="K168" s="15" t="n"/>
      <c r="L168" s="15" t="n"/>
      <c r="M168" s="15" t="n"/>
      <c r="N168" s="15" t="n"/>
      <c r="O168" s="15" t="n"/>
      <c r="P168" s="20" t="n">
        <v>0.4490032367220833</v>
      </c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n"/>
      <c r="AK168" s="15" t="n"/>
    </row>
    <row r="169"/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  <c r="AJ170" s="22" t="n"/>
      <c r="AK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3" t="inlineStr">
        <is>
          <t>═══ COMBINED GRAND SUMMARY ═══</t>
        </is>
      </c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  <c r="AJ171" s="22" t="n"/>
      <c r="AK171" s="22" t="n"/>
    </row>
    <row r="172">
      <c r="L172" s="24" t="inlineStr">
        <is>
          <t>Invoice 03152025_Free_returns_within_90_days_Invoice_1</t>
        </is>
      </c>
      <c r="P172" s="25" t="n">
        <v>209.56</v>
      </c>
      <c r="Q172" s="26" t="n">
        <v>-180.42</v>
      </c>
    </row>
    <row r="173">
      <c r="L173" s="24" t="inlineStr">
        <is>
          <t>Invoice 03152025_Free_returns_within_90_days_Invoice_1_2_Invoice</t>
        </is>
      </c>
      <c r="P173" s="25" t="n">
        <v>206.64</v>
      </c>
      <c r="Q173" s="26" t="n">
        <v>-177.5</v>
      </c>
    </row>
    <row r="174">
      <c r="L174" s="24" t="inlineStr">
        <is>
          <t>Invoice CKETS_Invoice</t>
        </is>
      </c>
      <c r="P174" s="25" t="n">
        <v>128.99</v>
      </c>
      <c r="Q174" s="26" t="n">
        <v>-111.03</v>
      </c>
    </row>
    <row r="175">
      <c r="L175" s="24" t="inlineStr">
        <is>
          <t>Invoice PO-211-071185147948703851</t>
        </is>
      </c>
      <c r="P175" s="25" t="n">
        <v>1432.79</v>
      </c>
      <c r="Q175" s="26" t="n">
        <v>-1232.65</v>
      </c>
    </row>
    <row r="176">
      <c r="L176" s="24" t="inlineStr">
        <is>
          <t>Invoice 03152025_Free_returns_within_90_days_Invoice</t>
        </is>
      </c>
      <c r="P176" s="25" t="n">
        <v>1432.79</v>
      </c>
      <c r="Q176" s="26" t="n">
        <v>-1232.65</v>
      </c>
    </row>
    <row r="177"/>
    <row r="178">
      <c r="L178" s="27" t="inlineStr">
        <is>
          <t>GRAND TOTAL</t>
        </is>
      </c>
      <c r="P178" s="28" t="n">
        <v>3410.77</v>
      </c>
    </row>
    <row r="179">
      <c r="L179" s="29" t="inlineStr">
        <is>
          <t>GRAND VARIANCE CHECK</t>
        </is>
      </c>
      <c r="P179" s="26" t="n">
        <v>-2934.25</v>
      </c>
    </row>
    <row r="180">
      <c r="L180" s="30" t="inlineStr">
        <is>
          <t>Combined 5 invoice files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0" customWidth="1" min="3" max="3"/>
    <col width="60" customWidth="1" min="4" max="4"/>
    <col width="100" customWidth="1" min="5" max="5"/>
  </cols>
  <sheetData>
    <row r="1">
      <c r="A1" s="31" t="inlineStr">
        <is>
          <t>PDF File</t>
        </is>
      </c>
      <c r="B1" s="31" t="inlineStr">
        <is>
          <t>Quality Score</t>
        </is>
      </c>
      <c r="C1" s="31" t="inlineStr">
        <is>
          <t>Rating</t>
        </is>
      </c>
      <c r="D1" s="31" t="inlineStr">
        <is>
          <t>Details</t>
        </is>
      </c>
      <c r="E1" s="31" t="inlineStr">
        <is>
          <t>OCR Text (first 2000 chars)</t>
        </is>
      </c>
    </row>
    <row r="2">
      <c r="A2" s="32" t="inlineStr">
        <is>
          <t>03152025_Free_returns_within_90_days_Invoice_1.pdf</t>
        </is>
      </c>
      <c r="B2" s="32" t="inlineStr">
        <is>
          <t>63/100</t>
        </is>
      </c>
      <c r="C2" s="32" t="inlineStr">
        <is>
          <t>FAIR</t>
        </is>
      </c>
      <c r="D2" s="32" t="inlineStr">
        <is>
          <t>Text: 854 chars; Prices: 6 ($-sign), 0 (decimal); Total: MISSING; Invoice#: MISSING; Real items: 6/6; Structure words: 1/12</t>
        </is>
      </c>
      <c r="E2" s="33" t="inlineStr">
        <is>
          <t>Item details (8)
2pcs Simple Stainless Steel Bracelet Necklace Set For Men
Silvery
$1.98 x1
By — LovelyThings
Lightweight Non-Slip Women's Knitted Loafers for Casual Walking
7.5 / Black
$7.99 x1
By — KAMUCC
1pc Waterproof LED Solar Lamp Bulb for Outdoor Hiking, Fishing, and Emergency Lighting
7w With Solar Panel
$5.98 x1
By ▲ ABT factory
Smart Watch With Wireless Calling/Dialing, Multiple Sports Modes, Fitness Tracker, Customizable Wallpaper, Compatible With iPhone/Android, Sporty Smartwatch With Health Monitoring
Black
$7.47 x1
By — GUYN
3pcs Exaggerated Design Earrings and Necklace Set for Party Outfits - Stand Out and Be the Most Special One at Any Party
Female / Exquisite
$3.39 x1
By ☺ ATHENAA
Elegant Adjustable Rhinestone Bracelet Quartz Watch, Fashionable Luxury Style, Versatile, Women's Accessory
Golden
$2.33 x1
By ☺ New Time Clock
2/3</t>
        </is>
      </c>
    </row>
    <row r="3">
      <c r="A3" s="32" t="inlineStr">
        <is>
          <t>03152025_Free_returns_within_90_days_Invoice_1_2_Invoice.pdf</t>
        </is>
      </c>
      <c r="B3" s="32" t="inlineStr">
        <is>
          <t>63/100</t>
        </is>
      </c>
      <c r="C3" s="32" t="inlineStr">
        <is>
          <t>FAIR</t>
        </is>
      </c>
      <c r="D3" s="32" t="inlineStr">
        <is>
          <t>Text: 852 chars; Prices: 6 ($-sign), 0 (decimal); Total: MISSING; Invoice#: MISSING; Real items: 6/6; Structure words: 1/12</t>
        </is>
      </c>
      <c r="E3" s="33" t="inlineStr">
        <is>
          <t>Item details (8)
2pcs Simple Stainless Steel Bracelet Necklace Set For Men
Silvery
$1.98 x1
By — LovelyThings
Lightweight Non-Slip Women's Knitted Loafers for Casual Walking
7.5 / Black
$7.99 x1
By — KAMUCC
1pc Waterproof LED Solar Lamp Bulb for Outdoor Hiking, Fishing, and Emergency Lighting
7w With Solar Panel
$5.98 x1
By ▲ ABT factory
Smart Watch With Wireless Calling/Dialing, Multiple Sports Modes, Fitness Tracker, Customizable Wallpaper, Compatible With iPhone/Android, Sporty Smartwatch With Health Monitoring
Black
$7.47 x1
By — GUYN
3pcs Exaggerated Design Earrings and Necklace Set for Party Outfits - Stand Out and Be the Most Special One at Any Party
Female / Exquisite
$3.39 x1
By @ ATHENAA
Elegant Adjustable Rhinestone Bracelet Quartz Watch, Fashionable Luxury Style, Versatile, Women's Accessory
Golden
$2.33 x1
By New Time Clock
2/3</t>
        </is>
      </c>
    </row>
    <row r="4">
      <c r="A4" s="32" t="inlineStr">
        <is>
          <t>CKETS_Invoice.pdf</t>
        </is>
      </c>
      <c r="B4" s="32" t="inlineStr">
        <is>
          <t>58/100</t>
        </is>
      </c>
      <c r="C4" s="32" t="inlineStr">
        <is>
          <t>FAIR</t>
        </is>
      </c>
      <c r="D4" s="32" t="inlineStr">
        <is>
          <t>Text: 539 chars; Prices: 4 ($-sign), 0 (decimal); Total: MISSING; Invoice#: MISSING; Real items: 3/3; Structure words: 2/12</t>
        </is>
      </c>
      <c r="E4" s="33" t="inlineStr">
        <is>
          <t>Compact Business Laptop Bag, Suitable For Travel, With Shoulder Straps For Both Men And $5.91
: Women, Also Suitable For Students “1
‘ . Rar ‘ ; Black
By Lucky Backpack
&gt; Faux Leather Tote Bag, Multi Pockets Large Handbag For Work School Travel $6.14
iw
jee By = COJAY
Free returns within 90 days
Free returns are available for you.
1.You can return the Item for any reason In new and unused condition: no shipping charges.
2.This Item can be returned In Its original condition for a full refund within 90 days of purchase.
3/3
$5.91
$6.14</t>
        </is>
      </c>
    </row>
    <row r="5">
      <c r="A5" s="32" t="inlineStr">
        <is>
          <t>PO-211-071185147948703851.pdf</t>
        </is>
      </c>
      <c r="B5" s="32" t="inlineStr">
        <is>
          <t>60/100</t>
        </is>
      </c>
      <c r="C5" s="32" t="inlineStr">
        <is>
          <t>FAIR</t>
        </is>
      </c>
      <c r="D5" s="32" t="inlineStr">
        <is>
          <t>Text: 1602 chars; Prices: 10 ($-sign), 6 (decimal); Total: MISSING; Invoice#: MISSING; Real items: 1/1; Structure words: 6/12</t>
        </is>
      </c>
      <c r="E5" s="33" t="inlineStr">
        <is>
          <t>" a on 2024 / 07 / 15 09 : 41
‘ . a 2 e . &gt; .
@ As we ' re committed to reducing our environmental impact , we have climinated paper receipt .
Order Summary
Order ID : PO - 211 - 07118514794870851
Order time : Jul 14 , 2024
item ( s ) total : $241.33
Item ( s ) discount : - $200.14 200.14
Subtotal : $41.19
Shipping : FREE
Sales tax : $2.88
Order total : $44.07
Shipping address
utillta Mitchell + 1 ( 473 ) 449 - 3366 , 10813 NW 30 th Street , BLOG 115 GRE 7515 , MIAMI , FL 33172 , United
States
Payment method
© Your payment Information ts safe with us . Temu does not share your Information with the sellers .
Mastercard . . . 3651 $19.01
‘ Pald on Jul 14 , 2024
Billing address : tiffany Charlos + 1 ( 473 ) 449 - 3366 , 12 pinohurst at boston , apt 2 , BOSTON , MA 02131 ,
United States
Mastorcard . . . 3651 $7.99
Pald on Jul 14 , 2024 by one - click pay
Billing address : tiffany Charios + 1 ( 473 ) 449 - 3366 , 12 pinohurst at boston , apt 2 , BOSTON , MA 02131 ,
United States
@ Mastercard . . . 3651 $6.40
Pald on Jul 15 , 2024 by one - click pay
Billing address : tiffany Charles + 1 ( 473 ) 449 - 3366 , 12 pinehurst at boston , apt 2 , BOSTON , MA 02131 ,
United States
Mastercard . . . 3651 $8.55
meer Paid on Jul 15 , 2024 by one - click pay
Billing address : tiffany Cherles + 1 ( 473 ) 449 - 3366 , 12 pinehurst at boston , ept 2 , BOSTON , MA 02131 ,
United States
€ Mastercard . . . 3651 $2.12
Pald on Jul 15 , 2024 by ane - cllck pay
Billing address : tiffany Charles + 1 ( 473 ) 449 - 3366 , 12 pinehurst at boston , apt 2 , BOSTON , MA 02131 ,
United States
‘ ye 43
Qom - O % /</t>
        </is>
      </c>
    </row>
    <row r="6">
      <c r="A6" s="32" t="inlineStr">
        <is>
          <t>03152025_Free_returns_within_90_days_Invoice.pdf</t>
        </is>
      </c>
      <c r="B6" s="32" t="inlineStr">
        <is>
          <t>60/100</t>
        </is>
      </c>
      <c r="C6" s="32" t="inlineStr">
        <is>
          <t>FAIR</t>
        </is>
      </c>
      <c r="D6" s="32" t="inlineStr">
        <is>
          <t>Text: 2999 chars; Prices: 20 ($-sign), 6 (decimal); Total: MISSING; Invoice#: MISSING; Real items: 1/1; Structure words: 6/12</t>
        </is>
      </c>
      <c r="E6" s="33" t="inlineStr">
        <is>
          <t>Item details (8)
2pcs Simple Stainless Steel Bracelet Necklace Set For Men
Silvery
$1.98
x1
By — LovelyThings
Lightweight Non-Slip Women's Knitted Loafers for Casual Walking
7.5 / Black
$7.99
x1
By — KAMUCC
1pc Waterproof LED Solar Lamp Bulb for Outdoor Hiking, Fishing, and Emergency Lighting
7w With Solar Panel
$5.98
x1
By ▲ ABT factory
Smart Watch With Wireless Calling/Dialing, Multiple Sports Modes, Fitness Tracker, Customizable
Wallpaper, Compatible With iPhone/Android, Sporty Smartwatch With Health Monitoring
Black
$7.47
x1
By — GUYN
3pcs Exaggerated Design Earrings and Necklace Set for Party Outfits - Stand Out and Be the
Most Special One at Any Party
Female / Exquisite
$3.39
x1
By ☻ ATHENAA
Elegant Adjustable Rhinestone Bracelet Quartz Watch, Fashionable Luxury Style, Versatile,
Women's Accessory
Golden
$2.33
x1
By ☼ New Time Clock
2/3
Compact Business Laptop Bag, Suitable For Travel, With Shoulder Straps For Both Men And $5.91
: Women, Also Suitable For Students “1
‘ . Rar ‘ ; Black
By Lucky Backpack
&gt; Faux Leather Tote Bag, Multi Pockets Large Handbag For Work School Travel $6.14
iw
jee By = COJAY
Free returns within 90 days
Free returns are available for you.
1.You can return the Item for any reason In new and unused condition: no shipping charges.
2.This Item can be returned In Its original condition for a full refund within 90 days of purchase.
3/3
$5.91
$6.14
" a on 2024 / 07 / 15 09 : 41
‘ . a 2 e . &gt; .
@ As we ' re committed to reducing our environmental impact , we have climinated paper receipt .
Order Summary
Order ID : PO - 211 - 07118514794870851
Order time : Jul 14 , 2024
item ( s ) total : $241.33
Item ( s ) discount : - $200.14 200.14
Subtotal : $41.19
Shipping : FREE
Sales tax : $2.88
Order total : $44.07
Shipping address
utillta Mitchell + 1 ( 473 ) 449 - 3366 , 10813 NW 30 th Street , BLOG 115 GRE 7515 , MIAMI , FL 33172 , United
States
Payment method
© Your payment Information ts safe with us . Temu does not share your Information with 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2026-04-24T06:34:29Z</dcterms:created>
  <dcterms:modified xsi:type="dcterms:W3CDTF">2026-04-24T06:35:12Z</dcterms:modified>
</cp:coreProperties>
</file>