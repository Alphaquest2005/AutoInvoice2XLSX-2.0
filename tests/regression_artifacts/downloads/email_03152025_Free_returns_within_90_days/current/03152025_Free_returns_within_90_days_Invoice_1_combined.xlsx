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03152025_Free_returns_within_90_days_Invoice_1</t>
        </is>
      </c>
      <c r="D2" s="2" t="n"/>
      <c r="E2" s="2" t="inlineStr">
        <is>
          <t>IMITATION JEWELRY</t>
        </is>
      </c>
      <c r="F2" s="2" t="inlineStr">
        <is>
          <t>71131100</t>
        </is>
      </c>
      <c r="G2" s="2" t="n"/>
      <c r="H2" s="2" t="n"/>
      <c r="I2" s="2" t="inlineStr">
        <is>
          <t>71171900</t>
        </is>
      </c>
      <c r="J2" s="2" t="inlineStr">
        <is>
          <t>Item details (8) 2pcs Simple Stainless Steel Bracelet Necklace Set For Men Silvery (+1 more) (2 items)</t>
        </is>
      </c>
      <c r="K2" s="2" t="n">
        <v>2</v>
      </c>
      <c r="L2" s="2" t="n"/>
      <c r="M2" s="2" t="n"/>
      <c r="N2" s="2" t="inlineStr">
        <is>
          <t>USD</t>
        </is>
      </c>
      <c r="O2" s="3" t="n">
        <v>2.685</v>
      </c>
      <c r="P2" s="3" t="n">
        <v>5.37</v>
      </c>
      <c r="Q2" s="3">
        <f>O2*K2</f>
        <v/>
      </c>
      <c r="R2" s="3">
        <f>P2-Q2</f>
        <v/>
      </c>
      <c r="S2" s="3" t="n">
        <v>29.14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71131100</t>
        </is>
      </c>
    </row>
    <row r="3">
      <c r="A3" s="4" t="n"/>
      <c r="B3" s="4" t="n"/>
      <c r="C3" s="4" t="n"/>
      <c r="D3" s="4" t="n"/>
      <c r="E3" s="4" t="n"/>
      <c r="F3" s="4" t="inlineStr">
        <is>
          <t>71131100</t>
        </is>
      </c>
      <c r="G3" s="4" t="n"/>
      <c r="H3" s="4" t="n"/>
      <c r="I3" s="4" t="inlineStr">
        <is>
          <t>TEMU-1</t>
        </is>
      </c>
      <c r="J3" s="4" t="inlineStr">
        <is>
          <t>Item details (8) 2pcs Simple Stainless Steel Bracelet Necklace Set For Men Silvery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1.98</v>
      </c>
      <c r="P3" s="5" t="n">
        <v>1.98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71131100</t>
        </is>
      </c>
    </row>
    <row r="4">
      <c r="A4" s="4" t="n"/>
      <c r="B4" s="4" t="n"/>
      <c r="C4" s="4" t="n"/>
      <c r="D4" s="4" t="n"/>
      <c r="E4" s="4" t="n"/>
      <c r="F4" s="4" t="inlineStr">
        <is>
          <t>71171900</t>
        </is>
      </c>
      <c r="G4" s="4" t="n"/>
      <c r="H4" s="4" t="n"/>
      <c r="I4" s="4" t="inlineStr">
        <is>
          <t>TEMU-5</t>
        </is>
      </c>
      <c r="J4" s="4" t="inlineStr">
        <is>
          <t>Exaggerated Design Earrings and Necklace Set for Party Outfits - Stand Out and Be the Most Special One at Any Party Female / Exquisite</t>
        </is>
      </c>
      <c r="K4" s="4" t="n">
        <v>1</v>
      </c>
      <c r="L4" s="4" t="n"/>
      <c r="M4" s="4" t="n"/>
      <c r="N4" s="4" t="inlineStr">
        <is>
          <t>USD</t>
        </is>
      </c>
      <c r="O4" s="5" t="n">
        <v>3.39</v>
      </c>
      <c r="P4" s="5" t="n">
        <v>3.39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n"/>
      <c r="C5" s="2" t="inlineStr">
        <is>
          <t>03152025_Free_returns_within_90_days_Invoice_1</t>
        </is>
      </c>
      <c r="D5" s="2" t="n"/>
      <c r="E5" s="2" t="inlineStr">
        <is>
          <t>Footwear</t>
        </is>
      </c>
      <c r="F5" s="2" t="inlineStr">
        <is>
          <t>64041990</t>
        </is>
      </c>
      <c r="G5" s="2" t="n"/>
      <c r="H5" s="2" t="n"/>
      <c r="I5" s="2" t="inlineStr">
        <is>
          <t>64041990</t>
        </is>
      </c>
      <c r="J5" s="2" t="inlineStr">
        <is>
          <t>Lightweight Non-Slip Women's Knitted Loafers for Casual Walking 7.5 / Black (1 items)</t>
        </is>
      </c>
      <c r="K5" s="2" t="n">
        <v>1</v>
      </c>
      <c r="L5" s="2" t="n"/>
      <c r="M5" s="2" t="n"/>
      <c r="N5" s="2" t="inlineStr">
        <is>
          <t>USD</t>
        </is>
      </c>
      <c r="O5" s="3" t="n">
        <v>7.99</v>
      </c>
      <c r="P5" s="3" t="n">
        <v>7.99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64041990</t>
        </is>
      </c>
    </row>
    <row r="6">
      <c r="A6" s="4" t="n"/>
      <c r="B6" s="4" t="n"/>
      <c r="C6" s="4" t="n"/>
      <c r="D6" s="4" t="n"/>
      <c r="E6" s="4" t="n"/>
      <c r="F6" s="4" t="inlineStr">
        <is>
          <t>64041990</t>
        </is>
      </c>
      <c r="G6" s="4" t="n"/>
      <c r="H6" s="4" t="n"/>
      <c r="I6" s="4" t="inlineStr">
        <is>
          <t>TEMU-2</t>
        </is>
      </c>
      <c r="J6" s="4" t="inlineStr">
        <is>
          <t>Lightweight Non-Slip Women's Knitted Loafers for Casual Walking 7.5 / Black</t>
        </is>
      </c>
      <c r="K6" s="4" t="n">
        <v>1</v>
      </c>
      <c r="L6" s="4" t="n"/>
      <c r="M6" s="4" t="n"/>
      <c r="N6" s="4" t="inlineStr">
        <is>
          <t>USD</t>
        </is>
      </c>
      <c r="O6" s="5" t="n">
        <v>7.99</v>
      </c>
      <c r="P6" s="5" t="n">
        <v>7.99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n"/>
      <c r="C7" s="2" t="inlineStr">
        <is>
          <t>03152025_Free_returns_within_90_days_Invoice_1</t>
        </is>
      </c>
      <c r="D7" s="2" t="n"/>
      <c r="E7" s="2" t="inlineStr">
        <is>
          <t>SIGNALING EQUIPMENT</t>
        </is>
      </c>
      <c r="F7" s="2" t="inlineStr">
        <is>
          <t>94054000</t>
        </is>
      </c>
      <c r="G7" s="2" t="n"/>
      <c r="H7" s="2" t="n"/>
      <c r="I7" s="2" t="inlineStr">
        <is>
          <t>85319000</t>
        </is>
      </c>
      <c r="J7" s="2" t="inlineStr">
        <is>
          <t>Waterproof LED Solar Lamp Bulb for Outdoor Hiking, Fishing, and Emergency Lighting 7w With Solar Panel (1 items)</t>
        </is>
      </c>
      <c r="K7" s="2" t="n">
        <v>1</v>
      </c>
      <c r="L7" s="2" t="n"/>
      <c r="M7" s="2" t="n"/>
      <c r="N7" s="2" t="inlineStr">
        <is>
          <t>USD</t>
        </is>
      </c>
      <c r="O7" s="3" t="n">
        <v>5.98</v>
      </c>
      <c r="P7" s="3" t="n">
        <v>5.98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94054000</t>
        </is>
      </c>
    </row>
    <row r="8">
      <c r="A8" s="4" t="n"/>
      <c r="B8" s="4" t="n"/>
      <c r="C8" s="4" t="n"/>
      <c r="D8" s="4" t="n"/>
      <c r="E8" s="4" t="n"/>
      <c r="F8" s="4" t="inlineStr">
        <is>
          <t>94054000</t>
        </is>
      </c>
      <c r="G8" s="4" t="n"/>
      <c r="H8" s="4" t="n"/>
      <c r="I8" s="4" t="inlineStr">
        <is>
          <t>TEMU-3</t>
        </is>
      </c>
      <c r="J8" s="4" t="inlineStr">
        <is>
          <t>Waterproof LED Solar Lamp Bulb for Outdoor Hiking, Fishing, and Emergency Lighting 7w With Solar Panel</t>
        </is>
      </c>
      <c r="K8" s="4" t="n">
        <v>1</v>
      </c>
      <c r="L8" s="4" t="n"/>
      <c r="M8" s="4" t="n"/>
      <c r="N8" s="4" t="inlineStr">
        <is>
          <t>USD</t>
        </is>
      </c>
      <c r="O8" s="5" t="n">
        <v>5.98</v>
      </c>
      <c r="P8" s="5" t="n">
        <v>5.98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inlineStr">
        <is>
          <t>94054000</t>
        </is>
      </c>
    </row>
    <row r="9">
      <c r="A9" s="2" t="n"/>
      <c r="B9" s="2" t="n"/>
      <c r="C9" s="2" t="inlineStr">
        <is>
          <t>03152025_Free_returns_within_90_days_Invoice_1</t>
        </is>
      </c>
      <c r="D9" s="2" t="n"/>
      <c r="E9" s="2" t="inlineStr">
        <is>
          <t>MARINE ELECTRONICS</t>
        </is>
      </c>
      <c r="F9" s="2" t="inlineStr">
        <is>
          <t>91021200</t>
        </is>
      </c>
      <c r="G9" s="2" t="n"/>
      <c r="H9" s="2" t="n"/>
      <c r="I9" s="2" t="inlineStr">
        <is>
          <t>85176200</t>
        </is>
      </c>
      <c r="J9" s="2" t="inlineStr">
        <is>
          <t>Smart Watch With Wireless Calling/Dialing, Multiple Sports Modes, Fitness Tracker, Customizable Wallpaper, Compatible With iPhone/Android, Sporty Smartwatch With Health Monitoring Black (1 items)</t>
        </is>
      </c>
      <c r="K9" s="2" t="n">
        <v>1</v>
      </c>
      <c r="L9" s="2" t="n"/>
      <c r="M9" s="2" t="n"/>
      <c r="N9" s="2" t="inlineStr">
        <is>
          <t>USD</t>
        </is>
      </c>
      <c r="O9" s="3" t="n">
        <v>7.47</v>
      </c>
      <c r="P9" s="3" t="n">
        <v>7.47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91021200</t>
        </is>
      </c>
    </row>
    <row r="10">
      <c r="A10" s="4" t="n"/>
      <c r="B10" s="4" t="n"/>
      <c r="C10" s="4" t="n"/>
      <c r="D10" s="4" t="n"/>
      <c r="E10" s="4" t="n"/>
      <c r="F10" s="4" t="inlineStr">
        <is>
          <t>91021200</t>
        </is>
      </c>
      <c r="G10" s="4" t="n"/>
      <c r="H10" s="4" t="n"/>
      <c r="I10" s="4" t="inlineStr">
        <is>
          <t>TEMU-4</t>
        </is>
      </c>
      <c r="J10" s="4" t="inlineStr">
        <is>
          <t>Smart Watch With Wireless Calling/Dialing, Multiple Sports Modes, Fitness Tracker, Customizable Wallpaper, Compatible With iPhone/Android, Sporty Smartwatch With Health Monitoring Black</t>
        </is>
      </c>
      <c r="K10" s="4" t="n">
        <v>1</v>
      </c>
      <c r="L10" s="4" t="n"/>
      <c r="M10" s="4" t="n"/>
      <c r="N10" s="4" t="inlineStr">
        <is>
          <t>USD</t>
        </is>
      </c>
      <c r="O10" s="5" t="n">
        <v>7.47</v>
      </c>
      <c r="P10" s="5" t="n">
        <v>7.47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inlineStr">
        <is>
          <t>91021200</t>
        </is>
      </c>
    </row>
    <row r="11">
      <c r="A11" s="2" t="n"/>
      <c r="B11" s="2" t="n"/>
      <c r="C11" s="2" t="inlineStr">
        <is>
          <t>03152025_Free_returns_within_90_days_Invoice_1</t>
        </is>
      </c>
      <c r="D11" s="2" t="n"/>
      <c r="E11" s="2" t="inlineStr">
        <is>
          <t>Clocks and watches</t>
        </is>
      </c>
      <c r="F11" s="2" t="inlineStr">
        <is>
          <t>91021100</t>
        </is>
      </c>
      <c r="G11" s="2" t="n"/>
      <c r="H11" s="2" t="n"/>
      <c r="I11" s="2" t="inlineStr">
        <is>
          <t>91021100</t>
        </is>
      </c>
      <c r="J11" s="2" t="inlineStr">
        <is>
          <t>Elegant Adjustable Rhinestone Bracelet Quartz Watch, Fashionable Luxury Style, Versatile, Women's Accessory Golden (1 items)</t>
        </is>
      </c>
      <c r="K11" s="2" t="n">
        <v>1</v>
      </c>
      <c r="L11" s="2" t="n"/>
      <c r="M11" s="2" t="n"/>
      <c r="N11" s="2" t="inlineStr">
        <is>
          <t>USD</t>
        </is>
      </c>
      <c r="O11" s="3" t="n">
        <v>2.33</v>
      </c>
      <c r="P11" s="3" t="n">
        <v>2.33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91021100</t>
        </is>
      </c>
    </row>
    <row r="12">
      <c r="A12" s="4" t="n"/>
      <c r="B12" s="4" t="n"/>
      <c r="C12" s="4" t="n"/>
      <c r="D12" s="4" t="n"/>
      <c r="E12" s="4" t="n"/>
      <c r="F12" s="4" t="inlineStr">
        <is>
          <t>91021100</t>
        </is>
      </c>
      <c r="G12" s="4" t="n"/>
      <c r="H12" s="4" t="n"/>
      <c r="I12" s="4" t="inlineStr">
        <is>
          <t>TEMU-6</t>
        </is>
      </c>
      <c r="J12" s="4" t="inlineStr">
        <is>
          <t>Elegant Adjustable Rhinestone Bracelet Quartz Watch, Fashionable Luxury Style, Versatile, Women's Accessory Golden</t>
        </is>
      </c>
      <c r="K12" s="4" t="n">
        <v>1</v>
      </c>
      <c r="L12" s="4" t="n"/>
      <c r="M12" s="4" t="n"/>
      <c r="N12" s="4" t="inlineStr">
        <is>
          <t>USD</t>
        </is>
      </c>
      <c r="O12" s="5" t="n">
        <v>2.33</v>
      </c>
      <c r="P12" s="5" t="n">
        <v>2.33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SUBTOTAL (GROUPED)</t>
        </is>
      </c>
      <c r="K13" s="6" t="n"/>
      <c r="L13" s="6" t="n"/>
      <c r="M13" s="6" t="n"/>
      <c r="N13" s="6" t="n"/>
      <c r="O13" s="6" t="n"/>
      <c r="P13" s="7">
        <f>P2+P5+P7+P9+P11</f>
        <v/>
      </c>
      <c r="Q13" s="7">
        <f>Q2+Q5+Q7+Q9+Q11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SUBTOTAL (DETAILS)</t>
        </is>
      </c>
      <c r="K14" s="6" t="n"/>
      <c r="L14" s="6" t="n"/>
      <c r="M14" s="6" t="n"/>
      <c r="N14" s="6" t="n"/>
      <c r="O14" s="6" t="n"/>
      <c r="P14" s="7">
        <f>SUM(P2:P12)-P13</f>
        <v/>
      </c>
      <c r="Q14" s="7">
        <f>SUM(Q2:Q12)-Q13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GROUP VERIFICATION</t>
        </is>
      </c>
      <c r="K15" s="8" t="n"/>
      <c r="L15" s="8" t="n"/>
      <c r="M15" s="8" t="n"/>
      <c r="N15" s="8" t="n"/>
      <c r="O15" s="8" t="n"/>
      <c r="P15" s="9">
        <f>P13-P14</f>
        <v/>
      </c>
      <c r="Q15" s="9">
        <f>Q13-Q14</f>
        <v/>
      </c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</row>
    <row r="16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INTERNAL FREIGHT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INSURANCE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TOTAL OTHER COST</t>
        </is>
      </c>
      <c r="K19" s="6" t="n"/>
      <c r="L19" s="6" t="n"/>
      <c r="M19" s="6" t="n"/>
      <c r="N19" s="6" t="n"/>
      <c r="O19" s="6" t="n"/>
      <c r="P19" s="7" t="n">
        <v>0</v>
      </c>
      <c r="Q19" s="7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TOTAL DEDUCTION</t>
        </is>
      </c>
      <c r="K20" s="6" t="n"/>
      <c r="L20" s="6" t="n"/>
      <c r="M20" s="6" t="n"/>
      <c r="N20" s="6" t="n"/>
      <c r="O20" s="6" t="n"/>
      <c r="P20" s="7" t="n">
        <v>0</v>
      </c>
      <c r="Q20" s="7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ADJUSTMENTS</t>
        </is>
      </c>
      <c r="K21" s="6" t="n"/>
      <c r="L21" s="6" t="n"/>
      <c r="M21" s="6" t="n"/>
      <c r="N21" s="6" t="n"/>
      <c r="O21" s="6" t="n"/>
      <c r="P21" s="7">
        <f>(T2+U2+V2-W2)</f>
        <v/>
      </c>
      <c r="Q21" s="7">
        <f>(T2+U2+V2-W2)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/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NET TOTAL</t>
        </is>
      </c>
      <c r="K23" s="6" t="n"/>
      <c r="L23" s="6" t="n"/>
      <c r="M23" s="6" t="n"/>
      <c r="N23" s="6" t="n"/>
      <c r="O23" s="6" t="n"/>
      <c r="P23" s="7">
        <f>P13+P21</f>
        <v/>
      </c>
      <c r="Q23" s="7">
        <f>Q13+Q21</f>
        <v/>
      </c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INVOICE TOTAL</t>
        </is>
      </c>
      <c r="K24" s="6" t="n"/>
      <c r="L24" s="6" t="n"/>
      <c r="M24" s="6" t="n"/>
      <c r="N24" s="6" t="n"/>
      <c r="O24" s="6" t="n"/>
      <c r="P24" s="7">
        <f>S2</f>
        <v/>
      </c>
      <c r="Q24" s="7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/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inlineStr">
        <is>
          <t>VARIANCE CHECK</t>
        </is>
      </c>
      <c r="K26" s="10" t="n"/>
      <c r="L26" s="10" t="n"/>
      <c r="M26" s="10" t="n"/>
      <c r="N26" s="10" t="n"/>
      <c r="O26" s="10" t="n"/>
      <c r="P26" s="11">
        <f>S2-P23</f>
        <v/>
      </c>
      <c r="Q26" s="11">
        <f>S2-Q23</f>
        <v/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</row>
    <row r="27"/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inlineStr">
        <is>
          <t>INVOICE NOTES: Invoice total uncertain</t>
        </is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</row>
    <row r="29"/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inlineStr">
        <is>
          <t>DUTY ESTIMATION (Classification Cross-Check)</t>
        </is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CIF (USD) = InvTotal + Freight + Insurance</t>
        </is>
      </c>
      <c r="K31" s="15" t="n"/>
      <c r="L31" s="15" t="n"/>
      <c r="M31" s="15" t="n"/>
      <c r="N31" s="15" t="n"/>
      <c r="O31" s="15" t="n"/>
      <c r="P31" s="17" t="n">
        <v>29.14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>CIF (XCD) = CIF × 2.7169</t>
        </is>
      </c>
      <c r="K32" s="15" t="n"/>
      <c r="L32" s="15" t="n"/>
      <c r="M32" s="15" t="n"/>
      <c r="N32" s="15" t="n"/>
      <c r="O32" s="15" t="n"/>
      <c r="P32" s="17" t="n">
        <v>79.17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>CET (weighted avg 16.9%)</t>
        </is>
      </c>
      <c r="K33" s="15" t="n"/>
      <c r="L33" s="15" t="n"/>
      <c r="M33" s="15" t="n"/>
      <c r="N33" s="15" t="n"/>
      <c r="O33" s="15" t="n"/>
      <c r="P33" s="17" t="n">
        <v>13.4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 xml:space="preserve">  └ 64041990: 20% CET (27% of value)</t>
        </is>
      </c>
      <c r="K34" s="15" t="n"/>
      <c r="L34" s="15" t="n"/>
      <c r="M34" s="15" t="n"/>
      <c r="N34" s="15" t="n"/>
      <c r="O34" s="15" t="n"/>
      <c r="P34" s="17" t="n">
        <v>4.34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 xml:space="preserve">  └ 71171900: 20% CET (18% of value)</t>
        </is>
      </c>
      <c r="K35" s="15" t="n"/>
      <c r="L35" s="15" t="n"/>
      <c r="M35" s="15" t="n"/>
      <c r="N35" s="15" t="n"/>
      <c r="O35" s="15" t="n"/>
      <c r="P35" s="17" t="n">
        <v>2.92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 xml:space="preserve">  └ 85176200: 20% CET (26% of value)</t>
        </is>
      </c>
      <c r="K36" s="15" t="n"/>
      <c r="L36" s="15" t="n"/>
      <c r="M36" s="15" t="n"/>
      <c r="N36" s="15" t="n"/>
      <c r="O36" s="15" t="n"/>
      <c r="P36" s="17" t="n">
        <v>4.06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 xml:space="preserve">  └ 85319000: 5% CET (21% of value)</t>
        </is>
      </c>
      <c r="K37" s="15" t="n"/>
      <c r="L37" s="15" t="n"/>
      <c r="M37" s="15" t="n"/>
      <c r="N37" s="15" t="n"/>
      <c r="O37" s="15" t="n"/>
      <c r="P37" s="17" t="n">
        <v>0.8100000000000001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 xml:space="preserve">  └ 91021100: 20% CET (8% of value)</t>
        </is>
      </c>
      <c r="K38" s="15" t="n"/>
      <c r="L38" s="15" t="n"/>
      <c r="M38" s="15" t="n"/>
      <c r="N38" s="15" t="n"/>
      <c r="O38" s="15" t="n"/>
      <c r="P38" s="17" t="n">
        <v>1.27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CSC (6%)</t>
        </is>
      </c>
      <c r="K39" s="15" t="n"/>
      <c r="L39" s="15" t="n"/>
      <c r="M39" s="15" t="n"/>
      <c r="N39" s="15" t="n"/>
      <c r="O39" s="15" t="n"/>
      <c r="P39" s="17" t="n">
        <v>4.75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>VAT (15%) on CIF+CET+CSC</t>
        </is>
      </c>
      <c r="K40" s="15" t="n"/>
      <c r="L40" s="15" t="n"/>
      <c r="M40" s="15" t="n"/>
      <c r="N40" s="15" t="n"/>
      <c r="O40" s="15" t="n"/>
      <c r="P40" s="17" t="n">
        <v>14.6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4" t="inlineStr">
        <is>
          <t>ESTIMATED TOTAL DUTIES</t>
        </is>
      </c>
      <c r="K41" s="18" t="n"/>
      <c r="L41" s="18" t="n"/>
      <c r="M41" s="18" t="n"/>
      <c r="N41" s="18" t="n"/>
      <c r="O41" s="18" t="n"/>
      <c r="P41" s="19" t="n">
        <v>32.75</v>
      </c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inlineStr">
        <is>
          <t>Effective Duty Rate</t>
        </is>
      </c>
      <c r="K42" s="15" t="n"/>
      <c r="L42" s="15" t="n"/>
      <c r="M42" s="15" t="n"/>
      <c r="N42" s="15" t="n"/>
      <c r="O42" s="15" t="n"/>
      <c r="P42" s="20" t="n">
        <v>0.4136667929771378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</row>
    <row r="44">
      <c r="A44" s="2" t="inlineStr">
        <is>
          <t>4000-000</t>
        </is>
      </c>
      <c r="B44" s="2" t="n"/>
      <c r="C44" s="2" t="inlineStr">
        <is>
          <t>CKETS_Invoice</t>
        </is>
      </c>
      <c r="D44" s="2" t="n"/>
      <c r="E44" s="2" t="inlineStr">
        <is>
          <t>Suit-cases</t>
        </is>
      </c>
      <c r="F44" s="2" t="inlineStr">
        <is>
          <t>42021210</t>
        </is>
      </c>
      <c r="G44" s="2" t="n"/>
      <c r="H44" s="2" t="n"/>
      <c r="I44" s="2" t="inlineStr">
        <is>
          <t>42021210</t>
        </is>
      </c>
      <c r="J44" s="2" t="inlineStr">
        <is>
          <t>Compact Business Laptop Bag, Suitable For Travel, With Shoulder Straps For Both Men And (+1 more) (2 items)</t>
        </is>
      </c>
      <c r="K44" s="2" t="n">
        <v>0</v>
      </c>
      <c r="L44" s="2" t="n"/>
      <c r="M44" s="2" t="n"/>
      <c r="N44" s="2" t="inlineStr">
        <is>
          <t>USD</t>
        </is>
      </c>
      <c r="O44" s="3" t="n"/>
      <c r="P44" s="3" t="n">
        <v>11.82</v>
      </c>
      <c r="Q44" s="3">
        <f>O44*K44</f>
        <v/>
      </c>
      <c r="R44" s="3">
        <f>P44-Q44</f>
        <v/>
      </c>
      <c r="S44" s="3" t="n">
        <v>17.96</v>
      </c>
      <c r="T44" s="3" t="n">
        <v>0</v>
      </c>
      <c r="U44" s="3" t="n">
        <v>0</v>
      </c>
      <c r="V44" s="3" t="n">
        <v>0</v>
      </c>
      <c r="W44" s="3" t="n">
        <v>0</v>
      </c>
      <c r="X44" s="2" t="n"/>
      <c r="Y44" s="2" t="n"/>
      <c r="Z44" s="2" t="inlineStr">
        <is>
          <t>UNKNOWN_</t>
        </is>
      </c>
      <c r="AA44" s="2" t="inlineStr">
        <is>
          <t>unknown_</t>
        </is>
      </c>
      <c r="AB44" s="2" t="n"/>
      <c r="AC44" s="2" t="inlineStr">
        <is>
          <t>US</t>
        </is>
      </c>
      <c r="AD44" s="2" t="n"/>
      <c r="AE44" s="2" t="n"/>
      <c r="AF44" s="2" t="n"/>
      <c r="AG44" s="2" t="n"/>
      <c r="AH44" s="2" t="n"/>
      <c r="AI44" s="2" t="n"/>
      <c r="AJ44" s="2" t="n"/>
      <c r="AK44" s="2" t="inlineStr">
        <is>
          <t>42021210</t>
        </is>
      </c>
    </row>
    <row r="45">
      <c r="A45" s="4" t="n"/>
      <c r="B45" s="4" t="n"/>
      <c r="C45" s="4" t="n"/>
      <c r="D45" s="4" t="n"/>
      <c r="E45" s="4" t="n"/>
      <c r="F45" s="4" t="inlineStr">
        <is>
          <t>42021210</t>
        </is>
      </c>
      <c r="G45" s="4" t="n"/>
      <c r="H45" s="4" t="n"/>
      <c r="I45" s="4" t="inlineStr">
        <is>
          <t>ITEM-001</t>
        </is>
      </c>
      <c r="J45" s="4" t="inlineStr">
        <is>
          <t>Compact Business Laptop Bag, Suitable For Travel, With Shoulder Straps For Both Men And</t>
        </is>
      </c>
      <c r="K45" s="4" t="n">
        <v>0</v>
      </c>
      <c r="L45" s="4" t="n"/>
      <c r="M45" s="4" t="n"/>
      <c r="N45" s="4" t="inlineStr">
        <is>
          <t>USD</t>
        </is>
      </c>
      <c r="O45" s="5" t="n">
        <v>5.91</v>
      </c>
      <c r="P45" s="5" t="n">
        <v>5.91</v>
      </c>
      <c r="Q45" s="5">
        <f>O45*K45</f>
        <v/>
      </c>
      <c r="R45" s="5">
        <f>P45-Q45</f>
        <v/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</row>
    <row r="46">
      <c r="A46" s="4" t="n"/>
      <c r="B46" s="4" t="n"/>
      <c r="C46" s="4" t="n"/>
      <c r="D46" s="4" t="n"/>
      <c r="E46" s="4" t="n"/>
      <c r="F46" s="4" t="inlineStr">
        <is>
          <t>42021210</t>
        </is>
      </c>
      <c r="G46" s="4" t="n"/>
      <c r="H46" s="4" t="n"/>
      <c r="I46" s="4" t="inlineStr">
        <is>
          <t>ITEM-003</t>
        </is>
      </c>
      <c r="J46" s="4" t="inlineStr">
        <is>
          <t>3/3</t>
        </is>
      </c>
      <c r="K46" s="4" t="n">
        <v>0</v>
      </c>
      <c r="L46" s="4" t="n"/>
      <c r="M46" s="4" t="n"/>
      <c r="N46" s="4" t="inlineStr">
        <is>
          <t>USD</t>
        </is>
      </c>
      <c r="O46" s="5" t="n">
        <v>5.91</v>
      </c>
      <c r="P46" s="5" t="n">
        <v>5.91</v>
      </c>
      <c r="Q46" s="5">
        <f>O46*K46</f>
        <v/>
      </c>
      <c r="R46" s="5">
        <f>P46-Q46</f>
        <v/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</row>
    <row r="47">
      <c r="A47" s="2" t="n"/>
      <c r="B47" s="2" t="n"/>
      <c r="C47" s="2" t="inlineStr">
        <is>
          <t>CKETS_Invoice</t>
        </is>
      </c>
      <c r="D47" s="2" t="n"/>
      <c r="E47" s="2" t="inlineStr">
        <is>
          <t>BAGS &amp; LUGGAGE</t>
        </is>
      </c>
      <c r="F47" s="2" t="inlineStr">
        <is>
          <t>42022200</t>
        </is>
      </c>
      <c r="G47" s="2" t="n"/>
      <c r="H47" s="2" t="n"/>
      <c r="I47" s="2" t="inlineStr">
        <is>
          <t>42022200</t>
        </is>
      </c>
      <c r="J47" s="2" t="inlineStr">
        <is>
          <t>&gt; Faux Leather Tote Bag, Multi Pockets Large Handbag For Work School Travel (1 items)</t>
        </is>
      </c>
      <c r="K47" s="2" t="n">
        <v>0</v>
      </c>
      <c r="L47" s="2" t="n"/>
      <c r="M47" s="2" t="n"/>
      <c r="N47" s="2" t="inlineStr">
        <is>
          <t>USD</t>
        </is>
      </c>
      <c r="O47" s="3" t="n"/>
      <c r="P47" s="3" t="n">
        <v>6.14</v>
      </c>
      <c r="Q47" s="3">
        <f>O47*K47</f>
        <v/>
      </c>
      <c r="R47" s="3">
        <f>P47-Q47</f>
        <v/>
      </c>
      <c r="S47" s="3" t="n"/>
      <c r="T47" s="3" t="n"/>
      <c r="U47" s="3" t="n"/>
      <c r="V47" s="3" t="n"/>
      <c r="W47" s="3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42022200</t>
        </is>
      </c>
    </row>
    <row r="48">
      <c r="A48" s="4" t="n"/>
      <c r="B48" s="4" t="n"/>
      <c r="C48" s="4" t="n"/>
      <c r="D48" s="4" t="n"/>
      <c r="E48" s="4" t="n"/>
      <c r="F48" s="4" t="inlineStr">
        <is>
          <t>42022200</t>
        </is>
      </c>
      <c r="G48" s="4" t="n"/>
      <c r="H48" s="4" t="n"/>
      <c r="I48" s="4" t="inlineStr">
        <is>
          <t>ITEM-002</t>
        </is>
      </c>
      <c r="J48" s="4" t="inlineStr">
        <is>
          <t>&gt; Faux Leather Tote Bag, Multi Pockets Large Handbag For Work School Travel</t>
        </is>
      </c>
      <c r="K48" s="4" t="n">
        <v>0</v>
      </c>
      <c r="L48" s="4" t="n"/>
      <c r="M48" s="4" t="n"/>
      <c r="N48" s="4" t="inlineStr">
        <is>
          <t>USD</t>
        </is>
      </c>
      <c r="O48" s="5" t="n">
        <v>6.14</v>
      </c>
      <c r="P48" s="5" t="n">
        <v>6.14</v>
      </c>
      <c r="Q48" s="5">
        <f>O48*K48</f>
        <v/>
      </c>
      <c r="R48" s="5">
        <f>P48-Q48</f>
        <v/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inlineStr">
        <is>
          <t>SUBTOTAL (GROUPED)</t>
        </is>
      </c>
      <c r="K49" s="6" t="n"/>
      <c r="L49" s="6" t="n"/>
      <c r="M49" s="6" t="n"/>
      <c r="N49" s="6" t="n"/>
      <c r="O49" s="6" t="n"/>
      <c r="P49" s="7">
        <f>P44+P47</f>
        <v/>
      </c>
      <c r="Q49" s="7">
        <f>Q44+Q47</f>
        <v/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inlineStr">
        <is>
          <t>SUBTOTAL (DETAILS)</t>
        </is>
      </c>
      <c r="K50" s="6" t="n"/>
      <c r="L50" s="6" t="n"/>
      <c r="M50" s="6" t="n"/>
      <c r="N50" s="6" t="n"/>
      <c r="O50" s="6" t="n"/>
      <c r="P50" s="7">
        <f>SUM(P44:P48)-P49</f>
        <v/>
      </c>
      <c r="Q50" s="7">
        <f>SUM(Q44:Q48)-Q49</f>
        <v/>
      </c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inlineStr">
        <is>
          <t>GROUP VERIFICATION</t>
        </is>
      </c>
      <c r="K51" s="8" t="n"/>
      <c r="L51" s="8" t="n"/>
      <c r="M51" s="8" t="n"/>
      <c r="N51" s="8" t="n"/>
      <c r="O51" s="8" t="n"/>
      <c r="P51" s="9">
        <f>P49-P50</f>
        <v/>
      </c>
      <c r="Q51" s="9">
        <f>Q49-Q50</f>
        <v/>
      </c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</row>
    <row r="52"/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inlineStr">
        <is>
          <t>TOTAL INTERNAL FREIGHT</t>
        </is>
      </c>
      <c r="K53" s="6" t="n"/>
      <c r="L53" s="6" t="n"/>
      <c r="M53" s="6" t="n"/>
      <c r="N53" s="6" t="n"/>
      <c r="O53" s="6" t="n"/>
      <c r="P53" s="7" t="n">
        <v>0</v>
      </c>
      <c r="Q53" s="7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inlineStr">
        <is>
          <t>TOTAL INSURANCE</t>
        </is>
      </c>
      <c r="K54" s="6" t="n"/>
      <c r="L54" s="6" t="n"/>
      <c r="M54" s="6" t="n"/>
      <c r="N54" s="6" t="n"/>
      <c r="O54" s="6" t="n"/>
      <c r="P54" s="7" t="n">
        <v>0</v>
      </c>
      <c r="Q54" s="7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inlineStr">
        <is>
          <t>TOTAL OTHER COST</t>
        </is>
      </c>
      <c r="K55" s="6" t="n"/>
      <c r="L55" s="6" t="n"/>
      <c r="M55" s="6" t="n"/>
      <c r="N55" s="6" t="n"/>
      <c r="O55" s="6" t="n"/>
      <c r="P55" s="7" t="n">
        <v>0</v>
      </c>
      <c r="Q55" s="7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inlineStr">
        <is>
          <t>TOTAL DEDUCTION</t>
        </is>
      </c>
      <c r="K56" s="6" t="n"/>
      <c r="L56" s="6" t="n"/>
      <c r="M56" s="6" t="n"/>
      <c r="N56" s="6" t="n"/>
      <c r="O56" s="6" t="n"/>
      <c r="P56" s="7" t="n">
        <v>0</v>
      </c>
      <c r="Q56" s="7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inlineStr">
        <is>
          <t>ADJUSTMENTS</t>
        </is>
      </c>
      <c r="K57" s="6" t="n"/>
      <c r="L57" s="6" t="n"/>
      <c r="M57" s="6" t="n"/>
      <c r="N57" s="6" t="n"/>
      <c r="O57" s="6" t="n"/>
      <c r="P57" s="7">
        <f>(T44+U44+V44-W44)</f>
        <v/>
      </c>
      <c r="Q57" s="7">
        <f>(T44+U44+V44-W44)</f>
        <v/>
      </c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</row>
    <row r="58"/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inlineStr">
        <is>
          <t>NET TOTAL</t>
        </is>
      </c>
      <c r="K59" s="6" t="n"/>
      <c r="L59" s="6" t="n"/>
      <c r="M59" s="6" t="n"/>
      <c r="N59" s="6" t="n"/>
      <c r="O59" s="6" t="n"/>
      <c r="P59" s="7">
        <f>P49+P57</f>
        <v/>
      </c>
      <c r="Q59" s="7">
        <f>Q49+Q57</f>
        <v/>
      </c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inlineStr">
        <is>
          <t>INVOICE TOTAL</t>
        </is>
      </c>
      <c r="K60" s="6" t="n"/>
      <c r="L60" s="6" t="n"/>
      <c r="M60" s="6" t="n"/>
      <c r="N60" s="6" t="n"/>
      <c r="O60" s="6" t="n"/>
      <c r="P60" s="7">
        <f>S44</f>
        <v/>
      </c>
      <c r="Q60" s="7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</row>
    <row r="61"/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inlineStr">
        <is>
          <t>VARIANCE CHECK</t>
        </is>
      </c>
      <c r="K62" s="10" t="n"/>
      <c r="L62" s="10" t="n"/>
      <c r="M62" s="10" t="n"/>
      <c r="N62" s="10" t="n"/>
      <c r="O62" s="10" t="n"/>
      <c r="P62" s="11">
        <f>S44-P59</f>
        <v/>
      </c>
      <c r="Q62" s="11">
        <f>S44-Q59</f>
        <v/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</row>
    <row r="63"/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3" t="inlineStr">
        <is>
          <t>INVOICE NOTES: Structural item count mismatch: 1 price lines found between section markers but 3 items extracted</t>
        </is>
      </c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</row>
    <row r="65"/>
    <row r="66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inlineStr">
        <is>
          <t>DUTY ESTIMATION (Classification Cross-Check)</t>
        </is>
      </c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  <c r="AH66" s="14" t="n"/>
      <c r="AI66" s="14" t="n"/>
      <c r="AJ66" s="14" t="n"/>
      <c r="AK66" s="14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6" t="inlineStr">
        <is>
          <t>CIF (USD) = InvTotal + Freight + Insurance</t>
        </is>
      </c>
      <c r="K67" s="15" t="n"/>
      <c r="L67" s="15" t="n"/>
      <c r="M67" s="15" t="n"/>
      <c r="N67" s="15" t="n"/>
      <c r="O67" s="15" t="n"/>
      <c r="P67" s="17" t="n">
        <v>17.96</v>
      </c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6" t="inlineStr">
        <is>
          <t>CIF (XCD) = CIF × 2.7169</t>
        </is>
      </c>
      <c r="K68" s="15" t="n"/>
      <c r="L68" s="15" t="n"/>
      <c r="M68" s="15" t="n"/>
      <c r="N68" s="15" t="n"/>
      <c r="O68" s="15" t="n"/>
      <c r="P68" s="17" t="n">
        <v>48.8</v>
      </c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6" t="inlineStr">
        <is>
          <t>CET (weighted avg 20.0%)</t>
        </is>
      </c>
      <c r="K69" s="15" t="n"/>
      <c r="L69" s="15" t="n"/>
      <c r="M69" s="15" t="n"/>
      <c r="N69" s="15" t="n"/>
      <c r="O69" s="15" t="n"/>
      <c r="P69" s="17" t="n">
        <v>9.76</v>
      </c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6" t="inlineStr">
        <is>
          <t xml:space="preserve">  └ 42021210: 20% CET (66% of value)</t>
        </is>
      </c>
      <c r="K70" s="15" t="n"/>
      <c r="L70" s="15" t="n"/>
      <c r="M70" s="15" t="n"/>
      <c r="N70" s="15" t="n"/>
      <c r="O70" s="15" t="n"/>
      <c r="P70" s="17" t="n">
        <v>6.42</v>
      </c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6" t="inlineStr">
        <is>
          <t xml:space="preserve">  └ 42022200: 20% CET (34% of value)</t>
        </is>
      </c>
      <c r="K71" s="15" t="n"/>
      <c r="L71" s="15" t="n"/>
      <c r="M71" s="15" t="n"/>
      <c r="N71" s="15" t="n"/>
      <c r="O71" s="15" t="n"/>
      <c r="P71" s="17" t="n">
        <v>3.34</v>
      </c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6" t="inlineStr">
        <is>
          <t>CSC (6%)</t>
        </is>
      </c>
      <c r="K72" s="15" t="n"/>
      <c r="L72" s="15" t="n"/>
      <c r="M72" s="15" t="n"/>
      <c r="N72" s="15" t="n"/>
      <c r="O72" s="15" t="n"/>
      <c r="P72" s="17" t="n">
        <v>2.93</v>
      </c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6" t="inlineStr">
        <is>
          <t>VAT (15%) on CIF+CET+CSC</t>
        </is>
      </c>
      <c r="K73" s="15" t="n"/>
      <c r="L73" s="15" t="n"/>
      <c r="M73" s="15" t="n"/>
      <c r="N73" s="15" t="n"/>
      <c r="O73" s="15" t="n"/>
      <c r="P73" s="17" t="n">
        <v>9.220000000000001</v>
      </c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</row>
    <row r="74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4" t="inlineStr">
        <is>
          <t>ESTIMATED TOTAL DUTIES</t>
        </is>
      </c>
      <c r="K74" s="18" t="n"/>
      <c r="L74" s="18" t="n"/>
      <c r="M74" s="18" t="n"/>
      <c r="N74" s="18" t="n"/>
      <c r="O74" s="18" t="n"/>
      <c r="P74" s="19" t="n">
        <v>21.91</v>
      </c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6" t="inlineStr">
        <is>
          <t>Effective Duty Rate</t>
        </is>
      </c>
      <c r="K75" s="15" t="n"/>
      <c r="L75" s="15" t="n"/>
      <c r="M75" s="15" t="n"/>
      <c r="N75" s="15" t="n"/>
      <c r="O75" s="15" t="n"/>
      <c r="P75" s="20" t="n">
        <v>0.4489754098360656</v>
      </c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1" t="n"/>
      <c r="AI76" s="21" t="n"/>
      <c r="AJ76" s="21" t="n"/>
      <c r="AK76" s="21" t="n"/>
    </row>
    <row r="77">
      <c r="A77" s="4" t="inlineStr">
        <is>
          <t>4000-000</t>
        </is>
      </c>
      <c r="B77" s="4" t="n"/>
      <c r="C77" s="4" t="inlineStr">
        <is>
          <t>PO-211-071185147948703851</t>
        </is>
      </c>
      <c r="D77" s="4" t="n"/>
      <c r="E77" s="4" t="inlineStr">
        <is>
          <t>Non-physical/Financial entry</t>
        </is>
      </c>
      <c r="F77" s="4" t="inlineStr">
        <is>
          <t>00000000</t>
        </is>
      </c>
      <c r="G77" s="4" t="n"/>
      <c r="H77" s="4" t="n"/>
      <c r="I77" s="4" t="inlineStr">
        <is>
          <t>HD-1</t>
        </is>
      </c>
      <c r="J77" s="4" t="inlineStr">
        <is>
          <t>Item ( s ) discount : - $200.14</t>
        </is>
      </c>
      <c r="K77" s="4" t="n">
        <v>0</v>
      </c>
      <c r="L77" s="4" t="n"/>
      <c r="M77" s="4" t="n"/>
      <c r="N77" s="4" t="inlineStr">
        <is>
          <t>USD</t>
        </is>
      </c>
      <c r="O77" s="5" t="n">
        <v>200.14</v>
      </c>
      <c r="P77" s="5" t="n">
        <v>200.14</v>
      </c>
      <c r="Q77" s="5">
        <f>O77*K77</f>
        <v/>
      </c>
      <c r="R77" s="5">
        <f>P77-Q77</f>
        <v/>
      </c>
      <c r="S77" s="5" t="n">
        <v>200.14</v>
      </c>
      <c r="T77" s="5" t="n">
        <v>0</v>
      </c>
      <c r="U77" s="5" t="n">
        <v>0</v>
      </c>
      <c r="V77" s="5" t="n">
        <v>0</v>
      </c>
      <c r="W77" s="5" t="n">
        <v>0</v>
      </c>
      <c r="X77" s="4" t="n"/>
      <c r="Y77" s="4" t="n"/>
      <c r="Z77" s="4" t="inlineStr">
        <is>
          <t>HOME</t>
        </is>
      </c>
      <c r="AA77" s="4" t="inlineStr">
        <is>
          <t>Home Depot</t>
        </is>
      </c>
      <c r="AB77" s="4" t="inlineStr">
        <is>
          <t>2455 Paces Ferry Rd. Atlanta, GA 30339</t>
        </is>
      </c>
      <c r="AC77" s="4" t="inlineStr">
        <is>
          <t>US</t>
        </is>
      </c>
      <c r="AD77" s="4" t="n"/>
      <c r="AE77" s="4" t="n"/>
      <c r="AF77" s="4" t="n"/>
      <c r="AG77" s="4" t="n"/>
      <c r="AH77" s="4" t="n"/>
      <c r="AI77" s="4" t="n"/>
      <c r="AJ77" s="4" t="n"/>
      <c r="AK77" s="4" t="inlineStr">
        <is>
          <t>00000000</t>
        </is>
      </c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inlineStr">
        <is>
          <t>SUBTOTAL</t>
        </is>
      </c>
      <c r="K78" s="6" t="n"/>
      <c r="L78" s="6" t="n"/>
      <c r="M78" s="6" t="n"/>
      <c r="N78" s="6" t="n"/>
      <c r="O78" s="6" t="n"/>
      <c r="P78" s="7">
        <f>P77</f>
        <v/>
      </c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inlineStr">
        <is>
          <t>ADJUSTMENTS</t>
        </is>
      </c>
      <c r="K79" s="6" t="n"/>
      <c r="L79" s="6" t="n"/>
      <c r="M79" s="6" t="n"/>
      <c r="N79" s="6" t="n"/>
      <c r="O79" s="6" t="n"/>
      <c r="P79" s="7">
        <f>(T77+U77+V77-W77)</f>
        <v/>
      </c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inlineStr">
        <is>
          <t>NET TOTAL</t>
        </is>
      </c>
      <c r="K80" s="6" t="n"/>
      <c r="L80" s="6" t="n"/>
      <c r="M80" s="6" t="n"/>
      <c r="N80" s="6" t="n"/>
      <c r="O80" s="6" t="n"/>
      <c r="P80" s="7">
        <f>(P78+P79)</f>
        <v/>
      </c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inlineStr">
        <is>
          <t>VARIANCE CHECK</t>
        </is>
      </c>
      <c r="K81" s="6" t="n"/>
      <c r="L81" s="6" t="n"/>
      <c r="M81" s="6" t="n"/>
      <c r="N81" s="6" t="n"/>
      <c r="O81" s="6" t="n"/>
      <c r="P81" s="7">
        <f>(S77-P80)</f>
        <v/>
      </c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2"/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3" t="inlineStr">
        <is>
          <t>INVOICE NOTES: Invoice total uncertain</t>
        </is>
      </c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</row>
    <row r="84"/>
    <row r="85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inlineStr">
        <is>
          <t>DUTY ESTIMATION (Classification Cross-Check)</t>
        </is>
      </c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  <c r="AH85" s="14" t="n"/>
      <c r="AI85" s="14" t="n"/>
      <c r="AJ85" s="14" t="n"/>
      <c r="AK85" s="14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6" t="inlineStr">
        <is>
          <t>CIF (USD) = InvTotal + Freight + Insurance</t>
        </is>
      </c>
      <c r="K86" s="15" t="n"/>
      <c r="L86" s="15" t="n"/>
      <c r="M86" s="15" t="n"/>
      <c r="N86" s="15" t="n"/>
      <c r="O86" s="15" t="n"/>
      <c r="P86" s="17" t="n">
        <v>200.14</v>
      </c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6" t="inlineStr">
        <is>
          <t>CIF (XCD) = CIF × 2.7169</t>
        </is>
      </c>
      <c r="K87" s="15" t="n"/>
      <c r="L87" s="15" t="n"/>
      <c r="M87" s="15" t="n"/>
      <c r="N87" s="15" t="n"/>
      <c r="O87" s="15" t="n"/>
      <c r="P87" s="17" t="n">
        <v>543.76</v>
      </c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6" t="inlineStr">
        <is>
          <t>CET (20%) — Tariff 00000000</t>
        </is>
      </c>
      <c r="K88" s="15" t="n"/>
      <c r="L88" s="15" t="n"/>
      <c r="M88" s="15" t="n"/>
      <c r="N88" s="15" t="n"/>
      <c r="O88" s="15" t="n"/>
      <c r="P88" s="17" t="n">
        <v>108.75</v>
      </c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6" t="inlineStr">
        <is>
          <t>CSC (6%)</t>
        </is>
      </c>
      <c r="K89" s="15" t="n"/>
      <c r="L89" s="15" t="n"/>
      <c r="M89" s="15" t="n"/>
      <c r="N89" s="15" t="n"/>
      <c r="O89" s="15" t="n"/>
      <c r="P89" s="17" t="n">
        <v>32.63</v>
      </c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6" t="inlineStr">
        <is>
          <t>VAT (15%) on CIF+CET+CSC</t>
        </is>
      </c>
      <c r="K90" s="15" t="n"/>
      <c r="L90" s="15" t="n"/>
      <c r="M90" s="15" t="n"/>
      <c r="N90" s="15" t="n"/>
      <c r="O90" s="15" t="n"/>
      <c r="P90" s="17" t="n">
        <v>102.77</v>
      </c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</row>
    <row r="91">
      <c r="A91" s="18" t="n"/>
      <c r="B91" s="18" t="n"/>
      <c r="C91" s="18" t="n"/>
      <c r="D91" s="18" t="n"/>
      <c r="E91" s="18" t="n"/>
      <c r="F91" s="18" t="n"/>
      <c r="G91" s="18" t="n"/>
      <c r="H91" s="18" t="n"/>
      <c r="I91" s="18" t="n"/>
      <c r="J91" s="14" t="inlineStr">
        <is>
          <t>ESTIMATED TOTAL DUTIES</t>
        </is>
      </c>
      <c r="K91" s="18" t="n"/>
      <c r="L91" s="18" t="n"/>
      <c r="M91" s="18" t="n"/>
      <c r="N91" s="18" t="n"/>
      <c r="O91" s="18" t="n"/>
      <c r="P91" s="19" t="n">
        <v>244.15</v>
      </c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6" t="inlineStr">
        <is>
          <t>Effective Duty Rate</t>
        </is>
      </c>
      <c r="K92" s="15" t="n"/>
      <c r="L92" s="15" t="n"/>
      <c r="M92" s="15" t="n"/>
      <c r="N92" s="15" t="n"/>
      <c r="O92" s="15" t="n"/>
      <c r="P92" s="20" t="n">
        <v>0.4490032367220833</v>
      </c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</row>
    <row r="94">
      <c r="A94" s="4" t="inlineStr">
        <is>
          <t>4000-000</t>
        </is>
      </c>
      <c r="B94" s="4" t="n"/>
      <c r="C94" s="4" t="inlineStr">
        <is>
          <t>03152025_Free_returns_within_90_days_Invoice</t>
        </is>
      </c>
      <c r="D94" s="4" t="n"/>
      <c r="E94" s="4" t="inlineStr">
        <is>
          <t>Non-physical/financial item</t>
        </is>
      </c>
      <c r="F94" s="4" t="inlineStr">
        <is>
          <t>00000000</t>
        </is>
      </c>
      <c r="G94" s="4" t="n"/>
      <c r="H94" s="4" t="n"/>
      <c r="I94" s="4" t="inlineStr">
        <is>
          <t>HD-1</t>
        </is>
      </c>
      <c r="J94" s="4" t="inlineStr">
        <is>
          <t>Item ( s ) discount : - $200.14</t>
        </is>
      </c>
      <c r="K94" s="4" t="n">
        <v>0</v>
      </c>
      <c r="L94" s="4" t="n"/>
      <c r="M94" s="4" t="n"/>
      <c r="N94" s="4" t="inlineStr">
        <is>
          <t>USD</t>
        </is>
      </c>
      <c r="O94" s="5" t="n">
        <v>200.14</v>
      </c>
      <c r="P94" s="5" t="n">
        <v>200.14</v>
      </c>
      <c r="Q94" s="5">
        <f>O94*K94</f>
        <v/>
      </c>
      <c r="R94" s="5">
        <f>P94-Q94</f>
        <v/>
      </c>
      <c r="S94" s="5" t="n">
        <v>200.14</v>
      </c>
      <c r="T94" s="5" t="n">
        <v>0</v>
      </c>
      <c r="U94" s="5" t="n">
        <v>0</v>
      </c>
      <c r="V94" s="5" t="n">
        <v>0</v>
      </c>
      <c r="W94" s="5" t="n">
        <v>0</v>
      </c>
      <c r="X94" s="4" t="n"/>
      <c r="Y94" s="4" t="n"/>
      <c r="Z94" s="4" t="inlineStr">
        <is>
          <t>HOME</t>
        </is>
      </c>
      <c r="AA94" s="4" t="inlineStr">
        <is>
          <t>Home Depot</t>
        </is>
      </c>
      <c r="AB94" s="4" t="inlineStr">
        <is>
          <t>2455 Paces Ferry Rd. Atlanta, GA 30339</t>
        </is>
      </c>
      <c r="AC94" s="4" t="inlineStr">
        <is>
          <t>US</t>
        </is>
      </c>
      <c r="AD94" s="4" t="n"/>
      <c r="AE94" s="4" t="n"/>
      <c r="AF94" s="4" t="n"/>
      <c r="AG94" s="4" t="n"/>
      <c r="AH94" s="4" t="n"/>
      <c r="AI94" s="4" t="n"/>
      <c r="AJ94" s="4" t="n"/>
      <c r="AK94" s="4" t="inlineStr">
        <is>
          <t>00000000</t>
        </is>
      </c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inlineStr">
        <is>
          <t>SUBTOTAL</t>
        </is>
      </c>
      <c r="K95" s="6" t="n"/>
      <c r="L95" s="6" t="n"/>
      <c r="M95" s="6" t="n"/>
      <c r="N95" s="6" t="n"/>
      <c r="O95" s="6" t="n"/>
      <c r="P95" s="7">
        <f>P94</f>
        <v/>
      </c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inlineStr">
        <is>
          <t>ADJUSTMENTS</t>
        </is>
      </c>
      <c r="K96" s="6" t="n"/>
      <c r="L96" s="6" t="n"/>
      <c r="M96" s="6" t="n"/>
      <c r="N96" s="6" t="n"/>
      <c r="O96" s="6" t="n"/>
      <c r="P96" s="7">
        <f>(T94+U94+V94-W94)</f>
        <v/>
      </c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inlineStr">
        <is>
          <t>NET TOTAL</t>
        </is>
      </c>
      <c r="K97" s="6" t="n"/>
      <c r="L97" s="6" t="n"/>
      <c r="M97" s="6" t="n"/>
      <c r="N97" s="6" t="n"/>
      <c r="O97" s="6" t="n"/>
      <c r="P97" s="7">
        <f>(P95+P96)</f>
        <v/>
      </c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inlineStr">
        <is>
          <t>VARIANCE CHECK</t>
        </is>
      </c>
      <c r="K98" s="6" t="n"/>
      <c r="L98" s="6" t="n"/>
      <c r="M98" s="6" t="n"/>
      <c r="N98" s="6" t="n"/>
      <c r="O98" s="6" t="n"/>
      <c r="P98" s="7">
        <f>(S94-P97)</f>
        <v/>
      </c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</row>
    <row r="99"/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3" t="inlineStr">
        <is>
          <t>INVOICE NOTES: Invoice total uncertain</t>
        </is>
      </c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</row>
    <row r="101"/>
    <row r="102">
      <c r="A102" s="14" t="n"/>
      <c r="B102" s="14" t="n"/>
      <c r="C102" s="14" t="n"/>
      <c r="D102" s="14" t="n"/>
      <c r="E102" s="14" t="n"/>
      <c r="F102" s="14" t="n"/>
      <c r="G102" s="14" t="n"/>
      <c r="H102" s="14" t="n"/>
      <c r="I102" s="14" t="n"/>
      <c r="J102" s="14" t="inlineStr">
        <is>
          <t>DUTY ESTIMATION (Classification Cross-Check)</t>
        </is>
      </c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  <c r="AH102" s="14" t="n"/>
      <c r="AI102" s="14" t="n"/>
      <c r="AJ102" s="14" t="n"/>
      <c r="AK102" s="14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6" t="inlineStr">
        <is>
          <t>CIF (USD) = InvTotal + Freight + Insurance</t>
        </is>
      </c>
      <c r="K103" s="15" t="n"/>
      <c r="L103" s="15" t="n"/>
      <c r="M103" s="15" t="n"/>
      <c r="N103" s="15" t="n"/>
      <c r="O103" s="15" t="n"/>
      <c r="P103" s="17" t="n">
        <v>200.14</v>
      </c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6" t="inlineStr">
        <is>
          <t>CIF (XCD) = CIF × 2.7169</t>
        </is>
      </c>
      <c r="K104" s="15" t="n"/>
      <c r="L104" s="15" t="n"/>
      <c r="M104" s="15" t="n"/>
      <c r="N104" s="15" t="n"/>
      <c r="O104" s="15" t="n"/>
      <c r="P104" s="17" t="n">
        <v>543.76</v>
      </c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6" t="inlineStr">
        <is>
          <t>CET (20%) — Tariff 00000000</t>
        </is>
      </c>
      <c r="K105" s="15" t="n"/>
      <c r="L105" s="15" t="n"/>
      <c r="M105" s="15" t="n"/>
      <c r="N105" s="15" t="n"/>
      <c r="O105" s="15" t="n"/>
      <c r="P105" s="17" t="n">
        <v>108.75</v>
      </c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inlineStr">
        <is>
          <t>CSC (6%)</t>
        </is>
      </c>
      <c r="K106" s="15" t="n"/>
      <c r="L106" s="15" t="n"/>
      <c r="M106" s="15" t="n"/>
      <c r="N106" s="15" t="n"/>
      <c r="O106" s="15" t="n"/>
      <c r="P106" s="17" t="n">
        <v>32.63</v>
      </c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  <c r="AF106" s="15" t="n"/>
      <c r="AG106" s="15" t="n"/>
      <c r="AH106" s="15" t="n"/>
      <c r="AI106" s="15" t="n"/>
      <c r="AJ106" s="15" t="n"/>
      <c r="AK106" s="15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6" t="inlineStr">
        <is>
          <t>VAT (15%) on CIF+CET+CSC</t>
        </is>
      </c>
      <c r="K107" s="15" t="n"/>
      <c r="L107" s="15" t="n"/>
      <c r="M107" s="15" t="n"/>
      <c r="N107" s="15" t="n"/>
      <c r="O107" s="15" t="n"/>
      <c r="P107" s="17" t="n">
        <v>102.77</v>
      </c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</row>
    <row r="108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4" t="inlineStr">
        <is>
          <t>ESTIMATED TOTAL DUTIES</t>
        </is>
      </c>
      <c r="K108" s="18" t="n"/>
      <c r="L108" s="18" t="n"/>
      <c r="M108" s="18" t="n"/>
      <c r="N108" s="18" t="n"/>
      <c r="O108" s="18" t="n"/>
      <c r="P108" s="19" t="n">
        <v>244.15</v>
      </c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6" t="inlineStr">
        <is>
          <t>Effective Duty Rate</t>
        </is>
      </c>
      <c r="K109" s="15" t="n"/>
      <c r="L109" s="15" t="n"/>
      <c r="M109" s="15" t="n"/>
      <c r="N109" s="15" t="n"/>
      <c r="O109" s="15" t="n"/>
      <c r="P109" s="20" t="n">
        <v>0.4490032367220833</v>
      </c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</row>
    <row r="110"/>
    <row r="11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  <c r="AI111" s="22" t="n"/>
      <c r="AJ111" s="22" t="n"/>
      <c r="AK111" s="22" t="n"/>
    </row>
    <row r="112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3" t="inlineStr">
        <is>
          <t>═══ COMBINED GRAND SUMMARY ═══</t>
        </is>
      </c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  <c r="AI112" s="22" t="n"/>
      <c r="AJ112" s="22" t="n"/>
      <c r="AK112" s="22" t="n"/>
    </row>
    <row r="113">
      <c r="L113" s="24" t="inlineStr">
        <is>
          <t>Invoice 03152025_Free_returns_within_90_days_Invoice_1</t>
        </is>
      </c>
      <c r="P113" s="25" t="n">
        <v>216.76</v>
      </c>
      <c r="Q113" s="26" t="n">
        <v>-187.62</v>
      </c>
    </row>
    <row r="114">
      <c r="L114" s="24" t="inlineStr">
        <is>
          <t>Invoice CKETS_Invoice</t>
        </is>
      </c>
      <c r="P114" s="25" t="n">
        <v>138.75</v>
      </c>
      <c r="Q114" s="26" t="n">
        <v>-120.79</v>
      </c>
    </row>
    <row r="115">
      <c r="L115" s="24" t="inlineStr">
        <is>
          <t>Invoice PO-211-071185147948703851</t>
        </is>
      </c>
      <c r="P115" s="25" t="n">
        <v>1432.79</v>
      </c>
      <c r="Q115" s="26" t="n">
        <v>-1232.65</v>
      </c>
    </row>
    <row r="116">
      <c r="L116" s="24" t="inlineStr">
        <is>
          <t>Invoice 03152025_Free_returns_within_90_days_Invoice</t>
        </is>
      </c>
      <c r="P116" s="25" t="n">
        <v>1432.79</v>
      </c>
      <c r="Q116" s="26" t="n">
        <v>-1232.65</v>
      </c>
    </row>
    <row r="117"/>
    <row r="118">
      <c r="L118" s="27" t="inlineStr">
        <is>
          <t>GRAND TOTAL</t>
        </is>
      </c>
      <c r="P118" s="28" t="n">
        <v>3221.09</v>
      </c>
    </row>
    <row r="119">
      <c r="L119" s="29" t="inlineStr">
        <is>
          <t>GRAND VARIANCE CHECK</t>
        </is>
      </c>
      <c r="P119" s="26" t="n">
        <v>-2773.71</v>
      </c>
    </row>
    <row r="120">
      <c r="L120" s="30" t="inlineStr">
        <is>
          <t>Combined 4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03152025_Free_returns_within_90_days_Invoice_1.pdf</t>
        </is>
      </c>
      <c r="B2" s="32" t="inlineStr">
        <is>
          <t>63/100</t>
        </is>
      </c>
      <c r="C2" s="32" t="inlineStr">
        <is>
          <t>FAIR</t>
        </is>
      </c>
      <c r="D2" s="32" t="inlineStr">
        <is>
          <t>Text: 854 chars; Prices: 6 ($-sign), 0 (decimal); Total: MISSING; Invoice#: MISSING; Real items: 6/6; Structure words: 1/12</t>
        </is>
      </c>
      <c r="E2" s="33" t="inlineStr">
        <is>
          <t>Item details (8)
2pcs Simple Stainless Steel Bracelet Necklace Set For Men
Silvery
$1.98 x1
By — LovelyThings
Lightweight Non-Slip Women's Knitted Loafers for Casual Walking
7.5 / Black
$7.99 x1
By — KAMUCC
1pc Waterproof LED Solar Lamp Bulb for Outdoor Hiking, Fishing, and Emergency Lighting
7w With Solar Panel
$5.98 x1
By ▲ ABT factory
Smart Watch With Wireless Calling/Dialing, Multiple Sports Modes, Fitness Tracker, Customizable Wallpaper, Compatible With iPhone/Android, Sporty Smartwatch With Health Monitoring
Black
$7.47 x1
By — GUYN
3pcs Exaggerated Design Earrings and Necklace Set for Party Outfits - Stand Out and Be the Most Special One at Any Party
Female / Exquisite
$3.39 x1
By ☺ ATHENAA
Elegant Adjustable Rhinestone Bracelet Quartz Watch, Fashionable Luxury Style, Versatile, Women's Accessory
Golden
$2.33 x1
By ☺ New Time Clock
2/3</t>
        </is>
      </c>
    </row>
    <row r="3">
      <c r="A3" s="32" t="inlineStr">
        <is>
          <t>CKETS_Invoice.pdf</t>
        </is>
      </c>
      <c r="B3" s="32" t="inlineStr">
        <is>
          <t>58/100</t>
        </is>
      </c>
      <c r="C3" s="32" t="inlineStr">
        <is>
          <t>FAIR</t>
        </is>
      </c>
      <c r="D3" s="32" t="inlineStr">
        <is>
          <t>Text: 539 chars; Prices: 4 ($-sign), 0 (decimal); Total: MISSING; Invoice#: MISSING; Real items: 3/3; Structure words: 2/12</t>
        </is>
      </c>
      <c r="E3" s="33" t="inlineStr">
        <is>
          <t>Compact Business Laptop Bag, Suitable For Travel, With Shoulder Straps For Both Men And $5.91
: Women, Also Suitable For Students “1
‘ . Rar ‘ ; Black
By Lucky Backpack
&gt; Faux Leather Tote Bag, Multi Pockets Large Handbag For Work School Travel $6.14
iw
jee By = COJAY
Free returns within 90 days
Free returns are available for you.
1.You can return the Item for any reason In new and unused condition: no shipping charges.
2.This Item can be returned In Its original condition for a full refund within 90 days of purchase.
3/3
$5.91
$6.14</t>
        </is>
      </c>
    </row>
    <row r="4">
      <c r="A4" s="32" t="inlineStr">
        <is>
          <t>PO-211-071185147948703851.pdf</t>
        </is>
      </c>
      <c r="B4" s="32" t="inlineStr">
        <is>
          <t>60/100</t>
        </is>
      </c>
      <c r="C4" s="32" t="inlineStr">
        <is>
          <t>FAIR</t>
        </is>
      </c>
      <c r="D4" s="32" t="inlineStr">
        <is>
          <t>Text: 1602 chars; Prices: 10 ($-sign), 6 (decimal); Total: MISSING; Invoice#: MISSING; Real items: 1/1; Structure words: 6/12</t>
        </is>
      </c>
      <c r="E4" s="33" t="inlineStr">
        <is>
          <t>" a on 2024 / 07 / 15 09 : 41
‘ . a 2 e . &gt; .
@ As we ' re committed to reducing our environmental impact , we have climinated paper receipt .
Order Summary
Order ID : PO - 211 - 07118514794870851
Order time : Jul 14 , 2024
item ( s ) total : $241.33
Item ( s ) discount : - $200.14 200.14
Subtotal : $41.19
Shipping : FREE
Sales tax : $2.88
Order total : $44.07
Shipping address
utillta Mitchell + 1 ( 473 ) 449 - 3366 , 10813 NW 30 th Street , BLOG 115 GRE 7515 , MIAMI , FL 33172 , United
States
Payment method
© Your payment Information ts safe with us . Temu does not share your Information with the sellers .
Mastercard . . . 3651 $19.01
‘ Pald on Jul 14 , 2024
Billing address : tiffany Charlos + 1 ( 473 ) 449 - 3366 , 12 pinohurst at boston , apt 2 , BOSTON , MA 02131 ,
United States
Mastorcard . . . 3651 $7.99
Pald on Jul 14 , 2024 by one - click pay
Billing address : tiffany Charios + 1 ( 473 ) 449 - 3366 , 12 pinohurst at boston , apt 2 , BOSTON , MA 02131 ,
United States
@ Mastercard . . . 3651 $6.40
Pald on Jul 15 , 2024 by one - click pay
Billing address : tiffany Charles + 1 ( 473 ) 449 - 3366 , 12 pinehurst at boston , apt 2 , BOSTON , MA 02131 ,
United States
Mastercard . . . 3651 $8.55
meer Paid on Jul 15 , 2024 by one - click pay
Billing address : tiffany Cherles + 1 ( 473 ) 449 - 3366 , 12 pinehurst at boston , ept 2 , BOSTON , MA 02131 ,
United States
€ Mastercard . . . 3651 $2.12
Pald on Jul 15 , 2024 by ane - cllck pay
Billing address : tiffany Charles + 1 ( 473 ) 449 - 3366 , 12 pinehurst at boston , apt 2 , BOSTON , MA 02131 ,
United States
‘ ye 43
Qom - O % /</t>
        </is>
      </c>
    </row>
    <row r="5">
      <c r="A5" s="32" t="inlineStr">
        <is>
          <t>03152025_Free_returns_within_90_days_Invoice.pdf</t>
        </is>
      </c>
      <c r="B5" s="32" t="inlineStr">
        <is>
          <t>60/100</t>
        </is>
      </c>
      <c r="C5" s="32" t="inlineStr">
        <is>
          <t>FAIR</t>
        </is>
      </c>
      <c r="D5" s="32" t="inlineStr">
        <is>
          <t>Text: 2999 chars; Prices: 20 ($-sign), 6 (decimal); Total: MISSING; Invoice#: MISSING; Real items: 1/1; Structure words: 6/12</t>
        </is>
      </c>
      <c r="E5" s="33" t="inlineStr">
        <is>
          <t>Item details (8)
2pcs Simple Stainless Steel Bracelet Necklace Set For Men
Silvery
$1.98
x1
By — LovelyThings
Lightweight Non-Slip Women's Knitted Loafers for Casual Walking
7.5 / Black
$7.99
x1
By — KAMUCC
1pc Waterproof LED Solar Lamp Bulb for Outdoor Hiking, Fishing, and Emergency Lighting
7w With Solar Panel
$5.98
x1
By ▲ ABT factory
Smart Watch With Wireless Calling/Dialing, Multiple Sports Modes, Fitness Tracker, Customizable
Wallpaper, Compatible With iPhone/Android, Sporty Smartwatch With Health Monitoring
Black
$7.47
x1
By — GUYN
3pcs Exaggerated Design Earrings and Necklace Set for Party Outfits - Stand Out and Be the
Most Special One at Any Party
Female / Exquisite
$3.39
x1
By ☻ ATHENAA
Elegant Adjustable Rhinestone Bracelet Quartz Watch, Fashionable Luxury Style, Versatile,
Women's Accessory
Golden
$2.33
x1
By ☼ New Time Clock
2/3
Compact Business Laptop Bag, Suitable For Travel, With Shoulder Straps For Both Men And $5.91
: Women, Also Suitable For Students “1
‘ . Rar ‘ ; Black
By Lucky Backpack
&gt; Faux Leather Tote Bag, Multi Pockets Large Handbag For Work School Travel $6.14
iw
jee By = COJAY
Free returns within 90 days
Free returns are available for you.
1.You can return the Item for any reason In new and unused condition: no shipping charges.
2.This Item can be returned In Its original condition for a full refund within 90 days of purchase.
3/3
$5.91
$6.14
" a on 2024 / 07 / 15 09 : 41
‘ . a 2 e . &gt; .
@ As we ' re committed to reducing our environmental impact , we have climinated paper receipt .
Order Summary
Order ID : PO - 211 - 07118514794870851
Order time : Jul 14 , 2024
item ( s ) total : $241.33
Item ( s ) discount : - $200.14 200.14
Subtotal : $41.19
Shipping : FREE
Sales tax : $2.88
Order total : $44.07
Shipping address
utillta Mitchell + 1 ( 473 ) 449 - 3366 , 10813 NW 30 th Street , BLOG 115 GRE 7515 , MIAMI , FL 33172 , United
States
Payment method
© Your payment Information ts safe with us . Temu does not share your Information with 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2026-04-25T20:28:25Z</dcterms:created>
  <dcterms:modified xsi:type="dcterms:W3CDTF">2026-04-25T20:28:51Z</dcterms:modified>
</cp:coreProperties>
</file>