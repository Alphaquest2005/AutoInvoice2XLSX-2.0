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03152025_Free_returns_within_90_days_Invoice_1</t>
        </is>
      </c>
      <c r="D2" s="2" t="inlineStr"/>
      <c r="E2" s="2" t="inlineStr">
        <is>
          <t>IMITATION JEWELRY</t>
        </is>
      </c>
      <c r="F2" s="2" t="inlineStr">
        <is>
          <t>71171900</t>
        </is>
      </c>
      <c r="G2" s="2" t="inlineStr"/>
      <c r="H2" s="2" t="inlineStr"/>
      <c r="I2" s="2" t="inlineStr">
        <is>
          <t>71171900</t>
        </is>
      </c>
      <c r="J2" s="2" t="inlineStr">
        <is>
          <t>Item details (8) 2pcs Simple Stainless Steel Bracelet Necklace Set For Men Silvery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2.685</v>
      </c>
      <c r="P2" s="3" t="n">
        <v>5.37</v>
      </c>
      <c r="Q2" s="3">
        <f>O2*K2</f>
        <v/>
      </c>
      <c r="R2" s="3">
        <f>P2-Q2</f>
        <v/>
      </c>
      <c r="S2" s="3" t="n">
        <v>18.35</v>
      </c>
      <c r="T2" s="3" t="n">
        <v>7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71171900</t>
        </is>
      </c>
    </row>
    <row r="3">
      <c r="A3" s="4" t="n"/>
      <c r="B3" s="4" t="n"/>
      <c r="C3" s="4" t="n"/>
      <c r="D3" s="4" t="n"/>
      <c r="E3" s="4" t="n"/>
      <c r="F3" s="4" t="inlineStr">
        <is>
          <t>71171900</t>
        </is>
      </c>
      <c r="G3" s="4" t="n"/>
      <c r="H3" s="4" t="n"/>
      <c r="I3" s="4" t="inlineStr">
        <is>
          <t>TEMU-1</t>
        </is>
      </c>
      <c r="J3" s="4" t="inlineStr">
        <is>
          <t>Item details (8) 2pcs Simple Stainless Steel Bracelet Necklace Set For Men Silvery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1.98</v>
      </c>
      <c r="P3" s="5" t="n">
        <v>1.98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71171900</t>
        </is>
      </c>
      <c r="G4" s="4" t="n"/>
      <c r="H4" s="4" t="n"/>
      <c r="I4" s="4" t="inlineStr">
        <is>
          <t>TEMU-5</t>
        </is>
      </c>
      <c r="J4" s="4" t="inlineStr">
        <is>
          <t>Exaggerated Design Earrings and Necklace Set for Party Outfits - Stand Out and Be the Most Special One at Any Party Female / Exquisite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3.39</v>
      </c>
      <c r="P4" s="5" t="n">
        <v>3.39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03152025_Free_returns_within_90_days_Invoice_1</t>
        </is>
      </c>
      <c r="D5" s="2" t="inlineStr"/>
      <c r="E5" s="2" t="inlineStr">
        <is>
          <t>SIGNALING EQUIPMENT</t>
        </is>
      </c>
      <c r="F5" s="2" t="inlineStr">
        <is>
          <t>85319000</t>
        </is>
      </c>
      <c r="G5" s="2" t="inlineStr"/>
      <c r="H5" s="2" t="inlineStr"/>
      <c r="I5" s="2" t="inlineStr">
        <is>
          <t>85319000</t>
        </is>
      </c>
      <c r="J5" s="2" t="inlineStr">
        <is>
          <t>Waterproof LED Solar Lamp Bulb for Outdoor Hiking, Fishing, and Emergency Lighting 7w With Solar Panel (1 items)</t>
        </is>
      </c>
      <c r="K5" s="2" t="n">
        <v>1</v>
      </c>
      <c r="L5" s="2" t="n"/>
      <c r="M5" s="2" t="inlineStr"/>
      <c r="N5" s="2" t="inlineStr">
        <is>
          <t>USD</t>
        </is>
      </c>
      <c r="O5" s="3" t="n">
        <v>5.98</v>
      </c>
      <c r="P5" s="3" t="n">
        <v>5.98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85319000</t>
        </is>
      </c>
    </row>
    <row r="6">
      <c r="A6" s="4" t="n"/>
      <c r="B6" s="4" t="n"/>
      <c r="C6" s="4" t="n"/>
      <c r="D6" s="4" t="n"/>
      <c r="E6" s="4" t="n"/>
      <c r="F6" s="4" t="inlineStr">
        <is>
          <t>85319000</t>
        </is>
      </c>
      <c r="G6" s="4" t="n"/>
      <c r="H6" s="4" t="n"/>
      <c r="I6" s="4" t="inlineStr">
        <is>
          <t>TEMU-3</t>
        </is>
      </c>
      <c r="J6" s="4" t="inlineStr">
        <is>
          <t>Waterproof LED Solar Lamp Bulb for Outdoor Hiking, Fishing, and Emergency Lighting 7w With Solar Panel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5.98</v>
      </c>
      <c r="P6" s="5" t="n">
        <v>5.98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(GROUPED)</t>
        </is>
      </c>
      <c r="K7" s="6" t="n"/>
      <c r="L7" s="6" t="n"/>
      <c r="M7" s="6" t="n"/>
      <c r="N7" s="6" t="n"/>
      <c r="O7" s="6" t="n"/>
      <c r="P7" s="7">
        <f>P2+P5</f>
        <v/>
      </c>
      <c r="Q7" s="7">
        <f>Q2+Q5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(DETAILS)</t>
        </is>
      </c>
      <c r="K8" s="6" t="n"/>
      <c r="L8" s="6" t="n"/>
      <c r="M8" s="6" t="n"/>
      <c r="N8" s="6" t="n"/>
      <c r="O8" s="6" t="n"/>
      <c r="P8" s="7">
        <f>SUM(P2:P6)-P7</f>
        <v/>
      </c>
      <c r="Q8" s="7">
        <f>SUM(Q2:Q6)-Q7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GROUP VERIFICATION</t>
        </is>
      </c>
      <c r="K9" s="8" t="n"/>
      <c r="L9" s="8" t="n"/>
      <c r="M9" s="8" t="n"/>
      <c r="N9" s="8" t="n"/>
      <c r="O9" s="8" t="n"/>
      <c r="P9" s="9">
        <f>P7-P8</f>
        <v/>
      </c>
      <c r="Q9" s="9">
        <f>Q7-Q8</f>
        <v/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</row>
    <row r="10"/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INTERNAL FREIGHT</t>
        </is>
      </c>
      <c r="K11" s="6" t="n"/>
      <c r="L11" s="6" t="n"/>
      <c r="M11" s="6" t="n"/>
      <c r="N11" s="6" t="n"/>
      <c r="O11" s="6" t="n"/>
      <c r="P11" s="7" t="n">
        <v>7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INSURANCE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OTHER COST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DEDUCTION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ADJUSTMENTS</t>
        </is>
      </c>
      <c r="K15" s="6" t="n"/>
      <c r="L15" s="6" t="n"/>
      <c r="M15" s="6" t="n"/>
      <c r="N15" s="6" t="n"/>
      <c r="O15" s="6" t="n"/>
      <c r="P15" s="7">
        <f>(T2+U2+V2-W2)</f>
        <v/>
      </c>
      <c r="Q15" s="7">
        <f>(T2+U2+V2-W2)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NET TOTAL</t>
        </is>
      </c>
      <c r="K17" s="6" t="n"/>
      <c r="L17" s="6" t="n"/>
      <c r="M17" s="6" t="n"/>
      <c r="N17" s="6" t="n"/>
      <c r="O17" s="6" t="n"/>
      <c r="P17" s="7">
        <f>P7+P15</f>
        <v/>
      </c>
      <c r="Q17" s="7">
        <f>Q7+Q15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INVOICE TOTAL</t>
        </is>
      </c>
      <c r="K18" s="6" t="n"/>
      <c r="L18" s="6" t="n"/>
      <c r="M18" s="6" t="n"/>
      <c r="N18" s="6" t="n"/>
      <c r="O18" s="6" t="n"/>
      <c r="P18" s="7">
        <f>S2</f>
        <v/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inlineStr">
        <is>
          <t>VARIANCE CHECK</t>
        </is>
      </c>
      <c r="K20" s="10" t="n"/>
      <c r="L20" s="10" t="n"/>
      <c r="M20" s="10" t="n"/>
      <c r="N20" s="10" t="n"/>
      <c r="O20" s="10" t="n"/>
      <c r="P20" s="11">
        <f>S2-P17</f>
        <v/>
      </c>
      <c r="Q20" s="11">
        <f>S2-Q17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/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inlineStr">
        <is>
          <t>INVOICE NOTES: Invoice total uncertain</t>
        </is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/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inlineStr">
        <is>
          <t>DUTY ESTIMATION (Classification Cross-Check)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CIF (USD) = InvTotal + Freight + Insurance</t>
        </is>
      </c>
      <c r="K25" s="15" t="n"/>
      <c r="L25" s="15" t="n"/>
      <c r="M25" s="15" t="n"/>
      <c r="N25" s="15" t="n"/>
      <c r="O25" s="15" t="n"/>
      <c r="P25" s="17" t="n">
        <v>25.35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CIF (XCD) = CIF × 2.7169</t>
        </is>
      </c>
      <c r="K26" s="15" t="n"/>
      <c r="L26" s="15" t="n"/>
      <c r="M26" s="15" t="n"/>
      <c r="N26" s="15" t="n"/>
      <c r="O26" s="15" t="n"/>
      <c r="P26" s="17" t="n">
        <v>68.87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CET (weighted avg 12.1%)</t>
        </is>
      </c>
      <c r="K27" s="15" t="n"/>
      <c r="L27" s="15" t="n"/>
      <c r="M27" s="15" t="n"/>
      <c r="N27" s="15" t="n"/>
      <c r="O27" s="15" t="n"/>
      <c r="P27" s="17" t="n">
        <v>8.33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 xml:space="preserve">  └ 71171900: 20% CET (47% of value)</t>
        </is>
      </c>
      <c r="K28" s="15" t="n"/>
      <c r="L28" s="15" t="n"/>
      <c r="M28" s="15" t="n"/>
      <c r="N28" s="15" t="n"/>
      <c r="O28" s="15" t="n"/>
      <c r="P28" s="17" t="n">
        <v>6.52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 xml:space="preserve">  └ 85319000: 5% CET (53% of value)</t>
        </is>
      </c>
      <c r="K29" s="15" t="n"/>
      <c r="L29" s="15" t="n"/>
      <c r="M29" s="15" t="n"/>
      <c r="N29" s="15" t="n"/>
      <c r="O29" s="15" t="n"/>
      <c r="P29" s="17" t="n">
        <v>1.81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CSC (6%)</t>
        </is>
      </c>
      <c r="K30" s="15" t="n"/>
      <c r="L30" s="15" t="n"/>
      <c r="M30" s="15" t="n"/>
      <c r="N30" s="15" t="n"/>
      <c r="O30" s="15" t="n"/>
      <c r="P30" s="17" t="n">
        <v>4.13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VAT (15%) on CIF+CET+CSC</t>
        </is>
      </c>
      <c r="K31" s="15" t="n"/>
      <c r="L31" s="15" t="n"/>
      <c r="M31" s="15" t="n"/>
      <c r="N31" s="15" t="n"/>
      <c r="O31" s="15" t="n"/>
      <c r="P31" s="17" t="n">
        <v>12.2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4" t="inlineStr">
        <is>
          <t>ESTIMATED TOTAL DUTIES</t>
        </is>
      </c>
      <c r="K32" s="18" t="n"/>
      <c r="L32" s="18" t="n"/>
      <c r="M32" s="18" t="n"/>
      <c r="N32" s="18" t="n"/>
      <c r="O32" s="18" t="n"/>
      <c r="P32" s="19" t="n">
        <v>24.66</v>
      </c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Effective Duty Rate</t>
        </is>
      </c>
      <c r="K33" s="15" t="n"/>
      <c r="L33" s="15" t="n"/>
      <c r="M33" s="15" t="n"/>
      <c r="N33" s="15" t="n"/>
      <c r="O33" s="15" t="n"/>
      <c r="P33" s="20" t="n">
        <v>0.3580659213010018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/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inlineStr">
        <is>
          <t>Items on other declaration(s) (3 items)</t>
        </is>
      </c>
      <c r="K35" s="21" t="n"/>
      <c r="L35" s="21" t="n"/>
      <c r="M35" s="21" t="n"/>
      <c r="N35" s="21" t="n"/>
      <c r="O35" s="21" t="n"/>
      <c r="P35" s="22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1" t="n"/>
      <c r="B36" s="21" t="n"/>
      <c r="C36" s="21" t="n"/>
      <c r="D36" s="21" t="n"/>
      <c r="E36" s="21" t="inlineStr">
        <is>
          <t>Footwear</t>
        </is>
      </c>
      <c r="F36" s="21" t="inlineStr">
        <is>
          <t>64041990</t>
        </is>
      </c>
      <c r="G36" s="21" t="n"/>
      <c r="H36" s="21" t="n"/>
      <c r="I36" s="21" t="n"/>
      <c r="J36" s="21" t="inlineStr">
        <is>
          <t>Lightweight Non-Slip Women's Knitted Loafers for Casual Walking 7.5 / Black (1 items)</t>
        </is>
      </c>
      <c r="K36" s="21" t="n">
        <v>1</v>
      </c>
      <c r="L36" s="21" t="n"/>
      <c r="M36" s="21" t="n"/>
      <c r="N36" s="21" t="inlineStr">
        <is>
          <t>USD</t>
        </is>
      </c>
      <c r="O36" s="22" t="n">
        <v>7.99</v>
      </c>
      <c r="P36" s="22" t="n">
        <v>7.99</v>
      </c>
      <c r="Q36" s="22" t="n"/>
      <c r="R36" s="22" t="n"/>
      <c r="S36" s="22" t="n"/>
      <c r="T36" s="22" t="n"/>
      <c r="U36" s="22" t="n"/>
      <c r="V36" s="22" t="n"/>
      <c r="W36" s="22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TEMU-2</t>
        </is>
      </c>
      <c r="J37" s="23" t="inlineStr">
        <is>
          <t>Lightweight Non-Slip Women's Knitted Loafers for Casual Walking 7.5 / Black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7.99</v>
      </c>
      <c r="P37" s="24" t="n">
        <v>7.99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1" t="n"/>
      <c r="B38" s="21" t="n"/>
      <c r="C38" s="21" t="n"/>
      <c r="D38" s="21" t="n"/>
      <c r="E38" s="21" t="inlineStr">
        <is>
          <t>MARINE ELECTRONICS</t>
        </is>
      </c>
      <c r="F38" s="21" t="inlineStr">
        <is>
          <t>85176200</t>
        </is>
      </c>
      <c r="G38" s="21" t="n"/>
      <c r="H38" s="21" t="n"/>
      <c r="I38" s="21" t="n"/>
      <c r="J38" s="21" t="inlineStr">
        <is>
          <t>Smart Watch With Wireless Calling/Dialing, Multiple Sports Modes, Fitness Tracker, Customizable Wallpaper, Compatible With iPhone/Android, Sporty Smartwatch With Health Monitoring Black (1 items)</t>
        </is>
      </c>
      <c r="K38" s="21" t="n">
        <v>1</v>
      </c>
      <c r="L38" s="21" t="n"/>
      <c r="M38" s="21" t="n"/>
      <c r="N38" s="21" t="inlineStr">
        <is>
          <t>USD</t>
        </is>
      </c>
      <c r="O38" s="22" t="n">
        <v>7.47</v>
      </c>
      <c r="P38" s="22" t="n">
        <v>7.47</v>
      </c>
      <c r="Q38" s="22" t="n"/>
      <c r="R38" s="22" t="n"/>
      <c r="S38" s="22" t="n"/>
      <c r="T38" s="22" t="n"/>
      <c r="U38" s="22" t="n"/>
      <c r="V38" s="22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TEMU-4</t>
        </is>
      </c>
      <c r="J39" s="23" t="inlineStr">
        <is>
          <t>Smart Watch With Wireless Calling/Dialing, Multiple Sports Modes, Fitness Tracker, Customizable Wallpaper, Compatible With iPhone/Android, Sporty Smartwatch With Health Monitoring Black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7.47</v>
      </c>
      <c r="P39" s="24" t="n">
        <v>7.47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1" t="n"/>
      <c r="B40" s="21" t="n"/>
      <c r="C40" s="21" t="n"/>
      <c r="D40" s="21" t="n"/>
      <c r="E40" s="21" t="inlineStr">
        <is>
          <t>Clocks and watches</t>
        </is>
      </c>
      <c r="F40" s="21" t="inlineStr">
        <is>
          <t>91021100</t>
        </is>
      </c>
      <c r="G40" s="21" t="n"/>
      <c r="H40" s="21" t="n"/>
      <c r="I40" s="21" t="n"/>
      <c r="J40" s="21" t="inlineStr">
        <is>
          <t>Elegant Adjustable Rhinestone Bracelet Quartz Watch, Fashionable Luxury Style, Versatile, Women's Accessory Golden (1 items)</t>
        </is>
      </c>
      <c r="K40" s="21" t="n">
        <v>1</v>
      </c>
      <c r="L40" s="21" t="n"/>
      <c r="M40" s="21" t="n"/>
      <c r="N40" s="21" t="inlineStr">
        <is>
          <t>USD</t>
        </is>
      </c>
      <c r="O40" s="22" t="n">
        <v>2.33</v>
      </c>
      <c r="P40" s="22" t="n">
        <v>2.33</v>
      </c>
      <c r="Q40" s="22" t="n"/>
      <c r="R40" s="22" t="n"/>
      <c r="S40" s="22" t="n"/>
      <c r="T40" s="22" t="n"/>
      <c r="U40" s="22" t="n"/>
      <c r="V40" s="22" t="n"/>
      <c r="W40" s="22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inlineStr">
        <is>
          <t>TEMU-6</t>
        </is>
      </c>
      <c r="J41" s="23" t="inlineStr">
        <is>
          <t>Elegant Adjustable Rhinestone Bracelet Quartz Watch, Fashionable Luxury Style, Versatile, Women's Accessory Golden</t>
        </is>
      </c>
      <c r="K41" s="23" t="n">
        <v>1</v>
      </c>
      <c r="L41" s="23" t="n"/>
      <c r="M41" s="23" t="n"/>
      <c r="N41" s="23" t="inlineStr">
        <is>
          <t>USD</t>
        </is>
      </c>
      <c r="O41" s="24" t="n">
        <v>2.33</v>
      </c>
      <c r="P41" s="24" t="n">
        <v>2.33</v>
      </c>
      <c r="Q41" s="24" t="n"/>
      <c r="R41" s="24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SUBTOTAL</t>
        </is>
      </c>
      <c r="K42" s="25" t="n"/>
      <c r="L42" s="25" t="n"/>
      <c r="M42" s="25" t="n"/>
      <c r="N42" s="25" t="n"/>
      <c r="O42" s="25" t="n"/>
      <c r="P42" s="26" t="n">
        <v>17.79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COMBINED ITEMS TOTAL</t>
        </is>
      </c>
      <c r="K44" s="25" t="n"/>
      <c r="L44" s="25" t="n"/>
      <c r="M44" s="25" t="n"/>
      <c r="N44" s="25" t="n"/>
      <c r="O44" s="25" t="n"/>
      <c r="P44" s="26">
        <f>P7+P42</f>
        <v/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FULL INVOICE FREIGHT</t>
        </is>
      </c>
      <c r="K45" s="25" t="n"/>
      <c r="L45" s="25" t="n"/>
      <c r="M45" s="25" t="n"/>
      <c r="N45" s="25" t="n"/>
      <c r="O45" s="25" t="n"/>
      <c r="P45" s="26">
        <f>P11/P7*P44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FULL INVOICE INSURANCE</t>
        </is>
      </c>
      <c r="K46" s="25" t="n"/>
      <c r="L46" s="25" t="n"/>
      <c r="M46" s="25" t="n"/>
      <c r="N46" s="25" t="n"/>
      <c r="O46" s="25" t="n"/>
      <c r="P46" s="26">
        <f>P12/P7*P44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FULL INVOICE OTHER COST</t>
        </is>
      </c>
      <c r="K47" s="25" t="n"/>
      <c r="L47" s="25" t="n"/>
      <c r="M47" s="25" t="n"/>
      <c r="N47" s="25" t="n"/>
      <c r="O47" s="25" t="n"/>
      <c r="P47" s="26">
        <f>P13/P7*P44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FULL INVOICE DEDUCTION</t>
        </is>
      </c>
      <c r="K48" s="25" t="n"/>
      <c r="L48" s="25" t="n"/>
      <c r="M48" s="25" t="n"/>
      <c r="N48" s="25" t="n"/>
      <c r="O48" s="25" t="n"/>
      <c r="P48" s="26">
        <f>P14/P7*P44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ADJUSTMENTS</t>
        </is>
      </c>
      <c r="K49" s="25" t="n"/>
      <c r="L49" s="25" t="n"/>
      <c r="M49" s="25" t="n"/>
      <c r="N49" s="25" t="n"/>
      <c r="O49" s="25" t="n"/>
      <c r="P49" s="26">
        <f>P45+P46+P47-P48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COMBINED NET TOTAL</t>
        </is>
      </c>
      <c r="K50" s="25" t="n"/>
      <c r="L50" s="25" t="n"/>
      <c r="M50" s="25" t="n"/>
      <c r="N50" s="25" t="n"/>
      <c r="O50" s="25" t="n"/>
      <c r="P50" s="26">
        <f>P44+P49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TOTAL</t>
        </is>
      </c>
      <c r="K51" s="25" t="n"/>
      <c r="L51" s="25" t="n"/>
      <c r="M51" s="25" t="n"/>
      <c r="N51" s="25" t="n"/>
      <c r="O51" s="25" t="n"/>
      <c r="P51" s="26" t="n">
        <v>36.14</v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COMBINED VARIANCE CHECK</t>
        </is>
      </c>
      <c r="K52" s="25" t="n"/>
      <c r="L52" s="25" t="n"/>
      <c r="M52" s="25" t="n"/>
      <c r="N52" s="25" t="n"/>
      <c r="O52" s="25" t="n"/>
      <c r="P52" s="26">
        <f>P51-P50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2026-04-25T20:28:51Z</dcterms:created>
  <dcterms:modified xsi:type="dcterms:W3CDTF">2026-04-25T20:28:51Z</dcterms:modified>
</cp:coreProperties>
</file>