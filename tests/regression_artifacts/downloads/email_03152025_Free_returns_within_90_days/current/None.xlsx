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03152025_Free_returns_within_90_days_Invoice_1</t>
        </is>
      </c>
      <c r="D2" s="2" t="inlineStr"/>
      <c r="E2" s="2" t="inlineStr">
        <is>
          <t>Footwear</t>
        </is>
      </c>
      <c r="F2" s="2" t="inlineStr">
        <is>
          <t>64041990</t>
        </is>
      </c>
      <c r="G2" s="2" t="inlineStr"/>
      <c r="H2" s="2" t="inlineStr"/>
      <c r="I2" s="2" t="inlineStr">
        <is>
          <t>64041990</t>
        </is>
      </c>
      <c r="J2" s="2" t="inlineStr">
        <is>
          <t>Lightweight Non-Slip Women's Knitted Loafers for Casual Walking 7.5 / Black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7.99</v>
      </c>
      <c r="P2" s="3" t="n">
        <v>7.99</v>
      </c>
      <c r="Q2" s="3">
        <f>O2*K2</f>
        <v/>
      </c>
      <c r="R2" s="3">
        <f>P2-Q2</f>
        <v/>
      </c>
      <c r="S2" s="3" t="n">
        <v>17.79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64041990</t>
        </is>
      </c>
    </row>
    <row r="3">
      <c r="A3" s="4" t="n"/>
      <c r="B3" s="4" t="n"/>
      <c r="C3" s="4" t="n"/>
      <c r="D3" s="4" t="n"/>
      <c r="E3" s="4" t="n"/>
      <c r="F3" s="4" t="inlineStr">
        <is>
          <t>64041990</t>
        </is>
      </c>
      <c r="G3" s="4" t="n"/>
      <c r="H3" s="4" t="n"/>
      <c r="I3" s="4" t="inlineStr">
        <is>
          <t>TEMU-2</t>
        </is>
      </c>
      <c r="J3" s="4" t="inlineStr">
        <is>
          <t>Lightweight Non-Slip Women's Knitted Loafers for Casual Walking 7.5 / Black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7.99</v>
      </c>
      <c r="P3" s="5" t="n">
        <v>7.99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03152025_Free_returns_within_90_days_Invoice_1</t>
        </is>
      </c>
      <c r="D4" s="2" t="inlineStr"/>
      <c r="E4" s="2" t="inlineStr">
        <is>
          <t>MARINE ELECTRONICS</t>
        </is>
      </c>
      <c r="F4" s="2" t="inlineStr">
        <is>
          <t>85176200</t>
        </is>
      </c>
      <c r="G4" s="2" t="inlineStr"/>
      <c r="H4" s="2" t="inlineStr"/>
      <c r="I4" s="2" t="inlineStr">
        <is>
          <t>85176200</t>
        </is>
      </c>
      <c r="J4" s="2" t="inlineStr">
        <is>
          <t>Smart Watch With Wireless Calling/Dialing, Multiple Sports Modes, Fitness Tracker, Customizable Wallpaper, Compatible With iPhone/Android, Sporty Smartwatch With Health Monitoring Black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7.47</v>
      </c>
      <c r="P4" s="3" t="n">
        <v>7.47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85176200</t>
        </is>
      </c>
    </row>
    <row r="5">
      <c r="A5" s="4" t="n"/>
      <c r="B5" s="4" t="n"/>
      <c r="C5" s="4" t="n"/>
      <c r="D5" s="4" t="n"/>
      <c r="E5" s="4" t="n"/>
      <c r="F5" s="4" t="inlineStr">
        <is>
          <t>85176200</t>
        </is>
      </c>
      <c r="G5" s="4" t="n"/>
      <c r="H5" s="4" t="n"/>
      <c r="I5" s="4" t="inlineStr">
        <is>
          <t>TEMU-4</t>
        </is>
      </c>
      <c r="J5" s="4" t="inlineStr">
        <is>
          <t>Smart Watch With Wireless Calling/Dialing, Multiple Sports Modes, Fitness Tracker, Customizable Wallpaper, Compatible With iPhone/Android, Sporty Smartwatch With Health Monitoring Black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7.47</v>
      </c>
      <c r="P5" s="5" t="n">
        <v>7.47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03152025_Free_returns_within_90_days_Invoice_1</t>
        </is>
      </c>
      <c r="D6" s="2" t="inlineStr"/>
      <c r="E6" s="2" t="inlineStr">
        <is>
          <t>Clocks and watches</t>
        </is>
      </c>
      <c r="F6" s="2" t="inlineStr">
        <is>
          <t>91021100</t>
        </is>
      </c>
      <c r="G6" s="2" t="inlineStr"/>
      <c r="H6" s="2" t="inlineStr"/>
      <c r="I6" s="2" t="inlineStr">
        <is>
          <t>91021100</t>
        </is>
      </c>
      <c r="J6" s="2" t="inlineStr">
        <is>
          <t>Elegant Adjustable Rhinestone Bracelet Quartz Watch, Fashionable Luxury Style, Versatile, Women's Accessory Golden (1 items)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2.33</v>
      </c>
      <c r="P6" s="3" t="n">
        <v>2.33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91021100</t>
        </is>
      </c>
    </row>
    <row r="7">
      <c r="A7" s="4" t="n"/>
      <c r="B7" s="4" t="n"/>
      <c r="C7" s="4" t="n"/>
      <c r="D7" s="4" t="n"/>
      <c r="E7" s="4" t="n"/>
      <c r="F7" s="4" t="inlineStr">
        <is>
          <t>91021100</t>
        </is>
      </c>
      <c r="G7" s="4" t="n"/>
      <c r="H7" s="4" t="n"/>
      <c r="I7" s="4" t="inlineStr">
        <is>
          <t>TEMU-6</t>
        </is>
      </c>
      <c r="J7" s="4" t="inlineStr">
        <is>
          <t>Elegant Adjustable Rhinestone Bracelet Quartz Watch, Fashionable Luxury Style, Versatile, Women's Accessory Golden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2.33</v>
      </c>
      <c r="P7" s="5" t="n">
        <v>2.33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P2+P4+P6</f>
        <v/>
      </c>
      <c r="Q8" s="7">
        <f>Q2+Q4+Q6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inlineStr">
        <is>
          <t>INVOICE NOTES: Invoice total uncertain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/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inlineStr">
        <is>
          <t>DUTY ESTIMATION (Classification Cross-Check)</t>
        </is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CIF (USD) = InvTotal + Freight + Insurance</t>
        </is>
      </c>
      <c r="K26" s="15" t="n"/>
      <c r="L26" s="15" t="n"/>
      <c r="M26" s="15" t="n"/>
      <c r="N26" s="15" t="n"/>
      <c r="O26" s="15" t="n"/>
      <c r="P26" s="17" t="n">
        <v>17.79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CIF (XCD) = CIF × 2.7169</t>
        </is>
      </c>
      <c r="K27" s="15" t="n"/>
      <c r="L27" s="15" t="n"/>
      <c r="M27" s="15" t="n"/>
      <c r="N27" s="15" t="n"/>
      <c r="O27" s="15" t="n"/>
      <c r="P27" s="17" t="n">
        <v>48.33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CET (weighted avg 20.0%)</t>
        </is>
      </c>
      <c r="K28" s="15" t="n"/>
      <c r="L28" s="15" t="n"/>
      <c r="M28" s="15" t="n"/>
      <c r="N28" s="15" t="n"/>
      <c r="O28" s="15" t="n"/>
      <c r="P28" s="17" t="n">
        <v>9.67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 xml:space="preserve">  └ 64041990: 20% CET (45% of value)</t>
        </is>
      </c>
      <c r="K29" s="15" t="n"/>
      <c r="L29" s="15" t="n"/>
      <c r="M29" s="15" t="n"/>
      <c r="N29" s="15" t="n"/>
      <c r="O29" s="15" t="n"/>
      <c r="P29" s="17" t="n">
        <v>4.34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 xml:space="preserve">  └ 85176200: 20% CET (42% of value)</t>
        </is>
      </c>
      <c r="K30" s="15" t="n"/>
      <c r="L30" s="15" t="n"/>
      <c r="M30" s="15" t="n"/>
      <c r="N30" s="15" t="n"/>
      <c r="O30" s="15" t="n"/>
      <c r="P30" s="17" t="n">
        <v>4.06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 xml:space="preserve">  └ 91021100: 20% CET (13% of value)</t>
        </is>
      </c>
      <c r="K31" s="15" t="n"/>
      <c r="L31" s="15" t="n"/>
      <c r="M31" s="15" t="n"/>
      <c r="N31" s="15" t="n"/>
      <c r="O31" s="15" t="n"/>
      <c r="P31" s="17" t="n">
        <v>1.27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>CSC (6%)</t>
        </is>
      </c>
      <c r="K32" s="15" t="n"/>
      <c r="L32" s="15" t="n"/>
      <c r="M32" s="15" t="n"/>
      <c r="N32" s="15" t="n"/>
      <c r="O32" s="15" t="n"/>
      <c r="P32" s="17" t="n">
        <v>2.9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VAT (15%) on CIF+CET+CSC</t>
        </is>
      </c>
      <c r="K33" s="15" t="n"/>
      <c r="L33" s="15" t="n"/>
      <c r="M33" s="15" t="n"/>
      <c r="N33" s="15" t="n"/>
      <c r="O33" s="15" t="n"/>
      <c r="P33" s="17" t="n">
        <v>9.130000000000001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4" t="inlineStr">
        <is>
          <t>ESTIMATED TOTAL DUTIES</t>
        </is>
      </c>
      <c r="K34" s="18" t="n"/>
      <c r="L34" s="18" t="n"/>
      <c r="M34" s="18" t="n"/>
      <c r="N34" s="18" t="n"/>
      <c r="O34" s="18" t="n"/>
      <c r="P34" s="19" t="n">
        <v>21.7</v>
      </c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Effective Duty Rate</t>
        </is>
      </c>
      <c r="K35" s="15" t="n"/>
      <c r="L35" s="15" t="n"/>
      <c r="M35" s="15" t="n"/>
      <c r="N35" s="15" t="n"/>
      <c r="O35" s="15" t="n"/>
      <c r="P35" s="20" t="n">
        <v>0.4489964825160356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CLIENT DECLARED DUTIES</t>
        </is>
      </c>
      <c r="K36" s="15" t="n"/>
      <c r="L36" s="15" t="n"/>
      <c r="M36" s="15" t="n"/>
      <c r="N36" s="15" t="n"/>
      <c r="O36" s="15" t="n"/>
      <c r="P36" s="17" t="n">
        <v>2024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21" t="inlineStr">
        <is>
          <t>DUTY VARIANCE (Client − Estimated)</t>
        </is>
      </c>
      <c r="K37" s="15" t="n"/>
      <c r="L37" s="15" t="n"/>
      <c r="M37" s="15" t="n"/>
      <c r="N37" s="15" t="n"/>
      <c r="O37" s="15" t="n"/>
      <c r="P37" s="22" t="n">
        <v>2002.3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inlineStr">
        <is>
          <t>IMPLIED CIF (from declared duty @ 20% CET, XCD)</t>
        </is>
      </c>
      <c r="K38" s="15" t="n"/>
      <c r="L38" s="15" t="n"/>
      <c r="M38" s="15" t="n"/>
      <c r="N38" s="15" t="n"/>
      <c r="O38" s="15" t="n"/>
      <c r="P38" s="17" t="n">
        <v>4507.8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>IMPLIED ITEMS VALUE (USD, net of freight/insurance)</t>
        </is>
      </c>
      <c r="K39" s="15" t="n"/>
      <c r="L39" s="15" t="n"/>
      <c r="M39" s="15" t="n"/>
      <c r="N39" s="15" t="n"/>
      <c r="O39" s="15" t="n"/>
      <c r="P39" s="17" t="n">
        <v>1659.17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21" t="inlineStr">
        <is>
          <t>⚠ ITEM ALLOCATION CHECK: actual $17.79 USD vs implied $1,659.17 USD — UNDER-ALLOCATED (items from another waybill may belong here)</t>
        </is>
      </c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/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inlineStr">
        <is>
          <t>Items on other declaration(s) (3 items)</t>
        </is>
      </c>
      <c r="K42" s="23" t="n"/>
      <c r="L42" s="23" t="n"/>
      <c r="M42" s="23" t="n"/>
      <c r="N42" s="23" t="n"/>
      <c r="O42" s="23" t="n"/>
      <c r="P42" s="24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>
      <c r="A43" s="23" t="n"/>
      <c r="B43" s="23" t="n"/>
      <c r="C43" s="23" t="n"/>
      <c r="D43" s="23" t="n"/>
      <c r="E43" s="23" t="inlineStr">
        <is>
          <t>IMITATION JEWELRY</t>
        </is>
      </c>
      <c r="F43" s="23" t="inlineStr">
        <is>
          <t>71171900</t>
        </is>
      </c>
      <c r="G43" s="23" t="n"/>
      <c r="H43" s="23" t="n"/>
      <c r="I43" s="23" t="n"/>
      <c r="J43" s="23" t="inlineStr">
        <is>
          <t>Item details (8) 2pcs Simple Stainless Steel Bracelet Necklace Set For Men Silvery (+1 more) (2 items)</t>
        </is>
      </c>
      <c r="K43" s="23" t="n">
        <v>2</v>
      </c>
      <c r="L43" s="23" t="n"/>
      <c r="M43" s="23" t="n"/>
      <c r="N43" s="23" t="inlineStr">
        <is>
          <t>USD</t>
        </is>
      </c>
      <c r="O43" s="24" t="n">
        <v>2.685</v>
      </c>
      <c r="P43" s="24" t="n">
        <v>5.37</v>
      </c>
      <c r="Q43" s="24" t="n"/>
      <c r="R43" s="24" t="n"/>
      <c r="S43" s="24" t="n"/>
      <c r="T43" s="24" t="n"/>
      <c r="U43" s="24" t="n"/>
      <c r="V43" s="24" t="n"/>
      <c r="W43" s="24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inlineStr">
        <is>
          <t>TEMU-1</t>
        </is>
      </c>
      <c r="J44" s="25" t="inlineStr">
        <is>
          <t>Item details (8) 2pcs Simple Stainless Steel Bracelet Necklace Set For Men Silvery</t>
        </is>
      </c>
      <c r="K44" s="25" t="n">
        <v>1</v>
      </c>
      <c r="L44" s="25" t="n"/>
      <c r="M44" s="25" t="n"/>
      <c r="N44" s="25" t="inlineStr">
        <is>
          <t>USD</t>
        </is>
      </c>
      <c r="O44" s="26" t="n">
        <v>1.98</v>
      </c>
      <c r="P44" s="26" t="n">
        <v>1.98</v>
      </c>
      <c r="Q44" s="26" t="n"/>
      <c r="R44" s="26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inlineStr">
        <is>
          <t>TEMU-5</t>
        </is>
      </c>
      <c r="J45" s="25" t="inlineStr">
        <is>
          <t>Exaggerated Design Earrings and Necklace Set for Party Outfits - Stand Out and Be the Most Special One at Any Party Female / Exquisite</t>
        </is>
      </c>
      <c r="K45" s="25" t="n">
        <v>1</v>
      </c>
      <c r="L45" s="25" t="n"/>
      <c r="M45" s="25" t="n"/>
      <c r="N45" s="25" t="inlineStr">
        <is>
          <t>USD</t>
        </is>
      </c>
      <c r="O45" s="26" t="n">
        <v>3.39</v>
      </c>
      <c r="P45" s="26" t="n">
        <v>3.39</v>
      </c>
      <c r="Q45" s="26" t="n"/>
      <c r="R45" s="26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3" t="n"/>
      <c r="B46" s="23" t="n"/>
      <c r="C46" s="23" t="n"/>
      <c r="D46" s="23" t="n"/>
      <c r="E46" s="23" t="inlineStr">
        <is>
          <t>SIGNALING EQUIPMENT</t>
        </is>
      </c>
      <c r="F46" s="23" t="inlineStr">
        <is>
          <t>85319000</t>
        </is>
      </c>
      <c r="G46" s="23" t="n"/>
      <c r="H46" s="23" t="n"/>
      <c r="I46" s="23" t="n"/>
      <c r="J46" s="23" t="inlineStr">
        <is>
          <t>Waterproof LED Solar Lamp Bulb for Outdoor Hiking, Fishing, and Emergency Lighting 7w With Solar Panel (1 items)</t>
        </is>
      </c>
      <c r="K46" s="23" t="n">
        <v>1</v>
      </c>
      <c r="L46" s="23" t="n"/>
      <c r="M46" s="23" t="n"/>
      <c r="N46" s="23" t="inlineStr">
        <is>
          <t>USD</t>
        </is>
      </c>
      <c r="O46" s="24" t="n">
        <v>5.98</v>
      </c>
      <c r="P46" s="24" t="n">
        <v>5.98</v>
      </c>
      <c r="Q46" s="24" t="n"/>
      <c r="R46" s="24" t="n"/>
      <c r="S46" s="24" t="n"/>
      <c r="T46" s="24" t="n"/>
      <c r="U46" s="24" t="n"/>
      <c r="V46" s="24" t="n"/>
      <c r="W46" s="24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inlineStr">
        <is>
          <t>TEMU-3</t>
        </is>
      </c>
      <c r="J47" s="25" t="inlineStr">
        <is>
          <t>Waterproof LED Solar Lamp Bulb for Outdoor Hiking, Fishing, and Emergency Lighting 7w With Solar Panel</t>
        </is>
      </c>
      <c r="K47" s="25" t="n">
        <v>1</v>
      </c>
      <c r="L47" s="25" t="n"/>
      <c r="M47" s="25" t="n"/>
      <c r="N47" s="25" t="inlineStr">
        <is>
          <t>USD</t>
        </is>
      </c>
      <c r="O47" s="26" t="n">
        <v>5.98</v>
      </c>
      <c r="P47" s="26" t="n">
        <v>5.98</v>
      </c>
      <c r="Q47" s="26" t="n"/>
      <c r="R47" s="26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inlineStr">
        <is>
          <t>REFERENCE SUBTOTAL</t>
        </is>
      </c>
      <c r="K48" s="27" t="n"/>
      <c r="L48" s="27" t="n"/>
      <c r="M48" s="27" t="n"/>
      <c r="N48" s="27" t="n"/>
      <c r="O48" s="27" t="n"/>
      <c r="P48" s="28" t="n">
        <v>11.35</v>
      </c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inlineStr">
        <is>
          <t>REFERENCE FREIGHT</t>
        </is>
      </c>
      <c r="K49" s="27" t="n"/>
      <c r="L49" s="27" t="n"/>
      <c r="M49" s="27" t="n"/>
      <c r="N49" s="27" t="n"/>
      <c r="O49" s="27" t="n"/>
      <c r="P49" s="28" t="n">
        <v>7</v>
      </c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inlineStr">
        <is>
          <t>REFERENCE INSURANCE</t>
        </is>
      </c>
      <c r="K50" s="27" t="n"/>
      <c r="L50" s="27" t="n"/>
      <c r="M50" s="27" t="n"/>
      <c r="N50" s="27" t="n"/>
      <c r="O50" s="27" t="n"/>
      <c r="P50" s="28" t="n">
        <v>0</v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inlineStr">
        <is>
          <t>REFERENCE OTHER COST</t>
        </is>
      </c>
      <c r="K51" s="27" t="n"/>
      <c r="L51" s="27" t="n"/>
      <c r="M51" s="27" t="n"/>
      <c r="N51" s="27" t="n"/>
      <c r="O51" s="27" t="n"/>
      <c r="P51" s="28" t="n">
        <v>0</v>
      </c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inlineStr">
        <is>
          <t>REFERENCE DEDUCTION</t>
        </is>
      </c>
      <c r="K52" s="27" t="n"/>
      <c r="L52" s="27" t="n"/>
      <c r="M52" s="27" t="n"/>
      <c r="N52" s="27" t="n"/>
      <c r="O52" s="27" t="n"/>
      <c r="P52" s="28" t="n">
        <v>0</v>
      </c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REFERENCE ADJUSTMENTS</t>
        </is>
      </c>
      <c r="K53" s="27" t="n"/>
      <c r="L53" s="27" t="n"/>
      <c r="M53" s="27" t="n"/>
      <c r="N53" s="27" t="n"/>
      <c r="O53" s="27" t="n"/>
      <c r="P53" s="28">
        <f>P49+P50+P51-P52</f>
        <v/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REFERENCE NET TOTAL</t>
        </is>
      </c>
      <c r="K54" s="27" t="n"/>
      <c r="L54" s="27" t="n"/>
      <c r="M54" s="27" t="n"/>
      <c r="N54" s="27" t="n"/>
      <c r="O54" s="27" t="n"/>
      <c r="P54" s="28">
        <f>P48+P53</f>
        <v/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COMBINED ITEMS TOTAL</t>
        </is>
      </c>
      <c r="K56" s="27" t="n"/>
      <c r="L56" s="27" t="n"/>
      <c r="M56" s="27" t="n"/>
      <c r="N56" s="27" t="n"/>
      <c r="O56" s="27" t="n"/>
      <c r="P56" s="28">
        <f>P8+P48</f>
        <v/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inlineStr">
        <is>
          <t>FULL INVOICE FREIGHT</t>
        </is>
      </c>
      <c r="K57" s="27" t="n"/>
      <c r="L57" s="27" t="n"/>
      <c r="M57" s="27" t="n"/>
      <c r="N57" s="27" t="n"/>
      <c r="O57" s="27" t="n"/>
      <c r="P57" s="28">
        <f>P12+P49</f>
        <v/>
      </c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inlineStr">
        <is>
          <t>FULL INVOICE INSURANCE</t>
        </is>
      </c>
      <c r="K58" s="27" t="n"/>
      <c r="L58" s="27" t="n"/>
      <c r="M58" s="27" t="n"/>
      <c r="N58" s="27" t="n"/>
      <c r="O58" s="27" t="n"/>
      <c r="P58" s="28">
        <f>P13+P50</f>
        <v/>
      </c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inlineStr">
        <is>
          <t>FULL INVOICE OTHER COST</t>
        </is>
      </c>
      <c r="K59" s="27" t="n"/>
      <c r="L59" s="27" t="n"/>
      <c r="M59" s="27" t="n"/>
      <c r="N59" s="27" t="n"/>
      <c r="O59" s="27" t="n"/>
      <c r="P59" s="28">
        <f>P14+P51</f>
        <v/>
      </c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inlineStr">
        <is>
          <t>FULL INVOICE DEDUCTION</t>
        </is>
      </c>
      <c r="K60" s="27" t="n"/>
      <c r="L60" s="27" t="n"/>
      <c r="M60" s="27" t="n"/>
      <c r="N60" s="27" t="n"/>
      <c r="O60" s="27" t="n"/>
      <c r="P60" s="28">
        <f>P15+P52</f>
        <v/>
      </c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inlineStr">
        <is>
          <t>FULL ADJUSTMENTS</t>
        </is>
      </c>
      <c r="K61" s="27" t="n"/>
      <c r="L61" s="27" t="n"/>
      <c r="M61" s="27" t="n"/>
      <c r="N61" s="27" t="n"/>
      <c r="O61" s="27" t="n"/>
      <c r="P61" s="28">
        <f>P57+P58+P59-P60</f>
        <v/>
      </c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inlineStr">
        <is>
          <t>COMBINED NET TOTAL</t>
        </is>
      </c>
      <c r="K62" s="27" t="n"/>
      <c r="L62" s="27" t="n"/>
      <c r="M62" s="27" t="n"/>
      <c r="N62" s="27" t="n"/>
      <c r="O62" s="27" t="n"/>
      <c r="P62" s="28">
        <f>P56+P61</f>
        <v/>
      </c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inlineStr">
        <is>
          <t>FULL INVOICE TOTAL</t>
        </is>
      </c>
      <c r="K63" s="27" t="n"/>
      <c r="L63" s="27" t="n"/>
      <c r="M63" s="27" t="n"/>
      <c r="N63" s="27" t="n"/>
      <c r="O63" s="27" t="n"/>
      <c r="P63" s="28" t="n">
        <v>36.14</v>
      </c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inlineStr">
        <is>
          <t>COMBINED VARIANCE CHECK</t>
        </is>
      </c>
      <c r="K64" s="27" t="n"/>
      <c r="L64" s="27" t="n"/>
      <c r="M64" s="27" t="n"/>
      <c r="N64" s="27" t="n"/>
      <c r="O64" s="27" t="n"/>
      <c r="P64" s="28">
        <f>P63-P62</f>
        <v/>
      </c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2026-04-25T20:28:51Z</dcterms:created>
  <dcterms:modified xsi:type="dcterms:W3CDTF">2026-04-25T20:28:51Z</dcterms:modified>
</cp:coreProperties>
</file>