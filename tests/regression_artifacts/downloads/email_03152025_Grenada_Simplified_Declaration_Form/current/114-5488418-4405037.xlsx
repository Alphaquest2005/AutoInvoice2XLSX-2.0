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114-5488418-4405037</t>
        </is>
      </c>
      <c r="D2" s="2" t="inlineStr"/>
      <c r="E2" s="2" t="inlineStr">
        <is>
          <t>Parts</t>
        </is>
      </c>
      <c r="F2" s="2" t="inlineStr">
        <is>
          <t>85177000</t>
        </is>
      </c>
      <c r="G2" s="2" t="inlineStr"/>
      <c r="H2" s="2" t="inlineStr"/>
      <c r="I2" s="2" t="inlineStr">
        <is>
          <t>85177000</t>
        </is>
      </c>
      <c r="J2" s="2" t="inlineStr">
        <is>
          <t>2023 All - New 10 in Tablet Case for Kids ( 2021 / 2023 Release 11 / 13 th Ge...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18.99</v>
      </c>
      <c r="P2" s="3" t="n">
        <v>18.99</v>
      </c>
      <c r="Q2" s="3">
        <f>O2*K2</f>
        <v/>
      </c>
      <c r="R2" s="3">
        <f>P2-Q2</f>
        <v/>
      </c>
      <c r="S2" s="3" t="n">
        <v>234.29</v>
      </c>
      <c r="T2" s="3" t="n">
        <v>0</v>
      </c>
      <c r="U2" s="3" t="n">
        <v>0</v>
      </c>
      <c r="V2" s="3" t="n">
        <v>15.33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85177000</t>
        </is>
      </c>
    </row>
    <row r="3">
      <c r="A3" s="4" t="n"/>
      <c r="B3" s="4" t="n"/>
      <c r="C3" s="4" t="n"/>
      <c r="D3" s="4" t="n"/>
      <c r="E3" s="4" t="n"/>
      <c r="F3" s="4" t="inlineStr">
        <is>
          <t>85177000</t>
        </is>
      </c>
      <c r="G3" s="4" t="n"/>
      <c r="H3" s="4" t="n"/>
      <c r="I3" s="4" t="inlineStr">
        <is>
          <t>AMZ-1</t>
        </is>
      </c>
      <c r="J3" s="4" t="inlineStr">
        <is>
          <t>2023 All - New 10 in Tablet Case for Kids ( 2021 / 2023 Release 11 / 13 th Ge...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18.99</v>
      </c>
      <c r="P3" s="5" t="n">
        <v>18.99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114-5488418-4405037</t>
        </is>
      </c>
      <c r="D4" s="2" t="inlineStr"/>
      <c r="E4" s="2" t="inlineStr">
        <is>
          <t>PRODUCTS</t>
        </is>
      </c>
      <c r="F4" s="2" t="inlineStr">
        <is>
          <t>00000000</t>
        </is>
      </c>
      <c r="G4" s="2" t="inlineStr"/>
      <c r="H4" s="2" t="inlineStr"/>
      <c r="I4" s="2" t="inlineStr">
        <is>
          <t>00000000</t>
        </is>
      </c>
      <c r="J4" s="2" t="inlineStr">
        <is>
          <t>Amazon Fire HD 10 tablet , built for relaxation , 10.1 ° vibrant Full HD scre... (+1 more) (2 items)</t>
        </is>
      </c>
      <c r="K4" s="2" t="n">
        <v>2</v>
      </c>
      <c r="L4" s="2" t="n"/>
      <c r="M4" s="2" t="inlineStr"/>
      <c r="N4" s="2" t="inlineStr">
        <is>
          <t>USD</t>
        </is>
      </c>
      <c r="O4" s="3" t="n">
        <v>72.48999999999999</v>
      </c>
      <c r="P4" s="3" t="n">
        <v>144.98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00000000</t>
        </is>
      </c>
    </row>
    <row r="5">
      <c r="A5" s="4" t="n"/>
      <c r="B5" s="4" t="n"/>
      <c r="C5" s="4" t="n"/>
      <c r="D5" s="4" t="n"/>
      <c r="E5" s="4" t="n"/>
      <c r="F5" s="4" t="inlineStr">
        <is>
          <t>00000000</t>
        </is>
      </c>
      <c r="G5" s="4" t="n"/>
      <c r="H5" s="4" t="n"/>
      <c r="I5" s="4" t="inlineStr">
        <is>
          <t>AMZ-2</t>
        </is>
      </c>
      <c r="J5" s="4" t="inlineStr">
        <is>
          <t>Amazon Fire HD 10 tablet , built for relaxation , 10.1 ° vibrant Full HD scre...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74.98999999999999</v>
      </c>
      <c r="P5" s="5" t="n">
        <v>74.98999999999999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inlineStr">
        <is>
          <t>00000000</t>
        </is>
      </c>
      <c r="G6" s="4" t="n"/>
      <c r="H6" s="4" t="n"/>
      <c r="I6" s="4" t="inlineStr">
        <is>
          <t>AMZ-4</t>
        </is>
      </c>
      <c r="J6" s="4" t="inlineStr">
        <is>
          <t>Amazon Fire HD 8 Kids Pro tablet - 2022 , ages 6 - 128 " HD screen , slim cas...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69.98999999999999</v>
      </c>
      <c r="P6" s="5" t="n">
        <v>69.98999999999999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2" t="n"/>
      <c r="B7" s="2" t="inlineStr"/>
      <c r="C7" s="2" t="inlineStr">
        <is>
          <t>114-5488418-4405037</t>
        </is>
      </c>
      <c r="D7" s="2" t="inlineStr"/>
      <c r="E7" s="2" t="inlineStr">
        <is>
          <t>SIGNALING INSTRUMENTS</t>
        </is>
      </c>
      <c r="F7" s="2" t="inlineStr">
        <is>
          <t>92089000</t>
        </is>
      </c>
      <c r="G7" s="2" t="inlineStr"/>
      <c r="H7" s="2" t="inlineStr"/>
      <c r="I7" s="2" t="inlineStr">
        <is>
          <t>92089000</t>
        </is>
      </c>
      <c r="J7" s="2" t="inlineStr">
        <is>
          <t>Amazon Fire 7 Kids tablet , ages 3 - 7 . Top - selling 7 ° kids tablet on Ama... (1 items)</t>
        </is>
      </c>
      <c r="K7" s="2" t="n">
        <v>1</v>
      </c>
      <c r="L7" s="2" t="n"/>
      <c r="M7" s="2" t="inlineStr"/>
      <c r="N7" s="2" t="inlineStr">
        <is>
          <t>USD</t>
        </is>
      </c>
      <c r="O7" s="3" t="n">
        <v>54.99</v>
      </c>
      <c r="P7" s="3" t="n">
        <v>54.99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92089000</t>
        </is>
      </c>
    </row>
    <row r="8">
      <c r="A8" s="4" t="n"/>
      <c r="B8" s="4" t="n"/>
      <c r="C8" s="4" t="n"/>
      <c r="D8" s="4" t="n"/>
      <c r="E8" s="4" t="n"/>
      <c r="F8" s="4" t="inlineStr">
        <is>
          <t>92089000</t>
        </is>
      </c>
      <c r="G8" s="4" t="n"/>
      <c r="H8" s="4" t="n"/>
      <c r="I8" s="4" t="inlineStr">
        <is>
          <t>AMZ-3</t>
        </is>
      </c>
      <c r="J8" s="4" t="inlineStr">
        <is>
          <t>Amazon Fire 7 Kids tablet , ages 3 - 7 . Top - selling 7 ° kids tablet on Ama...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54.99</v>
      </c>
      <c r="P8" s="5" t="n">
        <v>54.99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SUBTOTAL (GROUPED)</t>
        </is>
      </c>
      <c r="K9" s="6" t="n"/>
      <c r="L9" s="6" t="n"/>
      <c r="M9" s="6" t="n"/>
      <c r="N9" s="6" t="n"/>
      <c r="O9" s="6" t="n"/>
      <c r="P9" s="7">
        <f>P2+P4+P7</f>
        <v/>
      </c>
      <c r="Q9" s="7">
        <f>Q2+Q4+Q7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SUBTOTAL (DETAILS)</t>
        </is>
      </c>
      <c r="K10" s="6" t="n"/>
      <c r="L10" s="6" t="n"/>
      <c r="M10" s="6" t="n"/>
      <c r="N10" s="6" t="n"/>
      <c r="O10" s="6" t="n"/>
      <c r="P10" s="7">
        <f>SUM(P2:P8)-P9</f>
        <v/>
      </c>
      <c r="Q10" s="7">
        <f>SUM(Q2:Q8)-Q9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inlineStr">
        <is>
          <t>GROUP VERIFICATION</t>
        </is>
      </c>
      <c r="K11" s="8" t="n"/>
      <c r="L11" s="8" t="n"/>
      <c r="M11" s="8" t="n"/>
      <c r="N11" s="8" t="n"/>
      <c r="O11" s="8" t="n"/>
      <c r="P11" s="9">
        <f>P9-P10</f>
        <v/>
      </c>
      <c r="Q11" s="9">
        <f>Q9-Q10</f>
        <v/>
      </c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</row>
    <row r="12"/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INTERNAL FREIGHT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INSURANCE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OTHER COST</t>
        </is>
      </c>
      <c r="K15" s="6" t="n"/>
      <c r="L15" s="6" t="n"/>
      <c r="M15" s="6" t="n"/>
      <c r="N15" s="6" t="n"/>
      <c r="O15" s="6" t="n"/>
      <c r="P15" s="7" t="n">
        <v>15.33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TOTAL DEDUCTION</t>
        </is>
      </c>
      <c r="K16" s="6" t="n"/>
      <c r="L16" s="6" t="n"/>
      <c r="M16" s="6" t="n"/>
      <c r="N16" s="6" t="n"/>
      <c r="O16" s="6" t="n"/>
      <c r="P16" s="7" t="n">
        <v>0</v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ADJUSTMENTS</t>
        </is>
      </c>
      <c r="K17" s="6" t="n"/>
      <c r="L17" s="6" t="n"/>
      <c r="M17" s="6" t="n"/>
      <c r="N17" s="6" t="n"/>
      <c r="O17" s="6" t="n"/>
      <c r="P17" s="7">
        <f>(T2+U2+V2-W2)</f>
        <v/>
      </c>
      <c r="Q17" s="7">
        <f>(T2+U2+V2-W2)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NET TOTAL</t>
        </is>
      </c>
      <c r="K19" s="6" t="n"/>
      <c r="L19" s="6" t="n"/>
      <c r="M19" s="6" t="n"/>
      <c r="N19" s="6" t="n"/>
      <c r="O19" s="6" t="n"/>
      <c r="P19" s="7">
        <f>P9+P17</f>
        <v/>
      </c>
      <c r="Q19" s="7">
        <f>Q9+Q17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INVOICE TOTAL</t>
        </is>
      </c>
      <c r="K20" s="6" t="n"/>
      <c r="L20" s="6" t="n"/>
      <c r="M20" s="6" t="n"/>
      <c r="N20" s="6" t="n"/>
      <c r="O20" s="6" t="n"/>
      <c r="P20" s="7">
        <f>S2</f>
        <v/>
      </c>
      <c r="Q20" s="7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/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inlineStr">
        <is>
          <t>VARIANCE CHECK</t>
        </is>
      </c>
      <c r="K22" s="10" t="n"/>
      <c r="L22" s="10" t="n"/>
      <c r="M22" s="10" t="n"/>
      <c r="N22" s="10" t="n"/>
      <c r="O22" s="10" t="n"/>
      <c r="P22" s="11">
        <f>S2-P19</f>
        <v/>
      </c>
      <c r="Q22" s="11">
        <f>S2-Q19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</row>
    <row r="23"/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inlineStr">
        <is>
          <t>DUTY ESTIMATION (Classification Cross-Check)</t>
        </is>
      </c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CIF (USD) = InvTotal + Freight + Insurance</t>
        </is>
      </c>
      <c r="K25" s="13" t="n"/>
      <c r="L25" s="13" t="n"/>
      <c r="M25" s="13" t="n"/>
      <c r="N25" s="13" t="n"/>
      <c r="O25" s="13" t="n"/>
      <c r="P25" s="15" t="n">
        <v>234.29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CIF (XCD) = CIF × 2.7169</t>
        </is>
      </c>
      <c r="K26" s="13" t="n"/>
      <c r="L26" s="13" t="n"/>
      <c r="M26" s="13" t="n"/>
      <c r="N26" s="13" t="n"/>
      <c r="O26" s="13" t="n"/>
      <c r="P26" s="15" t="n">
        <v>636.54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CET (weighted avg 18.7%)</t>
        </is>
      </c>
      <c r="K27" s="13" t="n"/>
      <c r="L27" s="13" t="n"/>
      <c r="M27" s="13" t="n"/>
      <c r="N27" s="13" t="n"/>
      <c r="O27" s="13" t="n"/>
      <c r="P27" s="15" t="n">
        <v>119.03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 xml:space="preserve">  └ 00000000: 20% CET (66% of value)</t>
        </is>
      </c>
      <c r="K28" s="13" t="n"/>
      <c r="L28" s="13" t="n"/>
      <c r="M28" s="13" t="n"/>
      <c r="N28" s="13" t="n"/>
      <c r="O28" s="13" t="n"/>
      <c r="P28" s="15" t="n">
        <v>84.29000000000001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 xml:space="preserve">  └ 85177000: 5% CET (9% of value)</t>
        </is>
      </c>
      <c r="K29" s="13" t="n"/>
      <c r="L29" s="13" t="n"/>
      <c r="M29" s="13" t="n"/>
      <c r="N29" s="13" t="n"/>
      <c r="O29" s="13" t="n"/>
      <c r="P29" s="15" t="n">
        <v>2.76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 xml:space="preserve">  └ 92089000: 20% CET (25% of value)</t>
        </is>
      </c>
      <c r="K30" s="13" t="n"/>
      <c r="L30" s="13" t="n"/>
      <c r="M30" s="13" t="n"/>
      <c r="N30" s="13" t="n"/>
      <c r="O30" s="13" t="n"/>
      <c r="P30" s="15" t="n">
        <v>31.97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CSC (6%)</t>
        </is>
      </c>
      <c r="K31" s="13" t="n"/>
      <c r="L31" s="13" t="n"/>
      <c r="M31" s="13" t="n"/>
      <c r="N31" s="13" t="n"/>
      <c r="O31" s="13" t="n"/>
      <c r="P31" s="15" t="n">
        <v>38.19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VAT (15%) on CIF+CET+CSC</t>
        </is>
      </c>
      <c r="K32" s="13" t="n"/>
      <c r="L32" s="13" t="n"/>
      <c r="M32" s="13" t="n"/>
      <c r="N32" s="13" t="n"/>
      <c r="O32" s="13" t="n"/>
      <c r="P32" s="15" t="n">
        <v>119.06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2" t="inlineStr">
        <is>
          <t>ESTIMATED TOTAL DUTIES</t>
        </is>
      </c>
      <c r="K33" s="16" t="n"/>
      <c r="L33" s="16" t="n"/>
      <c r="M33" s="16" t="n"/>
      <c r="N33" s="16" t="n"/>
      <c r="O33" s="16" t="n"/>
      <c r="P33" s="17" t="n">
        <v>276.28</v>
      </c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inlineStr">
        <is>
          <t>Effective Duty Rate</t>
        </is>
      </c>
      <c r="K34" s="13" t="n"/>
      <c r="L34" s="13" t="n"/>
      <c r="M34" s="13" t="n"/>
      <c r="N34" s="13" t="n"/>
      <c r="O34" s="13" t="n"/>
      <c r="P34" s="18" t="n">
        <v>0.4340339962924561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2026-04-25T22:24:48Z</dcterms:created>
  <dcterms:modified xmlns:dcterms="http://purl.org/dc/terms/" xmlns:xsi="http://www.w3.org/2001/XMLSchema-instance" xsi:type="dcterms:W3CDTF">2026-04-25T22:25:32Z</dcterms:modified>
</cp:coreProperties>
</file>