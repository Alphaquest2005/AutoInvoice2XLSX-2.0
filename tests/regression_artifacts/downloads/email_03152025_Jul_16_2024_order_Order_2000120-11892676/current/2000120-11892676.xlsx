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2000120-11892676</t>
        </is>
      </c>
      <c r="D2" s="2" t="inlineStr">
        <is>
          <t>2024-07-16</t>
        </is>
      </c>
      <c r="E2" s="2" t="inlineStr">
        <is>
          <t>PRODUCTS</t>
        </is>
      </c>
      <c r="F2" s="2" t="inlineStr">
        <is>
          <t>00000000</t>
        </is>
      </c>
      <c r="G2" s="2" t="inlineStr"/>
      <c r="H2" s="2" t="inlineStr"/>
      <c r="I2" s="2" t="inlineStr">
        <is>
          <t>WAL-1</t>
        </is>
      </c>
      <c r="J2" s="2" t="inlineStr">
        <is>
          <t>Walmart Purchase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49.97</v>
      </c>
      <c r="P2" s="3" t="n">
        <v>49.97</v>
      </c>
      <c r="Q2" s="3">
        <f>O2*K2</f>
        <v/>
      </c>
      <c r="R2" s="3">
        <f>P2-Q2</f>
        <v/>
      </c>
      <c r="S2" s="3" t="n">
        <v>50.64</v>
      </c>
      <c r="T2" s="3" t="n">
        <v>0</v>
      </c>
      <c r="U2" s="3" t="n">
        <v>0</v>
      </c>
      <c r="V2" s="3" t="n">
        <v>0.67</v>
      </c>
      <c r="W2" s="3" t="n">
        <v>0</v>
      </c>
      <c r="X2" s="2" t="n">
        <v>1</v>
      </c>
      <c r="Y2" s="2" t="n"/>
      <c r="Z2" s="2" t="inlineStr">
        <is>
          <t>WALMART</t>
        </is>
      </c>
      <c r="AA2" s="2" t="inlineStr">
        <is>
          <t>2000120-11892676</t>
        </is>
      </c>
      <c r="AB2" s="2" t="inlineStr">
        <is>
          <t>702 SW 8th Street, Bentonville, AR 72716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109.64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297.88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00000000</t>
        </is>
      </c>
      <c r="K11" s="7" t="n"/>
      <c r="L11" s="7" t="n"/>
      <c r="M11" s="7" t="n"/>
      <c r="N11" s="7" t="n"/>
      <c r="O11" s="7" t="n"/>
      <c r="P11" s="9" t="n">
        <v>59.58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17.87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56.3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133.75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0.4490063112662817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CLIENT DECLARED DUTIES</t>
        </is>
      </c>
      <c r="K16" s="7" t="n"/>
      <c r="L16" s="7" t="n"/>
      <c r="M16" s="7" t="n"/>
      <c r="N16" s="7" t="n"/>
      <c r="O16" s="7" t="n"/>
      <c r="P16" s="9" t="n">
        <v>137.2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3" t="inlineStr">
        <is>
          <t>DUTY VARIANCE (Client − Estimated)</t>
        </is>
      </c>
      <c r="K17" s="7" t="n"/>
      <c r="L17" s="7" t="n"/>
      <c r="M17" s="7" t="n"/>
      <c r="N17" s="7" t="n"/>
      <c r="O17" s="7" t="n"/>
      <c r="P17" s="14" t="n">
        <v>3.45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IMPLIED CET RATE (from client value)</t>
        </is>
      </c>
      <c r="K18" s="7" t="n"/>
      <c r="L18" s="7" t="n"/>
      <c r="M18" s="7" t="n"/>
      <c r="N18" s="7" t="n"/>
      <c r="O18" s="7" t="n"/>
      <c r="P18" s="12" t="n">
        <v>0.2100766576561323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8" t="inlineStr">
        <is>
          <t>IMPLIED CIF (from declared duty @ 20% CET, XCD)</t>
        </is>
      </c>
      <c r="K19" s="7" t="n"/>
      <c r="L19" s="7" t="n"/>
      <c r="M19" s="7" t="n"/>
      <c r="N19" s="7" t="n"/>
      <c r="O19" s="7" t="n"/>
      <c r="P19" s="9" t="n">
        <v>305.57</v>
      </c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8" t="inlineStr">
        <is>
          <t>IMPLIED ITEMS VALUE (USD, net of freight/insurance)</t>
        </is>
      </c>
      <c r="K20" s="7" t="n"/>
      <c r="L20" s="7" t="n"/>
      <c r="M20" s="7" t="n"/>
      <c r="N20" s="7" t="n"/>
      <c r="O20" s="7" t="n"/>
      <c r="P20" s="9" t="n">
        <v>53.47</v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2026-04-25T22:28:28Z</dcterms:created>
  <dcterms:modified xmlns:dcterms="http://purl.org/dc/terms/" xmlns:xsi="http://www.w3.org/2001/XMLSchema-instance" xsi:type="dcterms:W3CDTF">2026-04-25T22:29:13Z</dcterms:modified>
</cp:coreProperties>
</file>