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06-11830-29458</t>
        </is>
      </c>
      <c r="D2" s="2" t="inlineStr">
        <is>
          <t>2024-07-16</t>
        </is>
      </c>
      <c r="E2" s="2" t="inlineStr">
        <is>
          <t>PRODUCTS</t>
        </is>
      </c>
      <c r="F2" s="2" t="inlineStr">
        <is>
          <t>00000000</t>
        </is>
      </c>
      <c r="G2" s="2" t="inlineStr"/>
      <c r="H2" s="2" t="inlineStr"/>
      <c r="I2" s="2" t="inlineStr">
        <is>
          <t>00000000</t>
        </is>
      </c>
      <c r="J2" s="2" t="inlineStr">
        <is>
          <t>ebay Seller	lucascountycars Whitney Andrew 10813 NW 30th st BLDG 115 GRE 2547... (+2 more) (3 items)</t>
        </is>
      </c>
      <c r="K2" s="2" t="n">
        <v>3</v>
      </c>
      <c r="L2" s="2" t="n"/>
      <c r="M2" s="2" t="inlineStr"/>
      <c r="N2" s="2" t="inlineStr">
        <is>
          <t>USD</t>
        </is>
      </c>
      <c r="O2" s="3" t="n">
        <v>15.24</v>
      </c>
      <c r="P2" s="3" t="n">
        <v>45.72</v>
      </c>
      <c r="Q2" s="3">
        <f>O2*K2</f>
        <v/>
      </c>
      <c r="R2" s="3">
        <f>P2-Q2</f>
        <v/>
      </c>
      <c r="S2" s="3" t="n">
        <v>48.92</v>
      </c>
      <c r="T2" s="3" t="n">
        <v>0</v>
      </c>
      <c r="U2" s="3" t="n">
        <v>0</v>
      </c>
      <c r="V2" s="3" t="n">
        <v>3.2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06-11830-29458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inlineStr">
        <is>
          <t>00000000</t>
        </is>
      </c>
      <c r="G3" s="4" t="n"/>
      <c r="H3" s="4" t="n"/>
      <c r="I3" s="4" t="inlineStr">
        <is>
          <t>EBAY-1</t>
        </is>
      </c>
      <c r="J3" s="4" t="inlineStr">
        <is>
          <t>ebay Seller	lucascountycars Whitney Andrew 10813 NW 30th st BLDG 115 GRE 2547...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5.72</v>
      </c>
      <c r="P3" s="5" t="n">
        <v>5.72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00000000</t>
        </is>
      </c>
      <c r="G4" s="4" t="n"/>
      <c r="H4" s="4" t="n"/>
      <c r="I4" s="4" t="inlineStr">
        <is>
          <t>EBAY-2</t>
        </is>
      </c>
      <c r="J4" s="4" t="inlineStr">
        <is>
          <t>Shipping	Free Tax*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3.2</v>
      </c>
      <c r="P4" s="5" t="n">
        <v>3.2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inlineStr">
        <is>
          <t>00000000</t>
        </is>
      </c>
      <c r="G5" s="4" t="n"/>
      <c r="H5" s="4" t="n"/>
      <c r="I5" s="4" t="inlineStr">
        <is>
          <t>EBAY-3</t>
        </is>
      </c>
      <c r="J5" s="4" t="inlineStr">
        <is>
          <t>*We're required by law to collect sales tax and applicable fees for certain t...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36.8</v>
      </c>
      <c r="P5" s="5" t="n">
        <v>36.8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(GROUPED)</t>
        </is>
      </c>
      <c r="K6" s="6" t="n"/>
      <c r="L6" s="6" t="n"/>
      <c r="M6" s="6" t="n"/>
      <c r="N6" s="6" t="n"/>
      <c r="O6" s="6" t="n"/>
      <c r="P6" s="7">
        <f>P2</f>
        <v/>
      </c>
      <c r="Q6" s="7">
        <f>Q2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(DETAILS)</t>
        </is>
      </c>
      <c r="K7" s="6" t="n"/>
      <c r="L7" s="6" t="n"/>
      <c r="M7" s="6" t="n"/>
      <c r="N7" s="6" t="n"/>
      <c r="O7" s="6" t="n"/>
      <c r="P7" s="7">
        <f>SUM(P2:P5)-P6</f>
        <v/>
      </c>
      <c r="Q7" s="7">
        <f>SUM(Q2:Q5)-Q6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GROUP VERIFICATION</t>
        </is>
      </c>
      <c r="K8" s="8" t="n"/>
      <c r="L8" s="8" t="n"/>
      <c r="M8" s="8" t="n"/>
      <c r="N8" s="8" t="n"/>
      <c r="O8" s="8" t="n"/>
      <c r="P8" s="9">
        <f>P6-P7</f>
        <v/>
      </c>
      <c r="Q8" s="9">
        <f>Q6-Q7</f>
        <v/>
      </c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9"/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INTERNAL FREIGHT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INSURANCE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OTHER COST</t>
        </is>
      </c>
      <c r="K12" s="6" t="n"/>
      <c r="L12" s="6" t="n"/>
      <c r="M12" s="6" t="n"/>
      <c r="N12" s="6" t="n"/>
      <c r="O12" s="6" t="n"/>
      <c r="P12" s="7" t="n">
        <v>3.2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DEDUCTION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ADJUSTMENTS</t>
        </is>
      </c>
      <c r="K14" s="6" t="n"/>
      <c r="L14" s="6" t="n"/>
      <c r="M14" s="6" t="n"/>
      <c r="N14" s="6" t="n"/>
      <c r="O14" s="6" t="n"/>
      <c r="P14" s="7">
        <f>(T2+U2+V2-W2)</f>
        <v/>
      </c>
      <c r="Q14" s="7">
        <f>(T2+U2+V2-W2)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NET TOTAL</t>
        </is>
      </c>
      <c r="K16" s="6" t="n"/>
      <c r="L16" s="6" t="n"/>
      <c r="M16" s="6" t="n"/>
      <c r="N16" s="6" t="n"/>
      <c r="O16" s="6" t="n"/>
      <c r="P16" s="7">
        <f>P6+P14</f>
        <v/>
      </c>
      <c r="Q16" s="7">
        <f>Q6+Q14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INVOICE TOTAL</t>
        </is>
      </c>
      <c r="K17" s="6" t="n"/>
      <c r="L17" s="6" t="n"/>
      <c r="M17" s="6" t="n"/>
      <c r="N17" s="6" t="n"/>
      <c r="O17" s="6" t="n"/>
      <c r="P17" s="7">
        <f>S2</f>
        <v/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/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inlineStr">
        <is>
          <t>VARIANCE CHECK</t>
        </is>
      </c>
      <c r="K19" s="10" t="n"/>
      <c r="L19" s="10" t="n"/>
      <c r="M19" s="10" t="n"/>
      <c r="N19" s="10" t="n"/>
      <c r="O19" s="10" t="n"/>
      <c r="P19" s="11">
        <f>S2-P16</f>
        <v/>
      </c>
      <c r="Q19" s="11">
        <f>S2-Q16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/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inlineStr">
        <is>
          <t>DUTY ESTIMATION (Classification Cross-Check)</t>
        </is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(USD) = InvTotal + Freight + Insurance</t>
        </is>
      </c>
      <c r="K22" s="13" t="n"/>
      <c r="L22" s="13" t="n"/>
      <c r="M22" s="13" t="n"/>
      <c r="N22" s="13" t="n"/>
      <c r="O22" s="13" t="n"/>
      <c r="P22" s="15" t="n">
        <v>61.92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CIF (XCD) = CIF × 2.7169</t>
        </is>
      </c>
      <c r="K23" s="13" t="n"/>
      <c r="L23" s="13" t="n"/>
      <c r="M23" s="13" t="n"/>
      <c r="N23" s="13" t="n"/>
      <c r="O23" s="13" t="n"/>
      <c r="P23" s="15" t="n">
        <v>168.23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CET (20%) — Tariff 00000000</t>
        </is>
      </c>
      <c r="K24" s="13" t="n"/>
      <c r="L24" s="13" t="n"/>
      <c r="M24" s="13" t="n"/>
      <c r="N24" s="13" t="n"/>
      <c r="O24" s="13" t="n"/>
      <c r="P24" s="15" t="n">
        <v>33.65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CSC (6%)</t>
        </is>
      </c>
      <c r="K25" s="13" t="n"/>
      <c r="L25" s="13" t="n"/>
      <c r="M25" s="13" t="n"/>
      <c r="N25" s="13" t="n"/>
      <c r="O25" s="13" t="n"/>
      <c r="P25" s="15" t="n">
        <v>10.09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VAT (15%) on CIF+CET+CSC</t>
        </is>
      </c>
      <c r="K26" s="13" t="n"/>
      <c r="L26" s="13" t="n"/>
      <c r="M26" s="13" t="n"/>
      <c r="N26" s="13" t="n"/>
      <c r="O26" s="13" t="n"/>
      <c r="P26" s="15" t="n">
        <v>31.8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2" t="inlineStr">
        <is>
          <t>ESTIMATED TOTAL DUTIES</t>
        </is>
      </c>
      <c r="K27" s="16" t="n"/>
      <c r="L27" s="16" t="n"/>
      <c r="M27" s="16" t="n"/>
      <c r="N27" s="16" t="n"/>
      <c r="O27" s="16" t="n"/>
      <c r="P27" s="17" t="n">
        <v>75.54000000000001</v>
      </c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Effective Duty Rate</t>
        </is>
      </c>
      <c r="K28" s="13" t="n"/>
      <c r="L28" s="13" t="n"/>
      <c r="M28" s="13" t="n"/>
      <c r="N28" s="13" t="n"/>
      <c r="O28" s="13" t="n"/>
      <c r="P28" s="18" t="n">
        <v>0.4490281162693932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CLIENT DECLARED DUTIES</t>
        </is>
      </c>
      <c r="K29" s="13" t="n"/>
      <c r="L29" s="13" t="n"/>
      <c r="M29" s="13" t="n"/>
      <c r="N29" s="13" t="n"/>
      <c r="O29" s="13" t="n"/>
      <c r="P29" s="15" t="n">
        <v>67.41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9" t="inlineStr">
        <is>
          <t>DUTY VARIANCE (Client − Estimated)</t>
        </is>
      </c>
      <c r="K30" s="13" t="n"/>
      <c r="L30" s="13" t="n"/>
      <c r="M30" s="13" t="n"/>
      <c r="N30" s="13" t="n"/>
      <c r="O30" s="13" t="n"/>
      <c r="P30" s="20" t="n">
        <v>-8.130000000000001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IMPLIED CET RATE (from client value)</t>
        </is>
      </c>
      <c r="K31" s="13" t="n"/>
      <c r="L31" s="13" t="n"/>
      <c r="M31" s="13" t="n"/>
      <c r="N31" s="13" t="n"/>
      <c r="O31" s="13" t="n"/>
      <c r="P31" s="18" t="n">
        <v>0.1580012353687628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9" t="inlineStr">
        <is>
          <t>⚠ CET MISMATCH: System=20% vs Client≈16% — review classification</t>
        </is>
      </c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IMPLIED CIF (from declared duty @ 20% CET, XCD)</t>
        </is>
      </c>
      <c r="K33" s="13" t="n"/>
      <c r="L33" s="13" t="n"/>
      <c r="M33" s="13" t="n"/>
      <c r="N33" s="13" t="n"/>
      <c r="O33" s="13" t="n"/>
      <c r="P33" s="15" t="n">
        <v>150.13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inlineStr">
        <is>
          <t>IMPLIED ITEMS VALUE (USD, net of freight/insurance)</t>
        </is>
      </c>
      <c r="K34" s="13" t="n"/>
      <c r="L34" s="13" t="n"/>
      <c r="M34" s="13" t="n"/>
      <c r="N34" s="13" t="n"/>
      <c r="O34" s="13" t="n"/>
      <c r="P34" s="15" t="n">
        <v>42.26</v>
      </c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2026-04-25T22:34:41Z</dcterms:created>
  <dcterms:modified xmlns:dcterms="http://purl.org/dc/terms/" xmlns:xsi="http://www.w3.org/2001/XMLSchema-instance" xsi:type="dcterms:W3CDTF">2026-04-25T22:35:25Z</dcterms:modified>
</cp:coreProperties>
</file>