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03-11786-67235</t>
        </is>
      </c>
      <c r="D2" s="2" t="inlineStr">
        <is>
          <t>2024-07-04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ebay Seller	koduste Rickado C Thomas 676 Miami, Florida 33172-5068 Shipping	F...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12.1</v>
      </c>
      <c r="P2" s="3" t="n">
        <v>24.2</v>
      </c>
      <c r="Q2" s="3">
        <f>O2*K2</f>
        <v/>
      </c>
      <c r="R2" s="3">
        <f>P2-Q2</f>
        <v/>
      </c>
      <c r="S2" s="3" t="n">
        <v>27.89</v>
      </c>
      <c r="T2" s="3" t="n">
        <v>0</v>
      </c>
      <c r="U2" s="3" t="n">
        <v>0</v>
      </c>
      <c r="V2" s="3" t="n">
        <v>1.99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03-11786-67235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EBAY-1</t>
        </is>
      </c>
      <c r="J3" s="4" t="inlineStr">
        <is>
          <t>ebay Seller	koduste Rickado C Thomas 676 Miami, Florida 33172-5068 Shipping	F...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1.69</v>
      </c>
      <c r="P3" s="5" t="n">
        <v>1.69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00000000</t>
        </is>
      </c>
      <c r="G4" s="4" t="n"/>
      <c r="H4" s="4" t="n"/>
      <c r="I4" s="4" t="inlineStr">
        <is>
          <t>EBAY-2</t>
        </is>
      </c>
      <c r="J4" s="4" t="inlineStr">
        <is>
          <t>*We're required by law to collect sales tax and applicable fees for certain t...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22.51</v>
      </c>
      <c r="P4" s="5" t="n">
        <v>22.51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1.99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inlineStr">
        <is>
          <t>DUTY ESTIMATION (Classification Cross-Check)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(USD) = InvTotal + Freight + Insurance</t>
        </is>
      </c>
      <c r="K21" s="13" t="n"/>
      <c r="L21" s="13" t="n"/>
      <c r="M21" s="13" t="n"/>
      <c r="N21" s="13" t="n"/>
      <c r="O21" s="13" t="n"/>
      <c r="P21" s="15" t="n">
        <v>30.89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(XCD) = CIF × 2.7169</t>
        </is>
      </c>
      <c r="K22" s="13" t="n"/>
      <c r="L22" s="13" t="n"/>
      <c r="M22" s="13" t="n"/>
      <c r="N22" s="13" t="n"/>
      <c r="O22" s="13" t="n"/>
      <c r="P22" s="15" t="n">
        <v>83.93000000000001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CET (20%) — Tariff 00000000</t>
        </is>
      </c>
      <c r="K23" s="13" t="n"/>
      <c r="L23" s="13" t="n"/>
      <c r="M23" s="13" t="n"/>
      <c r="N23" s="13" t="n"/>
      <c r="O23" s="13" t="n"/>
      <c r="P23" s="15" t="n">
        <v>16.79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CSC (6%)</t>
        </is>
      </c>
      <c r="K24" s="13" t="n"/>
      <c r="L24" s="13" t="n"/>
      <c r="M24" s="13" t="n"/>
      <c r="N24" s="13" t="n"/>
      <c r="O24" s="13" t="n"/>
      <c r="P24" s="15" t="n">
        <v>5.04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VAT (15%) on CIF+CET+CSC</t>
        </is>
      </c>
      <c r="K25" s="13" t="n"/>
      <c r="L25" s="13" t="n"/>
      <c r="M25" s="13" t="n"/>
      <c r="N25" s="13" t="n"/>
      <c r="O25" s="13" t="n"/>
      <c r="P25" s="15" t="n">
        <v>15.86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2" t="inlineStr">
        <is>
          <t>ESTIMATED TOTAL DUTIES</t>
        </is>
      </c>
      <c r="K26" s="16" t="n"/>
      <c r="L26" s="16" t="n"/>
      <c r="M26" s="16" t="n"/>
      <c r="N26" s="16" t="n"/>
      <c r="O26" s="16" t="n"/>
      <c r="P26" s="17" t="n">
        <v>37.69</v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Effective Duty Rate</t>
        </is>
      </c>
      <c r="K27" s="13" t="n"/>
      <c r="L27" s="13" t="n"/>
      <c r="M27" s="13" t="n"/>
      <c r="N27" s="13" t="n"/>
      <c r="O27" s="13" t="n"/>
      <c r="P27" s="18" t="n">
        <v>0.4490646967711187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CLIENT DECLARED DUTIES</t>
        </is>
      </c>
      <c r="K28" s="13" t="n"/>
      <c r="L28" s="13" t="n"/>
      <c r="M28" s="13" t="n"/>
      <c r="N28" s="13" t="n"/>
      <c r="O28" s="13" t="n"/>
      <c r="P28" s="15" t="n">
        <v>50.41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9" t="inlineStr">
        <is>
          <t>DUTY VARIANCE (Client − Estimated)</t>
        </is>
      </c>
      <c r="K29" s="13" t="n"/>
      <c r="L29" s="13" t="n"/>
      <c r="M29" s="13" t="n"/>
      <c r="N29" s="13" t="n"/>
      <c r="O29" s="13" t="n"/>
      <c r="P29" s="20" t="n">
        <v>12.72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IMPLIED CET RATE (from client value)</t>
        </is>
      </c>
      <c r="K30" s="13" t="n"/>
      <c r="L30" s="13" t="n"/>
      <c r="M30" s="13" t="n"/>
      <c r="N30" s="13" t="n"/>
      <c r="O30" s="13" t="n"/>
      <c r="P30" s="18" t="n">
        <v>0.3318430990628836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9" t="inlineStr">
        <is>
          <t>⚠ CET MISMATCH: System=20% vs Client≈33% — review classification</t>
        </is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IMPLIED CIF (from declared duty @ 20% CET, XCD)</t>
        </is>
      </c>
      <c r="K32" s="13" t="n"/>
      <c r="L32" s="13" t="n"/>
      <c r="M32" s="13" t="n"/>
      <c r="N32" s="13" t="n"/>
      <c r="O32" s="13" t="n"/>
      <c r="P32" s="15" t="n">
        <v>112.27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ITEMS VALUE (USD, net of freight/insurance)</t>
        </is>
      </c>
      <c r="K33" s="13" t="n"/>
      <c r="L33" s="13" t="n"/>
      <c r="M33" s="13" t="n"/>
      <c r="N33" s="13" t="n"/>
      <c r="O33" s="13" t="n"/>
      <c r="P33" s="15" t="n">
        <v>38.32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9" t="inlineStr">
        <is>
          <t>⚠ ITEM ALLOCATION CHECK: actual $24.20 USD vs implied $38.32 USD — UNDER-ALLOCATED (items from another waybill may belong here)</t>
        </is>
      </c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2026-04-25T22:39:54Z</dcterms:created>
  <dcterms:modified xmlns:dcterms="http://purl.org/dc/terms/" xmlns:xsi="http://www.w3.org/2001/XMLSchema-instance" xsi:type="dcterms:W3CDTF">2026-04-25T22:40:39Z</dcterms:modified>
</cp:coreProperties>
</file>