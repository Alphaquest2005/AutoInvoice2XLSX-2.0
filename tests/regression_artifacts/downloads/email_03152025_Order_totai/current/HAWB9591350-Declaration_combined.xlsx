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03-11786-67235</t>
        </is>
      </c>
      <c r="D2" s="2" t="inlineStr">
        <is>
          <t>2024-07-04</t>
        </is>
      </c>
      <c r="E2" s="2" t="inlineStr">
        <is>
          <t>Miscellaneous</t>
        </is>
      </c>
      <c r="F2" s="2" t="inlineStr">
        <is>
          <t>87082900</t>
        </is>
      </c>
      <c r="G2" s="2" t="inlineStr"/>
      <c r="H2" s="2" t="inlineStr"/>
      <c r="I2" s="2" t="inlineStr">
        <is>
          <t>00000000</t>
        </is>
      </c>
      <c r="J2" s="2" t="inlineStr">
        <is>
          <t>ebay Seller koduste Rickado C Thomas 676 Miami, Florida 33172-5068 Shipping F...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12.1</v>
      </c>
      <c r="P2" s="3" t="n">
        <v>24.2</v>
      </c>
      <c r="Q2" s="3">
        <f>O2*K2</f>
        <v/>
      </c>
      <c r="R2" s="3">
        <f>P2-Q2</f>
        <v/>
      </c>
      <c r="S2" s="3" t="n">
        <v>27.89</v>
      </c>
      <c r="T2" s="3" t="n">
        <v>0</v>
      </c>
      <c r="U2" s="3" t="n">
        <v>0</v>
      </c>
      <c r="V2" s="3" t="n">
        <v>1.99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HAWB9591350-Declaration_combined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87082900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EBAY-1</t>
        </is>
      </c>
      <c r="J3" s="4" t="inlineStr">
        <is>
          <t>ebay Seller koduste Rickado C Thomas 676 Miami, Florida 33172-5068 Shipping F...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1.69</v>
      </c>
      <c r="P3" s="5" t="n">
        <v>1.69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EBAY-2</t>
        </is>
      </c>
      <c r="J4" s="4" t="inlineStr">
        <is>
          <t>*We're required by law to collect sales tax and applicable fees for certain t...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22.51</v>
      </c>
      <c r="P4" s="5" t="n">
        <v>22.51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1.99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30.89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83.93000000000001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00000000</t>
        </is>
      </c>
      <c r="K23" s="13" t="n"/>
      <c r="L23" s="13" t="n"/>
      <c r="M23" s="13" t="n"/>
      <c r="N23" s="13" t="n"/>
      <c r="O23" s="13" t="n"/>
      <c r="P23" s="15" t="n">
        <v>16.79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5.04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15.86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37.69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0.4490646967711187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CLIENT DECLARED DUTIES</t>
        </is>
      </c>
      <c r="K28" s="13" t="n"/>
      <c r="L28" s="13" t="n"/>
      <c r="M28" s="13" t="n"/>
      <c r="N28" s="13" t="n"/>
      <c r="O28" s="13" t="n"/>
      <c r="P28" s="15" t="n">
        <v>50.41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9" t="inlineStr">
        <is>
          <t>DUTY VARIANCE (Client − Estimated)</t>
        </is>
      </c>
      <c r="K29" s="13" t="n"/>
      <c r="L29" s="13" t="n"/>
      <c r="M29" s="13" t="n"/>
      <c r="N29" s="13" t="n"/>
      <c r="O29" s="13" t="n"/>
      <c r="P29" s="20" t="n">
        <v>12.72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CET RATE (from client value)</t>
        </is>
      </c>
      <c r="K30" s="13" t="n"/>
      <c r="L30" s="13" t="n"/>
      <c r="M30" s="13" t="n"/>
      <c r="N30" s="13" t="n"/>
      <c r="O30" s="13" t="n"/>
      <c r="P30" s="18" t="n">
        <v>0.3318430990628836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9" t="inlineStr">
        <is>
          <t>⚠ CET MISMATCH: System=20% vs Client≈33% — review classification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112.27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38.32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9" t="inlineStr">
        <is>
          <t>⚠ ITEM ALLOCATION CHECK: actual $24.20 USD vs implied $38.32 USD — UNDER-ALLOCATED (items from another waybill may belong here)</t>
        </is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2026-04-24T06:44:02Z</dcterms:created>
  <dcterms:modified xsi:type="dcterms:W3CDTF">2026-04-24T06:44:17Z</dcterms:modified>
</cp:coreProperties>
</file>