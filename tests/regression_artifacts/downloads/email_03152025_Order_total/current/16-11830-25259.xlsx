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16-11830-25259</t>
        </is>
      </c>
      <c r="D2" s="2" t="inlineStr">
        <is>
          <t>2024-07-18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ebay Seller cjpai-19 Rickado C Thomas Miami, Florida 33172-5068 1 item (+2 more) (3 items)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8.996666666666668</v>
      </c>
      <c r="P2" s="3" t="n">
        <v>26.99</v>
      </c>
      <c r="Q2" s="3">
        <f>O2*K2</f>
        <v/>
      </c>
      <c r="R2" s="3">
        <f>P2-Q2</f>
        <v/>
      </c>
      <c r="S2" s="3" t="n">
        <v>28.88</v>
      </c>
      <c r="T2" s="3" t="n">
        <v>0</v>
      </c>
      <c r="U2" s="3" t="n">
        <v>0</v>
      </c>
      <c r="V2" s="3" t="n">
        <v>1.89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16-11830-25259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EBAY-1</t>
        </is>
      </c>
      <c r="J3" s="4" t="inlineStr">
        <is>
          <t>ebay Seller cjpai-19 Rickado C Thomas Miami, Florida 33172-5068 1 item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6.99</v>
      </c>
      <c r="P3" s="5" t="n">
        <v>6.99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EBAY-2</t>
        </is>
      </c>
      <c r="J4" s="4" t="inlineStr">
        <is>
          <t>Shipping Free Tax*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1.89</v>
      </c>
      <c r="P4" s="5" t="n">
        <v>1.89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EBAY-3</t>
        </is>
      </c>
      <c r="J5" s="4" t="inlineStr">
        <is>
          <t>*We're required by law to collect sales tax and applicable fees for certain t...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18.11</v>
      </c>
      <c r="P5" s="5" t="n">
        <v>18.11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1.89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31.88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86.61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(20%) — Tariff 00000000</t>
        </is>
      </c>
      <c r="K24" s="13" t="n"/>
      <c r="L24" s="13" t="n"/>
      <c r="M24" s="13" t="n"/>
      <c r="N24" s="13" t="n"/>
      <c r="O24" s="13" t="n"/>
      <c r="P24" s="15" t="n">
        <v>17.32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CSC (6%)</t>
        </is>
      </c>
      <c r="K25" s="13" t="n"/>
      <c r="L25" s="13" t="n"/>
      <c r="M25" s="13" t="n"/>
      <c r="N25" s="13" t="n"/>
      <c r="O25" s="13" t="n"/>
      <c r="P25" s="15" t="n">
        <v>5.2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VAT (15%) on CIF+CET+CSC</t>
        </is>
      </c>
      <c r="K26" s="13" t="n"/>
      <c r="L26" s="13" t="n"/>
      <c r="M26" s="13" t="n"/>
      <c r="N26" s="13" t="n"/>
      <c r="O26" s="13" t="n"/>
      <c r="P26" s="15" t="n">
        <v>16.37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2" t="inlineStr">
        <is>
          <t>ESTIMATED TOTAL DUTIES</t>
        </is>
      </c>
      <c r="K27" s="16" t="n"/>
      <c r="L27" s="16" t="n"/>
      <c r="M27" s="16" t="n"/>
      <c r="N27" s="16" t="n"/>
      <c r="O27" s="16" t="n"/>
      <c r="P27" s="17" t="n">
        <v>38.89</v>
      </c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Effective Duty Rate</t>
        </is>
      </c>
      <c r="K28" s="13" t="n"/>
      <c r="L28" s="13" t="n"/>
      <c r="M28" s="13" t="n"/>
      <c r="N28" s="13" t="n"/>
      <c r="O28" s="13" t="n"/>
      <c r="P28" s="18" t="n">
        <v>0.4490243620829004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CLIENT DECLARED DUTIES</t>
        </is>
      </c>
      <c r="K29" s="13" t="n"/>
      <c r="L29" s="13" t="n"/>
      <c r="M29" s="13" t="n"/>
      <c r="N29" s="13" t="n"/>
      <c r="O29" s="13" t="n"/>
      <c r="P29" s="15" t="n">
        <v>38.89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DUTY VARIANCE (Client − Estimated)</t>
        </is>
      </c>
      <c r="K30" s="13" t="n"/>
      <c r="L30" s="13" t="n"/>
      <c r="M30" s="13" t="n"/>
      <c r="N30" s="13" t="n"/>
      <c r="O30" s="13" t="n"/>
      <c r="P30" s="15" t="n">
        <v>0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CET RATE (from client value)</t>
        </is>
      </c>
      <c r="K31" s="13" t="n"/>
      <c r="L31" s="13" t="n"/>
      <c r="M31" s="13" t="n"/>
      <c r="N31" s="13" t="n"/>
      <c r="O31" s="13" t="n"/>
      <c r="P31" s="18" t="n">
        <v>0.2000211844199134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86.61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28.88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2026-04-25T22:46:09Z</dcterms:created>
  <dcterms:modified xmlns:dcterms="http://purl.org/dc/terms/" xmlns:xsi="http://www.w3.org/2001/XMLSchema-instance" xsi:type="dcterms:W3CDTF">2026-04-25T22:46:53Z</dcterms:modified>
</cp:coreProperties>
</file>