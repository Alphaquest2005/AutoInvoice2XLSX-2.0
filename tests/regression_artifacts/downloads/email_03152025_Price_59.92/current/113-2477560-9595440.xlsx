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113-2477560-9595440</t>
        </is>
      </c>
      <c r="D2" s="2" t="inlineStr">
        <is>
          <t>2024-07-17</t>
        </is>
      </c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AMZ-1</t>
        </is>
      </c>
      <c r="J2" s="2" t="inlineStr">
        <is>
          <t>adidas Originals Men's Stan Smith (End Plastic WasteSneaker, Black/Black/Whit...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59.92</v>
      </c>
      <c r="P2" s="3" t="n">
        <v>59.92</v>
      </c>
      <c r="Q2" s="3">
        <f>O2*K2</f>
        <v/>
      </c>
      <c r="R2" s="3">
        <f>P2-Q2</f>
        <v/>
      </c>
      <c r="S2" s="3" t="n">
        <v>64.11</v>
      </c>
      <c r="T2" s="3" t="n">
        <v>0</v>
      </c>
      <c r="U2" s="3" t="n">
        <v>0</v>
      </c>
      <c r="V2" s="3" t="n">
        <v>4.19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113-2477560-9595440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69.11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187.76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00000000</t>
        </is>
      </c>
      <c r="K11" s="7" t="n"/>
      <c r="L11" s="7" t="n"/>
      <c r="M11" s="7" t="n"/>
      <c r="N11" s="7" t="n"/>
      <c r="O11" s="7" t="n"/>
      <c r="P11" s="9" t="n">
        <v>37.55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11.27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35.49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84.31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0.449030677460588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84.89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9" t="n">
        <v>0.58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0.2027128063577926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IMPLIED CIF (from declared duty @ 20% CET, XCD)</t>
        </is>
      </c>
      <c r="K19" s="7" t="n"/>
      <c r="L19" s="7" t="n"/>
      <c r="M19" s="7" t="n"/>
      <c r="N19" s="7" t="n"/>
      <c r="O19" s="7" t="n"/>
      <c r="P19" s="9" t="n">
        <v>189.06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ITEMS VALUE (USD, net of freight/insurance)</t>
        </is>
      </c>
      <c r="K20" s="7" t="n"/>
      <c r="L20" s="7" t="n"/>
      <c r="M20" s="7" t="n"/>
      <c r="N20" s="7" t="n"/>
      <c r="O20" s="7" t="n"/>
      <c r="P20" s="9" t="n">
        <v>64.59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2026-04-25T22:55:17Z</dcterms:created>
  <dcterms:modified xmlns:dcterms="http://purl.org/dc/terms/" xmlns:xsi="http://www.w3.org/2001/XMLSchema-instance" xsi:type="dcterms:W3CDTF">2026-04-25T22:56:01Z</dcterms:modified>
</cp:coreProperties>
</file>