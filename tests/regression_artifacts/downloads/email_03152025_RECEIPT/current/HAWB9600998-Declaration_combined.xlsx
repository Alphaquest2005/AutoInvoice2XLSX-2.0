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bined Invoices" sheetId="1" state="visible" r:id="rId1"/>
    <sheet name="OCR Notes" sheetId="2" state="visible" r:id="rId2"/>
  </sheets>
  <definedNames/>
  <calcPr calcId="124519" fullCalcOnLoad="1"/>
</workbook>
</file>

<file path=xl/styles.xml><?xml version="1.0" encoding="utf-8"?>
<styleSheet xmlns="http://schemas.openxmlformats.org/spreadsheetml/2006/main">
  <numFmts count="3">
    <numFmt numFmtId="164" formatCode="$#,##0.00"/>
    <numFmt numFmtId="165" formatCode="0.0%"/>
    <numFmt numFmtId="166" formatCode="&quot;$&quot;#,##0.00"/>
  </numFmts>
  <fonts count="13">
    <font>
      <name val="Calibri"/>
      <family val="2"/>
      <color theme="1"/>
      <sz val="11"/>
      <scheme val="minor"/>
    </font>
    <font>
      <b val="1"/>
      <color rgb="00FFFFFF"/>
      <sz val="10"/>
    </font>
    <font>
      <b val="1"/>
      <sz val="11"/>
    </font>
    <font>
      <sz val="10"/>
    </font>
    <font>
      <b val="1"/>
      <color rgb="000000FF"/>
      <sz val="11"/>
    </font>
    <font>
      <b val="1"/>
      <color rgb="00FF0000"/>
      <sz val="11"/>
    </font>
    <font>
      <b val="1"/>
      <color rgb="001F4E79"/>
      <sz val="10"/>
    </font>
    <font>
      <color rgb="001F4E79"/>
      <sz val="10"/>
    </font>
    <font>
      <b val="1"/>
      <color rgb="00FFFFFF"/>
      <sz val="12"/>
    </font>
    <font>
      <b val="1"/>
    </font>
    <font>
      <b val="1"/>
      <color rgb="00FF0000"/>
    </font>
    <font>
      <i val="1"/>
      <color rgb="00666666"/>
    </font>
    <font>
      <b val="1"/>
      <color rgb="00FFFFFF"/>
      <sz val="11"/>
    </font>
  </fonts>
  <fills count="7">
    <fill>
      <patternFill/>
    </fill>
    <fill>
      <patternFill patternType="gray125"/>
    </fill>
    <fill>
      <patternFill patternType="solid">
        <fgColor rgb="004472C4"/>
        <bgColor rgb="004472C4"/>
      </patternFill>
    </fill>
    <fill>
      <patternFill patternType="solid">
        <fgColor rgb="00D9E1F2"/>
        <bgColor rgb="00D9E1F2"/>
      </patternFill>
    </fill>
    <fill>
      <patternFill patternType="solid">
        <fgColor rgb="00D6E4F0"/>
        <bgColor rgb="00D6E4F0"/>
      </patternFill>
    </fill>
    <fill>
      <patternFill patternType="solid">
        <fgColor rgb="00E0E0E0"/>
        <bgColor rgb="00E0E0E0"/>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wrapText="1"/>
    </xf>
    <xf numFmtId="0" fontId="2" fillId="3" borderId="1" pivotButton="0" quotePrefix="0" xfId="0"/>
    <xf numFmtId="4" fontId="2" fillId="3" borderId="1" pivotButton="0" quotePrefix="0" xfId="0"/>
    <xf numFmtId="0" fontId="3" fillId="0" borderId="1" pivotButton="0" quotePrefix="0" xfId="0"/>
    <xf numFmtId="4" fontId="3" fillId="0" borderId="1" pivotButton="0" quotePrefix="0" xfId="0"/>
    <xf numFmtId="0" fontId="2" fillId="0" borderId="1" pivotButton="0" quotePrefix="0" xfId="0"/>
    <xf numFmtId="4" fontId="2" fillId="0" borderId="1" pivotButton="0" quotePrefix="0" xfId="0"/>
    <xf numFmtId="0" fontId="4" fillId="0" borderId="1" pivotButton="0" quotePrefix="0" xfId="0"/>
    <xf numFmtId="4" fontId="4" fillId="0" borderId="1" pivotButton="0" quotePrefix="0" xfId="0"/>
    <xf numFmtId="0" fontId="5" fillId="0" borderId="1" pivotButton="0" quotePrefix="0" xfId="0"/>
    <xf numFmtId="4" fontId="5" fillId="0" borderId="1" pivotButton="0" quotePrefix="0" xfId="0"/>
    <xf numFmtId="0" fontId="6" fillId="4" borderId="1" pivotButton="0" quotePrefix="0" xfId="0"/>
    <xf numFmtId="0" fontId="0" fillId="0" borderId="1" pivotButton="0" quotePrefix="0" xfId="0"/>
    <xf numFmtId="0" fontId="7" fillId="0" borderId="1" pivotButton="0" quotePrefix="0" xfId="0"/>
    <xf numFmtId="164" fontId="6" fillId="0" borderId="1" pivotButton="0" quotePrefix="0" xfId="0"/>
    <xf numFmtId="0" fontId="0" fillId="4" borderId="1" pivotButton="0" quotePrefix="0" xfId="0"/>
    <xf numFmtId="164" fontId="6" fillId="4" borderId="1" pivotButton="0" quotePrefix="0" xfId="0"/>
    <xf numFmtId="165" fontId="6" fillId="0" borderId="1" pivotButton="0" quotePrefix="0" xfId="0"/>
    <xf numFmtId="0" fontId="0" fillId="5" borderId="0" pivotButton="0" quotePrefix="0" xfId="0"/>
    <xf numFmtId="0" fontId="0" fillId="2" borderId="0" pivotButton="0" quotePrefix="0" xfId="0"/>
    <xf numFmtId="0" fontId="8" fillId="2" borderId="0" pivotButton="0" quotePrefix="0" xfId="0"/>
    <xf numFmtId="0" fontId="9" fillId="0" borderId="0" pivotButton="0" quotePrefix="0" xfId="0"/>
    <xf numFmtId="166" fontId="0" fillId="0" borderId="0" pivotButton="0" quotePrefix="0" xfId="0"/>
    <xf numFmtId="166" fontId="10" fillId="0" borderId="0" pivotButton="0" quotePrefix="0" xfId="0"/>
    <xf numFmtId="0" fontId="2" fillId="0" borderId="0" pivotButton="0" quotePrefix="0" xfId="0"/>
    <xf numFmtId="166" fontId="2" fillId="0" borderId="0" pivotButton="0" quotePrefix="0" xfId="0"/>
    <xf numFmtId="0" fontId="10" fillId="0" borderId="0" pivotButton="0" quotePrefix="0" xfId="0"/>
    <xf numFmtId="0" fontId="11" fillId="0" borderId="0" pivotButton="0" quotePrefix="0" xfId="0"/>
    <xf numFmtId="0" fontId="12" fillId="2" borderId="0" pivotButton="0" quotePrefix="0" xfId="0"/>
    <xf numFmtId="0" fontId="0" fillId="6" borderId="0" pivotButton="0" quotePrefix="0" xfId="0"/>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6"/>
  <sheetViews>
    <sheetView workbookViewId="0">
      <selection activeCell="A1" sqref="A1"/>
    </sheetView>
  </sheetViews>
  <sheetFormatPr baseColWidth="8" defaultRowHeight="15"/>
  <cols>
    <col width="14" customWidth="1" min="1" max="1"/>
    <col width="12" customWidth="1" min="2" max="2"/>
    <col width="20" customWidth="1" min="3" max="3"/>
    <col width="12" customWidth="1" min="4" max="4"/>
    <col width="15" customWidth="1" min="5" max="5"/>
    <col width="12" customWidth="1" min="6" max="6"/>
    <col width="22" customWidth="1" min="7" max="7"/>
    <col width="40" customWidth="1" min="8" max="8"/>
    <col width="18" customWidth="1" min="9" max="9"/>
    <col width="45" customWidth="1" min="10" max="10"/>
    <col width="10" customWidth="1" min="11" max="11"/>
    <col width="12" customWidth="1" min="12" max="12"/>
    <col width="8" customWidth="1" min="13" max="13"/>
    <col width="8" customWidth="1" min="14" max="14"/>
    <col width="12" customWidth="1" min="15" max="15"/>
    <col width="12" customWidth="1" min="16" max="16"/>
    <col width="12" customWidth="1" min="17" max="17"/>
    <col width="14" customWidth="1" min="18" max="18"/>
    <col width="14" customWidth="1" min="19" max="19"/>
    <col width="16" customWidth="1" min="20" max="20"/>
    <col width="14" customWidth="1" min="21" max="21"/>
    <col width="14" customWidth="1" min="22" max="22"/>
    <col width="14" customWidth="1" min="23" max="23"/>
    <col width="10" customWidth="1" min="24" max="24"/>
    <col width="12" customWidth="1" min="25" max="25"/>
    <col width="14" customWidth="1" min="26" max="26"/>
    <col width="28" customWidth="1" min="27" max="27"/>
    <col width="40" customWidth="1" min="28" max="28"/>
    <col width="12" customWidth="1" min="29" max="29"/>
    <col width="12" customWidth="1" min="30" max="30"/>
    <col width="18" customWidth="1" min="31" max="31"/>
    <col width="16" customWidth="1" min="32" max="32"/>
    <col width="10" customWidth="1" min="33" max="33"/>
    <col width="10" customWidth="1" min="34" max="34"/>
    <col width="14" customWidth="1" min="35" max="35"/>
    <col width="14" customWidth="1" min="36" max="36"/>
    <col width="12" customWidth="1" min="37" max="37"/>
  </cols>
  <sheetData>
    <row r="1">
      <c r="A1" s="1" t="inlineStr">
        <is>
          <t>Document Type</t>
        </is>
      </c>
      <c r="B1" s="1" t="inlineStr">
        <is>
          <t>PO Number</t>
        </is>
      </c>
      <c r="C1" s="1" t="inlineStr">
        <is>
          <t>Supplier Invoice#</t>
        </is>
      </c>
      <c r="D1" s="1" t="inlineStr">
        <is>
          <t>Date</t>
        </is>
      </c>
      <c r="E1" s="1" t="inlineStr">
        <is>
          <t>Category</t>
        </is>
      </c>
      <c r="F1" s="1" t="inlineStr">
        <is>
          <t>TariffCode</t>
        </is>
      </c>
      <c r="G1" s="1" t="inlineStr">
        <is>
          <t>PO Item Number</t>
        </is>
      </c>
      <c r="H1" s="1" t="inlineStr">
        <is>
          <t>PO Item Description</t>
        </is>
      </c>
      <c r="I1" s="1" t="inlineStr">
        <is>
          <t>Supplier Item Number</t>
        </is>
      </c>
      <c r="J1" s="1" t="inlineStr">
        <is>
          <t>Supplier Item Description</t>
        </is>
      </c>
      <c r="K1" s="1" t="inlineStr">
        <is>
          <t>Quantity</t>
        </is>
      </c>
      <c r="L1" s="1" t="inlineStr">
        <is>
          <t>Per Unit</t>
        </is>
      </c>
      <c r="M1" s="1" t="inlineStr">
        <is>
          <t>UNITS</t>
        </is>
      </c>
      <c r="N1" s="1" t="inlineStr">
        <is>
          <t>Currency</t>
        </is>
      </c>
      <c r="O1" s="1" t="inlineStr">
        <is>
          <t>Cost</t>
        </is>
      </c>
      <c r="P1" s="1" t="inlineStr">
        <is>
          <t>Total Cost</t>
        </is>
      </c>
      <c r="Q1" s="1" t="inlineStr">
        <is>
          <t>Total</t>
        </is>
      </c>
      <c r="R1" s="1" t="inlineStr">
        <is>
          <t>TotalCost Vs Total</t>
        </is>
      </c>
      <c r="S1" s="1" t="inlineStr">
        <is>
          <t>InvoiceTotal</t>
        </is>
      </c>
      <c r="T1" s="1" t="inlineStr">
        <is>
          <t>Total Internal Freight</t>
        </is>
      </c>
      <c r="U1" s="1" t="inlineStr">
        <is>
          <t>Total Insurance</t>
        </is>
      </c>
      <c r="V1" s="1" t="inlineStr">
        <is>
          <t>Total Other Cost</t>
        </is>
      </c>
      <c r="W1" s="1" t="inlineStr">
        <is>
          <t>Total Deduction</t>
        </is>
      </c>
      <c r="X1" s="1" t="inlineStr">
        <is>
          <t>Packages</t>
        </is>
      </c>
      <c r="Y1" s="1" t="inlineStr">
        <is>
          <t>Warehouse</t>
        </is>
      </c>
      <c r="Z1" s="1" t="inlineStr">
        <is>
          <t>Supplier Code</t>
        </is>
      </c>
      <c r="AA1" s="1" t="inlineStr">
        <is>
          <t>Supplier Name</t>
        </is>
      </c>
      <c r="AB1" s="1" t="inlineStr">
        <is>
          <t>Supplier Address</t>
        </is>
      </c>
      <c r="AC1" s="1" t="inlineStr">
        <is>
          <t>Country Code</t>
        </is>
      </c>
      <c r="AD1" s="1" t="inlineStr">
        <is>
          <t>Instructions</t>
        </is>
      </c>
      <c r="AE1" s="1" t="inlineStr">
        <is>
          <t>Previous Declaration</t>
        </is>
      </c>
      <c r="AF1" s="1" t="inlineStr">
        <is>
          <t>Financial Information</t>
        </is>
      </c>
      <c r="AG1" s="1" t="inlineStr">
        <is>
          <t>Gallons</t>
        </is>
      </c>
      <c r="AH1" s="1" t="inlineStr">
        <is>
          <t>Liters</t>
        </is>
      </c>
      <c r="AI1" s="1" t="inlineStr">
        <is>
          <t>INVTotalCost</t>
        </is>
      </c>
      <c r="AJ1" s="1" t="inlineStr">
        <is>
          <t>POTotalCost</t>
        </is>
      </c>
      <c r="AK1" s="1" t="inlineStr">
        <is>
          <t>GroupBy</t>
        </is>
      </c>
    </row>
    <row r="2">
      <c r="A2" s="2" t="inlineStr">
        <is>
          <t>4000-000</t>
        </is>
      </c>
      <c r="B2" s="2" t="n"/>
      <c r="C2" s="2" t="inlineStr">
        <is>
          <t>1504495444</t>
        </is>
      </c>
      <c r="D2" s="2" t="inlineStr">
        <is>
          <t>2024-07-21</t>
        </is>
      </c>
      <c r="E2" s="2" t="inlineStr">
        <is>
          <t>Apparel</t>
        </is>
      </c>
      <c r="F2" s="2" t="inlineStr">
        <is>
          <t>62046290</t>
        </is>
      </c>
      <c r="G2" s="2" t="n"/>
      <c r="H2" s="2" t="n"/>
      <c r="I2" s="2" t="inlineStr">
        <is>
          <t>62046290</t>
        </is>
      </c>
      <c r="J2" s="2" t="inlineStr">
        <is>
          <t>Flared (+1 more) (2 items)</t>
        </is>
      </c>
      <c r="K2" s="2" t="n">
        <v>2</v>
      </c>
      <c r="L2" s="2" t="n"/>
      <c r="M2" s="2" t="n"/>
      <c r="N2" s="2" t="inlineStr">
        <is>
          <t>USD</t>
        </is>
      </c>
      <c r="O2" s="3" t="n">
        <v>20.99</v>
      </c>
      <c r="P2" s="3" t="n">
        <v>41.98</v>
      </c>
      <c r="Q2" s="3">
        <f>O2*K2</f>
        <v/>
      </c>
      <c r="R2" s="3">
        <f>P2-Q2</f>
        <v/>
      </c>
      <c r="S2" s="3" t="n">
        <v>128.93</v>
      </c>
      <c r="T2" s="3" t="n">
        <v>0</v>
      </c>
      <c r="U2" s="3" t="n">
        <v>0</v>
      </c>
      <c r="V2" s="3" t="n">
        <v>0</v>
      </c>
      <c r="W2" s="3" t="n">
        <v>0</v>
      </c>
      <c r="X2" s="2" t="n">
        <v>1</v>
      </c>
      <c r="Y2" s="2" t="n"/>
      <c r="Z2" s="2" t="inlineStr">
        <is>
          <t>H&amp;M</t>
        </is>
      </c>
      <c r="AA2" s="2" t="inlineStr">
        <is>
          <t>H&amp;M</t>
        </is>
      </c>
      <c r="AB2" s="2" t="inlineStr">
        <is>
          <t>H &amp; M Hennes &amp; Mauritz L.P., 1600 River Road, Burlington, NJ 08016, USA</t>
        </is>
      </c>
      <c r="AC2" s="2" t="inlineStr">
        <is>
          <t>US</t>
        </is>
      </c>
      <c r="AD2" s="2" t="n"/>
      <c r="AE2" s="2" t="n"/>
      <c r="AF2" s="2" t="n"/>
      <c r="AG2" s="2" t="n"/>
      <c r="AH2" s="2" t="n"/>
      <c r="AI2" s="2" t="n"/>
      <c r="AJ2" s="2" t="n"/>
      <c r="AK2" s="2" t="inlineStr">
        <is>
          <t>62046290</t>
        </is>
      </c>
    </row>
    <row r="3">
      <c r="A3" s="4" t="n"/>
      <c r="B3" s="4" t="n"/>
      <c r="C3" s="4" t="n"/>
      <c r="D3" s="4" t="n"/>
      <c r="E3" s="4" t="n"/>
      <c r="F3" s="4" t="inlineStr">
        <is>
          <t>62046290</t>
        </is>
      </c>
      <c r="G3" s="4" t="n"/>
      <c r="H3" s="4" t="n"/>
      <c r="I3" s="4" t="inlineStr">
        <is>
          <t>1206305006007</t>
        </is>
      </c>
      <c r="J3" s="4" t="inlineStr">
        <is>
          <t>Flared</t>
        </is>
      </c>
      <c r="K3" s="4" t="n">
        <v>1</v>
      </c>
      <c r="L3" s="4" t="n"/>
      <c r="M3" s="4" t="n"/>
      <c r="N3" s="4" t="inlineStr">
        <is>
          <t>USD</t>
        </is>
      </c>
      <c r="O3" s="5" t="n">
        <v>20.99</v>
      </c>
      <c r="P3" s="5" t="n">
        <v>20.99</v>
      </c>
      <c r="Q3" s="5">
        <f>O3*K3</f>
        <v/>
      </c>
      <c r="R3" s="5">
        <f>P3-Q3</f>
        <v/>
      </c>
      <c r="S3" s="4" t="n"/>
      <c r="T3" s="4" t="n"/>
      <c r="U3" s="4" t="n"/>
      <c r="V3" s="4" t="n"/>
      <c r="W3" s="4" t="n"/>
      <c r="X3" s="4" t="n"/>
      <c r="Y3" s="4" t="n"/>
      <c r="Z3" s="4" t="n"/>
      <c r="AA3" s="4" t="n"/>
      <c r="AB3" s="4" t="n"/>
      <c r="AC3" s="4" t="n"/>
      <c r="AD3" s="4" t="n"/>
      <c r="AE3" s="4" t="n"/>
      <c r="AF3" s="4" t="n"/>
      <c r="AG3" s="4" t="n"/>
      <c r="AH3" s="4" t="n"/>
      <c r="AI3" s="4" t="n"/>
      <c r="AJ3" s="4" t="n"/>
      <c r="AK3" s="4" t="n"/>
    </row>
    <row r="4">
      <c r="A4" s="4" t="n"/>
      <c r="B4" s="4" t="n"/>
      <c r="C4" s="4" t="n"/>
      <c r="D4" s="4" t="n"/>
      <c r="E4" s="4" t="n"/>
      <c r="F4" s="4" t="inlineStr">
        <is>
          <t>62046290</t>
        </is>
      </c>
      <c r="G4" s="4" t="n"/>
      <c r="H4" s="4" t="n"/>
      <c r="I4" s="4" t="inlineStr">
        <is>
          <t>1206305005007</t>
        </is>
      </c>
      <c r="J4" s="4" t="inlineStr">
        <is>
          <t>Flared</t>
        </is>
      </c>
      <c r="K4" s="4" t="n">
        <v>1</v>
      </c>
      <c r="L4" s="4" t="n"/>
      <c r="M4" s="4" t="n"/>
      <c r="N4" s="4" t="inlineStr">
        <is>
          <t>USD</t>
        </is>
      </c>
      <c r="O4" s="5" t="n">
        <v>20.99</v>
      </c>
      <c r="P4" s="5" t="n">
        <v>20.99</v>
      </c>
      <c r="Q4" s="5">
        <f>O4*K4</f>
        <v/>
      </c>
      <c r="R4" s="5">
        <f>P4-Q4</f>
        <v/>
      </c>
      <c r="S4" s="4" t="n"/>
      <c r="T4" s="4" t="n"/>
      <c r="U4" s="4" t="n"/>
      <c r="V4" s="4" t="n"/>
      <c r="W4" s="4" t="n"/>
      <c r="X4" s="4" t="n"/>
      <c r="Y4" s="4" t="n"/>
      <c r="Z4" s="4" t="n"/>
      <c r="AA4" s="4" t="n"/>
      <c r="AB4" s="4" t="n"/>
      <c r="AC4" s="4" t="n"/>
      <c r="AD4" s="4" t="n"/>
      <c r="AE4" s="4" t="n"/>
      <c r="AF4" s="4" t="n"/>
      <c r="AG4" s="4" t="n"/>
      <c r="AH4" s="4" t="n"/>
      <c r="AI4" s="4" t="n"/>
      <c r="AJ4" s="4" t="n"/>
      <c r="AK4" s="4" t="n"/>
    </row>
    <row r="5">
      <c r="A5" s="2" t="n"/>
      <c r="B5" s="2" t="n"/>
      <c r="C5" s="2" t="inlineStr">
        <is>
          <t>1504495444</t>
        </is>
      </c>
      <c r="D5" s="2" t="inlineStr">
        <is>
          <t>2024-07-21</t>
        </is>
      </c>
      <c r="E5" s="2" t="inlineStr">
        <is>
          <t>HATS AND OTHER HEADGEAR, PLAITED OR MADE BY ASSEMBLING STRIPS</t>
        </is>
      </c>
      <c r="F5" s="2" t="inlineStr">
        <is>
          <t>65040000</t>
        </is>
      </c>
      <c r="G5" s="2" t="n"/>
      <c r="H5" s="2" t="n"/>
      <c r="I5" s="2" t="inlineStr">
        <is>
          <t>65040000</t>
        </is>
      </c>
      <c r="J5" s="2" t="inlineStr">
        <is>
          <t>Straw Hat (+2 more) (3 items)</t>
        </is>
      </c>
      <c r="K5" s="2" t="n">
        <v>3</v>
      </c>
      <c r="L5" s="2" t="n"/>
      <c r="M5" s="2" t="n"/>
      <c r="N5" s="2" t="inlineStr">
        <is>
          <t>USD</t>
        </is>
      </c>
      <c r="O5" s="3" t="n">
        <v>16.99</v>
      </c>
      <c r="P5" s="3" t="n">
        <v>50.97</v>
      </c>
      <c r="Q5" s="3">
        <f>O5*K5</f>
        <v/>
      </c>
      <c r="R5" s="3">
        <f>P5-Q5</f>
        <v/>
      </c>
      <c r="S5" s="3" t="n"/>
      <c r="T5" s="3" t="n"/>
      <c r="U5" s="3" t="n"/>
      <c r="V5" s="3" t="n"/>
      <c r="W5" s="3" t="n"/>
      <c r="X5" s="2" t="n"/>
      <c r="Y5" s="2" t="n"/>
      <c r="Z5" s="2" t="n"/>
      <c r="AA5" s="2" t="n"/>
      <c r="AB5" s="2" t="n"/>
      <c r="AC5" s="2" t="n"/>
      <c r="AD5" s="2" t="n"/>
      <c r="AE5" s="2" t="n"/>
      <c r="AF5" s="2" t="n"/>
      <c r="AG5" s="2" t="n"/>
      <c r="AH5" s="2" t="n"/>
      <c r="AI5" s="2" t="n"/>
      <c r="AJ5" s="2" t="n"/>
      <c r="AK5" s="2" t="inlineStr">
        <is>
          <t>65040000</t>
        </is>
      </c>
    </row>
    <row r="6">
      <c r="A6" s="4" t="n"/>
      <c r="B6" s="4" t="n"/>
      <c r="C6" s="4" t="n"/>
      <c r="D6" s="4" t="n"/>
      <c r="E6" s="4" t="n"/>
      <c r="F6" s="4" t="inlineStr">
        <is>
          <t>65040000</t>
        </is>
      </c>
      <c r="G6" s="4" t="n"/>
      <c r="H6" s="4" t="n"/>
      <c r="I6" s="4" t="inlineStr">
        <is>
          <t>1215205001003</t>
        </is>
      </c>
      <c r="J6" s="4" t="inlineStr">
        <is>
          <t>Straw Hat</t>
        </is>
      </c>
      <c r="K6" s="4" t="n">
        <v>1</v>
      </c>
      <c r="L6" s="4" t="n"/>
      <c r="M6" s="4" t="n"/>
      <c r="N6" s="4" t="inlineStr">
        <is>
          <t>USD</t>
        </is>
      </c>
      <c r="O6" s="5" t="n">
        <v>19.99</v>
      </c>
      <c r="P6" s="5" t="n">
        <v>19.99</v>
      </c>
      <c r="Q6" s="5">
        <f>O6*K6</f>
        <v/>
      </c>
      <c r="R6" s="5">
        <f>P6-Q6</f>
        <v/>
      </c>
      <c r="S6" s="4" t="n"/>
      <c r="T6" s="4" t="n"/>
      <c r="U6" s="4" t="n"/>
      <c r="V6" s="4" t="n"/>
      <c r="W6" s="4" t="n"/>
      <c r="X6" s="4" t="n"/>
      <c r="Y6" s="4" t="n"/>
      <c r="Z6" s="4" t="n"/>
      <c r="AA6" s="4" t="n"/>
      <c r="AB6" s="4" t="n"/>
      <c r="AC6" s="4" t="n"/>
      <c r="AD6" s="4" t="n"/>
      <c r="AE6" s="4" t="n"/>
      <c r="AF6" s="4" t="n"/>
      <c r="AG6" s="4" t="n"/>
      <c r="AH6" s="4" t="n"/>
      <c r="AI6" s="4" t="n"/>
      <c r="AJ6" s="4" t="n"/>
      <c r="AK6" s="4" t="n"/>
    </row>
    <row r="7">
      <c r="A7" s="4" t="n"/>
      <c r="B7" s="4" t="n"/>
      <c r="C7" s="4" t="n"/>
      <c r="D7" s="4" t="n"/>
      <c r="E7" s="4" t="n"/>
      <c r="F7" s="4" t="inlineStr">
        <is>
          <t>65040000</t>
        </is>
      </c>
      <c r="G7" s="4" t="n"/>
      <c r="H7" s="4" t="n"/>
      <c r="I7" s="4" t="inlineStr">
        <is>
          <t>1057731002004</t>
        </is>
      </c>
      <c r="J7" s="4" t="inlineStr">
        <is>
          <t>Straw Hat</t>
        </is>
      </c>
      <c r="K7" s="4" t="n">
        <v>1</v>
      </c>
      <c r="L7" s="4" t="n"/>
      <c r="M7" s="4" t="n"/>
      <c r="N7" s="4" t="inlineStr">
        <is>
          <t>USD</t>
        </is>
      </c>
      <c r="O7" s="5" t="n">
        <v>17.99</v>
      </c>
      <c r="P7" s="5" t="n">
        <v>17.99</v>
      </c>
      <c r="Q7" s="5">
        <f>O7*K7</f>
        <v/>
      </c>
      <c r="R7" s="5">
        <f>P7-Q7</f>
        <v/>
      </c>
      <c r="S7" s="4" t="n"/>
      <c r="T7" s="4" t="n"/>
      <c r="U7" s="4" t="n"/>
      <c r="V7" s="4" t="n"/>
      <c r="W7" s="4" t="n"/>
      <c r="X7" s="4" t="n"/>
      <c r="Y7" s="4" t="n"/>
      <c r="Z7" s="4" t="n"/>
      <c r="AA7" s="4" t="n"/>
      <c r="AB7" s="4" t="n"/>
      <c r="AC7" s="4" t="n"/>
      <c r="AD7" s="4" t="n"/>
      <c r="AE7" s="4" t="n"/>
      <c r="AF7" s="4" t="n"/>
      <c r="AG7" s="4" t="n"/>
      <c r="AH7" s="4" t="n"/>
      <c r="AI7" s="4" t="n"/>
      <c r="AJ7" s="4" t="n"/>
      <c r="AK7" s="4" t="n"/>
    </row>
    <row r="8">
      <c r="A8" s="4" t="n"/>
      <c r="B8" s="4" t="n"/>
      <c r="C8" s="4" t="n"/>
      <c r="D8" s="4" t="n"/>
      <c r="E8" s="4" t="n"/>
      <c r="F8" s="4" t="inlineStr">
        <is>
          <t>65040000</t>
        </is>
      </c>
      <c r="G8" s="4" t="n"/>
      <c r="H8" s="4" t="n"/>
      <c r="I8" s="4" t="inlineStr">
        <is>
          <t>1229647001004</t>
        </is>
      </c>
      <c r="J8" s="4" t="inlineStr">
        <is>
          <t>Frayed-edge Straw Hat</t>
        </is>
      </c>
      <c r="K8" s="4" t="n">
        <v>1</v>
      </c>
      <c r="L8" s="4" t="n"/>
      <c r="M8" s="4" t="n"/>
      <c r="N8" s="4" t="inlineStr">
        <is>
          <t>USD</t>
        </is>
      </c>
      <c r="O8" s="5" t="n">
        <v>12.99</v>
      </c>
      <c r="P8" s="5" t="n">
        <v>12.99</v>
      </c>
      <c r="Q8" s="5">
        <f>O8*K8</f>
        <v/>
      </c>
      <c r="R8" s="5">
        <f>P8-Q8</f>
        <v/>
      </c>
      <c r="S8" s="4" t="n"/>
      <c r="T8" s="4" t="n"/>
      <c r="U8" s="4" t="n"/>
      <c r="V8" s="4" t="n"/>
      <c r="W8" s="4" t="n"/>
      <c r="X8" s="4" t="n"/>
      <c r="Y8" s="4" t="n"/>
      <c r="Z8" s="4" t="n"/>
      <c r="AA8" s="4" t="n"/>
      <c r="AB8" s="4" t="n"/>
      <c r="AC8" s="4" t="n"/>
      <c r="AD8" s="4" t="n"/>
      <c r="AE8" s="4" t="n"/>
      <c r="AF8" s="4" t="n"/>
      <c r="AG8" s="4" t="n"/>
      <c r="AH8" s="4" t="n"/>
      <c r="AI8" s="4" t="n"/>
      <c r="AJ8" s="4" t="n"/>
      <c r="AK8" s="4" t="n"/>
    </row>
    <row r="9">
      <c r="A9" s="6" t="n"/>
      <c r="B9" s="6" t="n"/>
      <c r="C9" s="6" t="n"/>
      <c r="D9" s="6" t="n"/>
      <c r="E9" s="6" t="n"/>
      <c r="F9" s="6" t="n"/>
      <c r="G9" s="6" t="n"/>
      <c r="H9" s="6" t="n"/>
      <c r="I9" s="6" t="n"/>
      <c r="J9" s="6" t="inlineStr">
        <is>
          <t>SUBTOTAL (GROUPED)</t>
        </is>
      </c>
      <c r="K9" s="6" t="n"/>
      <c r="L9" s="6" t="n"/>
      <c r="M9" s="6" t="n"/>
      <c r="N9" s="6" t="n"/>
      <c r="O9" s="6" t="n"/>
      <c r="P9" s="7">
        <f>P2+P5</f>
        <v/>
      </c>
      <c r="Q9" s="7">
        <f>Q2+Q5</f>
        <v/>
      </c>
      <c r="R9" s="6" t="n"/>
      <c r="S9" s="6" t="n"/>
      <c r="T9" s="6" t="n"/>
      <c r="U9" s="6" t="n"/>
      <c r="V9" s="6" t="n"/>
      <c r="W9" s="6" t="n"/>
      <c r="X9" s="6" t="n"/>
      <c r="Y9" s="6" t="n"/>
      <c r="Z9" s="6" t="n"/>
      <c r="AA9" s="6" t="n"/>
      <c r="AB9" s="6" t="n"/>
      <c r="AC9" s="6" t="n"/>
      <c r="AD9" s="6" t="n"/>
      <c r="AE9" s="6" t="n"/>
      <c r="AF9" s="6" t="n"/>
      <c r="AG9" s="6" t="n"/>
      <c r="AH9" s="6" t="n"/>
      <c r="AI9" s="6" t="n"/>
      <c r="AJ9" s="6" t="n"/>
      <c r="AK9" s="6" t="n"/>
    </row>
    <row r="10">
      <c r="A10" s="6" t="n"/>
      <c r="B10" s="6" t="n"/>
      <c r="C10" s="6" t="n"/>
      <c r="D10" s="6" t="n"/>
      <c r="E10" s="6" t="n"/>
      <c r="F10" s="6" t="n"/>
      <c r="G10" s="6" t="n"/>
      <c r="H10" s="6" t="n"/>
      <c r="I10" s="6" t="n"/>
      <c r="J10" s="6" t="inlineStr">
        <is>
          <t>SUBTOTAL (DETAILS)</t>
        </is>
      </c>
      <c r="K10" s="6" t="n"/>
      <c r="L10" s="6" t="n"/>
      <c r="M10" s="6" t="n"/>
      <c r="N10" s="6" t="n"/>
      <c r="O10" s="6" t="n"/>
      <c r="P10" s="7">
        <f>SUM(P2:P8)-P9</f>
        <v/>
      </c>
      <c r="Q10" s="7">
        <f>SUM(Q2:Q8)-Q9</f>
        <v/>
      </c>
      <c r="R10" s="6" t="n"/>
      <c r="S10" s="6" t="n"/>
      <c r="T10" s="6" t="n"/>
      <c r="U10" s="6" t="n"/>
      <c r="V10" s="6" t="n"/>
      <c r="W10" s="6" t="n"/>
      <c r="X10" s="6" t="n"/>
      <c r="Y10" s="6" t="n"/>
      <c r="Z10" s="6" t="n"/>
      <c r="AA10" s="6" t="n"/>
      <c r="AB10" s="6" t="n"/>
      <c r="AC10" s="6" t="n"/>
      <c r="AD10" s="6" t="n"/>
      <c r="AE10" s="6" t="n"/>
      <c r="AF10" s="6" t="n"/>
      <c r="AG10" s="6" t="n"/>
      <c r="AH10" s="6" t="n"/>
      <c r="AI10" s="6" t="n"/>
      <c r="AJ10" s="6" t="n"/>
      <c r="AK10" s="6" t="n"/>
    </row>
    <row r="11">
      <c r="A11" s="8" t="n"/>
      <c r="B11" s="8" t="n"/>
      <c r="C11" s="8" t="n"/>
      <c r="D11" s="8" t="n"/>
      <c r="E11" s="8" t="n"/>
      <c r="F11" s="8" t="n"/>
      <c r="G11" s="8" t="n"/>
      <c r="H11" s="8" t="n"/>
      <c r="I11" s="8" t="n"/>
      <c r="J11" s="8" t="inlineStr">
        <is>
          <t>GROUP VERIFICATION</t>
        </is>
      </c>
      <c r="K11" s="8" t="n"/>
      <c r="L11" s="8" t="n"/>
      <c r="M11" s="8" t="n"/>
      <c r="N11" s="8" t="n"/>
      <c r="O11" s="8" t="n"/>
      <c r="P11" s="9">
        <f>P9-P10</f>
        <v/>
      </c>
      <c r="Q11" s="9">
        <f>Q9-Q10</f>
        <v/>
      </c>
      <c r="R11" s="8" t="n"/>
      <c r="S11" s="8" t="n"/>
      <c r="T11" s="8" t="n"/>
      <c r="U11" s="8" t="n"/>
      <c r="V11" s="8" t="n"/>
      <c r="W11" s="8" t="n"/>
      <c r="X11" s="8" t="n"/>
      <c r="Y11" s="8" t="n"/>
      <c r="Z11" s="8" t="n"/>
      <c r="AA11" s="8" t="n"/>
      <c r="AB11" s="8" t="n"/>
      <c r="AC11" s="8" t="n"/>
      <c r="AD11" s="8" t="n"/>
      <c r="AE11" s="8" t="n"/>
      <c r="AF11" s="8" t="n"/>
      <c r="AG11" s="8" t="n"/>
      <c r="AH11" s="8" t="n"/>
      <c r="AI11" s="8" t="n"/>
      <c r="AJ11" s="8" t="n"/>
      <c r="AK11" s="8" t="n"/>
    </row>
    <row r="12"/>
    <row r="13">
      <c r="A13" s="6" t="n"/>
      <c r="B13" s="6" t="n"/>
      <c r="C13" s="6" t="n"/>
      <c r="D13" s="6" t="n"/>
      <c r="E13" s="6" t="n"/>
      <c r="F13" s="6" t="n"/>
      <c r="G13" s="6" t="n"/>
      <c r="H13" s="6" t="n"/>
      <c r="I13" s="6" t="n"/>
      <c r="J13" s="6" t="inlineStr">
        <is>
          <t>TOTAL INTERNAL FREIGHT</t>
        </is>
      </c>
      <c r="K13" s="6" t="n"/>
      <c r="L13" s="6" t="n"/>
      <c r="M13" s="6" t="n"/>
      <c r="N13" s="6" t="n"/>
      <c r="O13" s="6" t="n"/>
      <c r="P13" s="7" t="n">
        <v>0</v>
      </c>
      <c r="Q13" s="7" t="n"/>
      <c r="R13" s="6" t="n"/>
      <c r="S13" s="6" t="n"/>
      <c r="T13" s="6" t="n"/>
      <c r="U13" s="6" t="n"/>
      <c r="V13" s="6" t="n"/>
      <c r="W13" s="6" t="n"/>
      <c r="X13" s="6" t="n"/>
      <c r="Y13" s="6" t="n"/>
      <c r="Z13" s="6" t="n"/>
      <c r="AA13" s="6" t="n"/>
      <c r="AB13" s="6" t="n"/>
      <c r="AC13" s="6" t="n"/>
      <c r="AD13" s="6" t="n"/>
      <c r="AE13" s="6" t="n"/>
      <c r="AF13" s="6" t="n"/>
      <c r="AG13" s="6" t="n"/>
      <c r="AH13" s="6" t="n"/>
      <c r="AI13" s="6" t="n"/>
      <c r="AJ13" s="6" t="n"/>
      <c r="AK13" s="6" t="n"/>
    </row>
    <row r="14">
      <c r="A14" s="6" t="n"/>
      <c r="B14" s="6" t="n"/>
      <c r="C14" s="6" t="n"/>
      <c r="D14" s="6" t="n"/>
      <c r="E14" s="6" t="n"/>
      <c r="F14" s="6" t="n"/>
      <c r="G14" s="6" t="n"/>
      <c r="H14" s="6" t="n"/>
      <c r="I14" s="6" t="n"/>
      <c r="J14" s="6" t="inlineStr">
        <is>
          <t>TOTAL INSURANCE</t>
        </is>
      </c>
      <c r="K14" s="6" t="n"/>
      <c r="L14" s="6" t="n"/>
      <c r="M14" s="6" t="n"/>
      <c r="N14" s="6" t="n"/>
      <c r="O14" s="6" t="n"/>
      <c r="P14" s="7" t="n">
        <v>0</v>
      </c>
      <c r="Q14" s="7" t="n"/>
      <c r="R14" s="6" t="n"/>
      <c r="S14" s="6" t="n"/>
      <c r="T14" s="6" t="n"/>
      <c r="U14" s="6" t="n"/>
      <c r="V14" s="6" t="n"/>
      <c r="W14" s="6" t="n"/>
      <c r="X14" s="6" t="n"/>
      <c r="Y14" s="6" t="n"/>
      <c r="Z14" s="6" t="n"/>
      <c r="AA14" s="6" t="n"/>
      <c r="AB14" s="6" t="n"/>
      <c r="AC14" s="6" t="n"/>
      <c r="AD14" s="6" t="n"/>
      <c r="AE14" s="6" t="n"/>
      <c r="AF14" s="6" t="n"/>
      <c r="AG14" s="6" t="n"/>
      <c r="AH14" s="6" t="n"/>
      <c r="AI14" s="6" t="n"/>
      <c r="AJ14" s="6" t="n"/>
      <c r="AK14" s="6" t="n"/>
    </row>
    <row r="15">
      <c r="A15" s="6" t="n"/>
      <c r="B15" s="6" t="n"/>
      <c r="C15" s="6" t="n"/>
      <c r="D15" s="6" t="n"/>
      <c r="E15" s="6" t="n"/>
      <c r="F15" s="6" t="n"/>
      <c r="G15" s="6" t="n"/>
      <c r="H15" s="6" t="n"/>
      <c r="I15" s="6" t="n"/>
      <c r="J15" s="6" t="inlineStr">
        <is>
          <t>TOTAL OTHER COST</t>
        </is>
      </c>
      <c r="K15" s="6" t="n"/>
      <c r="L15" s="6" t="n"/>
      <c r="M15" s="6" t="n"/>
      <c r="N15" s="6" t="n"/>
      <c r="O15" s="6" t="n"/>
      <c r="P15" s="7" t="n">
        <v>0</v>
      </c>
      <c r="Q15" s="7" t="n"/>
      <c r="R15" s="6" t="n"/>
      <c r="S15" s="6" t="n"/>
      <c r="T15" s="6" t="n"/>
      <c r="U15" s="6" t="n"/>
      <c r="V15" s="6" t="n"/>
      <c r="W15" s="6" t="n"/>
      <c r="X15" s="6" t="n"/>
      <c r="Y15" s="6" t="n"/>
      <c r="Z15" s="6" t="n"/>
      <c r="AA15" s="6" t="n"/>
      <c r="AB15" s="6" t="n"/>
      <c r="AC15" s="6" t="n"/>
      <c r="AD15" s="6" t="n"/>
      <c r="AE15" s="6" t="n"/>
      <c r="AF15" s="6" t="n"/>
      <c r="AG15" s="6" t="n"/>
      <c r="AH15" s="6" t="n"/>
      <c r="AI15" s="6" t="n"/>
      <c r="AJ15" s="6" t="n"/>
      <c r="AK15" s="6" t="n"/>
    </row>
    <row r="16">
      <c r="A16" s="6" t="n"/>
      <c r="B16" s="6" t="n"/>
      <c r="C16" s="6" t="n"/>
      <c r="D16" s="6" t="n"/>
      <c r="E16" s="6" t="n"/>
      <c r="F16" s="6" t="n"/>
      <c r="G16" s="6" t="n"/>
      <c r="H16" s="6" t="n"/>
      <c r="I16" s="6" t="n"/>
      <c r="J16" s="6" t="inlineStr">
        <is>
          <t>TOTAL DEDUCTION</t>
        </is>
      </c>
      <c r="K16" s="6" t="n"/>
      <c r="L16" s="6" t="n"/>
      <c r="M16" s="6" t="n"/>
      <c r="N16" s="6" t="n"/>
      <c r="O16" s="6" t="n"/>
      <c r="P16" s="7" t="n">
        <v>0</v>
      </c>
      <c r="Q16" s="7" t="n"/>
      <c r="R16" s="6" t="n"/>
      <c r="S16" s="6" t="n"/>
      <c r="T16" s="6" t="n"/>
      <c r="U16" s="6" t="n"/>
      <c r="V16" s="6" t="n"/>
      <c r="W16" s="6" t="n"/>
      <c r="X16" s="6" t="n"/>
      <c r="Y16" s="6" t="n"/>
      <c r="Z16" s="6" t="n"/>
      <c r="AA16" s="6" t="n"/>
      <c r="AB16" s="6" t="n"/>
      <c r="AC16" s="6" t="n"/>
      <c r="AD16" s="6" t="n"/>
      <c r="AE16" s="6" t="n"/>
      <c r="AF16" s="6" t="n"/>
      <c r="AG16" s="6" t="n"/>
      <c r="AH16" s="6" t="n"/>
      <c r="AI16" s="6" t="n"/>
      <c r="AJ16" s="6" t="n"/>
      <c r="AK16" s="6" t="n"/>
    </row>
    <row r="17">
      <c r="A17" s="6" t="n"/>
      <c r="B17" s="6" t="n"/>
      <c r="C17" s="6" t="n"/>
      <c r="D17" s="6" t="n"/>
      <c r="E17" s="6" t="n"/>
      <c r="F17" s="6" t="n"/>
      <c r="G17" s="6" t="n"/>
      <c r="H17" s="6" t="n"/>
      <c r="I17" s="6" t="n"/>
      <c r="J17" s="6" t="inlineStr">
        <is>
          <t>ADJUSTMENTS</t>
        </is>
      </c>
      <c r="K17" s="6" t="n"/>
      <c r="L17" s="6" t="n"/>
      <c r="M17" s="6" t="n"/>
      <c r="N17" s="6" t="n"/>
      <c r="O17" s="6" t="n"/>
      <c r="P17" s="7">
        <f>(T2+U2+V2-W2)</f>
        <v/>
      </c>
      <c r="Q17" s="7">
        <f>(T2+U2+V2-W2)</f>
        <v/>
      </c>
      <c r="R17" s="6" t="n"/>
      <c r="S17" s="6" t="n"/>
      <c r="T17" s="6" t="n"/>
      <c r="U17" s="6" t="n"/>
      <c r="V17" s="6" t="n"/>
      <c r="W17" s="6" t="n"/>
      <c r="X17" s="6" t="n"/>
      <c r="Y17" s="6" t="n"/>
      <c r="Z17" s="6" t="n"/>
      <c r="AA17" s="6" t="n"/>
      <c r="AB17" s="6" t="n"/>
      <c r="AC17" s="6" t="n"/>
      <c r="AD17" s="6" t="n"/>
      <c r="AE17" s="6" t="n"/>
      <c r="AF17" s="6" t="n"/>
      <c r="AG17" s="6" t="n"/>
      <c r="AH17" s="6" t="n"/>
      <c r="AI17" s="6" t="n"/>
      <c r="AJ17" s="6" t="n"/>
      <c r="AK17" s="6" t="n"/>
    </row>
    <row r="18"/>
    <row r="19">
      <c r="A19" s="6" t="n"/>
      <c r="B19" s="6" t="n"/>
      <c r="C19" s="6" t="n"/>
      <c r="D19" s="6" t="n"/>
      <c r="E19" s="6" t="n"/>
      <c r="F19" s="6" t="n"/>
      <c r="G19" s="6" t="n"/>
      <c r="H19" s="6" t="n"/>
      <c r="I19" s="6" t="n"/>
      <c r="J19" s="6" t="inlineStr">
        <is>
          <t>NET TOTAL</t>
        </is>
      </c>
      <c r="K19" s="6" t="n"/>
      <c r="L19" s="6" t="n"/>
      <c r="M19" s="6" t="n"/>
      <c r="N19" s="6" t="n"/>
      <c r="O19" s="6" t="n"/>
      <c r="P19" s="7">
        <f>P9+P17</f>
        <v/>
      </c>
      <c r="Q19" s="7">
        <f>Q9+Q17</f>
        <v/>
      </c>
      <c r="R19" s="6" t="n"/>
      <c r="S19" s="6" t="n"/>
      <c r="T19" s="6" t="n"/>
      <c r="U19" s="6" t="n"/>
      <c r="V19" s="6" t="n"/>
      <c r="W19" s="6" t="n"/>
      <c r="X19" s="6" t="n"/>
      <c r="Y19" s="6" t="n"/>
      <c r="Z19" s="6" t="n"/>
      <c r="AA19" s="6" t="n"/>
      <c r="AB19" s="6" t="n"/>
      <c r="AC19" s="6" t="n"/>
      <c r="AD19" s="6" t="n"/>
      <c r="AE19" s="6" t="n"/>
      <c r="AF19" s="6" t="n"/>
      <c r="AG19" s="6" t="n"/>
      <c r="AH19" s="6" t="n"/>
      <c r="AI19" s="6" t="n"/>
      <c r="AJ19" s="6" t="n"/>
      <c r="AK19" s="6" t="n"/>
    </row>
    <row r="20">
      <c r="A20" s="6" t="n"/>
      <c r="B20" s="6" t="n"/>
      <c r="C20" s="6" t="n"/>
      <c r="D20" s="6" t="n"/>
      <c r="E20" s="6" t="n"/>
      <c r="F20" s="6" t="n"/>
      <c r="G20" s="6" t="n"/>
      <c r="H20" s="6" t="n"/>
      <c r="I20" s="6" t="n"/>
      <c r="J20" s="6" t="inlineStr">
        <is>
          <t>INVOICE TOTAL</t>
        </is>
      </c>
      <c r="K20" s="6" t="n"/>
      <c r="L20" s="6" t="n"/>
      <c r="M20" s="6" t="n"/>
      <c r="N20" s="6" t="n"/>
      <c r="O20" s="6" t="n"/>
      <c r="P20" s="7">
        <f>S2</f>
        <v/>
      </c>
      <c r="Q20" s="7" t="n"/>
      <c r="R20" s="6" t="n"/>
      <c r="S20" s="6" t="n"/>
      <c r="T20" s="6" t="n"/>
      <c r="U20" s="6" t="n"/>
      <c r="V20" s="6" t="n"/>
      <c r="W20" s="6" t="n"/>
      <c r="X20" s="6" t="n"/>
      <c r="Y20" s="6" t="n"/>
      <c r="Z20" s="6" t="n"/>
      <c r="AA20" s="6" t="n"/>
      <c r="AB20" s="6" t="n"/>
      <c r="AC20" s="6" t="n"/>
      <c r="AD20" s="6" t="n"/>
      <c r="AE20" s="6" t="n"/>
      <c r="AF20" s="6" t="n"/>
      <c r="AG20" s="6" t="n"/>
      <c r="AH20" s="6" t="n"/>
      <c r="AI20" s="6" t="n"/>
      <c r="AJ20" s="6" t="n"/>
      <c r="AK20" s="6" t="n"/>
    </row>
    <row r="21"/>
    <row r="22">
      <c r="A22" s="10" t="n"/>
      <c r="B22" s="10" t="n"/>
      <c r="C22" s="10" t="n"/>
      <c r="D22" s="10" t="n"/>
      <c r="E22" s="10" t="n"/>
      <c r="F22" s="10" t="n"/>
      <c r="G22" s="10" t="n"/>
      <c r="H22" s="10" t="n"/>
      <c r="I22" s="10" t="n"/>
      <c r="J22" s="10" t="inlineStr">
        <is>
          <t>VARIANCE CHECK</t>
        </is>
      </c>
      <c r="K22" s="10" t="n"/>
      <c r="L22" s="10" t="n"/>
      <c r="M22" s="10" t="n"/>
      <c r="N22" s="10" t="n"/>
      <c r="O22" s="10" t="n"/>
      <c r="P22" s="11">
        <f>S2-P19</f>
        <v/>
      </c>
      <c r="Q22" s="11">
        <f>S2-Q19</f>
        <v/>
      </c>
      <c r="R22" s="10" t="n"/>
      <c r="S22" s="10" t="n"/>
      <c r="T22" s="10" t="n"/>
      <c r="U22" s="10" t="n"/>
      <c r="V22" s="10" t="n"/>
      <c r="W22" s="10" t="n"/>
      <c r="X22" s="10" t="n"/>
      <c r="Y22" s="10" t="n"/>
      <c r="Z22" s="10" t="n"/>
      <c r="AA22" s="10" t="n"/>
      <c r="AB22" s="10" t="n"/>
      <c r="AC22" s="10" t="n"/>
      <c r="AD22" s="10" t="n"/>
      <c r="AE22" s="10" t="n"/>
      <c r="AF22" s="10" t="n"/>
      <c r="AG22" s="10" t="n"/>
      <c r="AH22" s="10" t="n"/>
      <c r="AI22" s="10" t="n"/>
      <c r="AJ22" s="10" t="n"/>
      <c r="AK22" s="10" t="n"/>
    </row>
    <row r="23"/>
    <row r="24">
      <c r="A24" s="12" t="n"/>
      <c r="B24" s="12" t="n"/>
      <c r="C24" s="12" t="n"/>
      <c r="D24" s="12" t="n"/>
      <c r="E24" s="12" t="n"/>
      <c r="F24" s="12" t="n"/>
      <c r="G24" s="12" t="n"/>
      <c r="H24" s="12" t="n"/>
      <c r="I24" s="12" t="n"/>
      <c r="J24" s="12" t="inlineStr">
        <is>
          <t>DUTY ESTIMATION (Classification Cross-Check)</t>
        </is>
      </c>
      <c r="K24" s="12" t="n"/>
      <c r="L24" s="12" t="n"/>
      <c r="M24" s="12" t="n"/>
      <c r="N24" s="12" t="n"/>
      <c r="O24" s="12" t="n"/>
      <c r="P24" s="12" t="n"/>
      <c r="Q24" s="12" t="n"/>
      <c r="R24" s="12" t="n"/>
      <c r="S24" s="12" t="n"/>
      <c r="T24" s="12" t="n"/>
      <c r="U24" s="12" t="n"/>
      <c r="V24" s="12" t="n"/>
      <c r="W24" s="12" t="n"/>
      <c r="X24" s="12" t="n"/>
      <c r="Y24" s="12" t="n"/>
      <c r="Z24" s="12" t="n"/>
      <c r="AA24" s="12" t="n"/>
      <c r="AB24" s="12" t="n"/>
      <c r="AC24" s="12" t="n"/>
      <c r="AD24" s="12" t="n"/>
      <c r="AE24" s="12" t="n"/>
      <c r="AF24" s="12" t="n"/>
      <c r="AG24" s="12" t="n"/>
      <c r="AH24" s="12" t="n"/>
      <c r="AI24" s="12" t="n"/>
      <c r="AJ24" s="12" t="n"/>
      <c r="AK24" s="12" t="n"/>
    </row>
    <row r="25">
      <c r="A25" s="13" t="n"/>
      <c r="B25" s="13" t="n"/>
      <c r="C25" s="13" t="n"/>
      <c r="D25" s="13" t="n"/>
      <c r="E25" s="13" t="n"/>
      <c r="F25" s="13" t="n"/>
      <c r="G25" s="13" t="n"/>
      <c r="H25" s="13" t="n"/>
      <c r="I25" s="13" t="n"/>
      <c r="J25" s="14" t="inlineStr">
        <is>
          <t>CIF (USD) = InvTotal + Freight + Insurance</t>
        </is>
      </c>
      <c r="K25" s="13" t="n"/>
      <c r="L25" s="13" t="n"/>
      <c r="M25" s="13" t="n"/>
      <c r="N25" s="13" t="n"/>
      <c r="O25" s="13" t="n"/>
      <c r="P25" s="15" t="n">
        <v>128.93</v>
      </c>
      <c r="Q25" s="13" t="n"/>
      <c r="R25" s="13" t="n"/>
      <c r="S25" s="13" t="n"/>
      <c r="T25" s="13" t="n"/>
      <c r="U25" s="13" t="n"/>
      <c r="V25" s="13" t="n"/>
      <c r="W25" s="13" t="n"/>
      <c r="X25" s="13" t="n"/>
      <c r="Y25" s="13" t="n"/>
      <c r="Z25" s="13" t="n"/>
      <c r="AA25" s="13" t="n"/>
      <c r="AB25" s="13" t="n"/>
      <c r="AC25" s="13" t="n"/>
      <c r="AD25" s="13" t="n"/>
      <c r="AE25" s="13" t="n"/>
      <c r="AF25" s="13" t="n"/>
      <c r="AG25" s="13" t="n"/>
      <c r="AH25" s="13" t="n"/>
      <c r="AI25" s="13" t="n"/>
      <c r="AJ25" s="13" t="n"/>
      <c r="AK25" s="13" t="n"/>
    </row>
    <row r="26">
      <c r="A26" s="13" t="n"/>
      <c r="B26" s="13" t="n"/>
      <c r="C26" s="13" t="n"/>
      <c r="D26" s="13" t="n"/>
      <c r="E26" s="13" t="n"/>
      <c r="F26" s="13" t="n"/>
      <c r="G26" s="13" t="n"/>
      <c r="H26" s="13" t="n"/>
      <c r="I26" s="13" t="n"/>
      <c r="J26" s="14" t="inlineStr">
        <is>
          <t>CIF (XCD) = CIF × 2.7169</t>
        </is>
      </c>
      <c r="K26" s="13" t="n"/>
      <c r="L26" s="13" t="n"/>
      <c r="M26" s="13" t="n"/>
      <c r="N26" s="13" t="n"/>
      <c r="O26" s="13" t="n"/>
      <c r="P26" s="15" t="n">
        <v>350.29</v>
      </c>
      <c r="Q26" s="13" t="n"/>
      <c r="R26" s="13" t="n"/>
      <c r="S26" s="13" t="n"/>
      <c r="T26" s="13" t="n"/>
      <c r="U26" s="13" t="n"/>
      <c r="V26" s="13" t="n"/>
      <c r="W26" s="13" t="n"/>
      <c r="X26" s="13" t="n"/>
      <c r="Y26" s="13" t="n"/>
      <c r="Z26" s="13" t="n"/>
      <c r="AA26" s="13" t="n"/>
      <c r="AB26" s="13" t="n"/>
      <c r="AC26" s="13" t="n"/>
      <c r="AD26" s="13" t="n"/>
      <c r="AE26" s="13" t="n"/>
      <c r="AF26" s="13" t="n"/>
      <c r="AG26" s="13" t="n"/>
      <c r="AH26" s="13" t="n"/>
      <c r="AI26" s="13" t="n"/>
      <c r="AJ26" s="13" t="n"/>
      <c r="AK26" s="13" t="n"/>
    </row>
    <row r="27">
      <c r="A27" s="13" t="n"/>
      <c r="B27" s="13" t="n"/>
      <c r="C27" s="13" t="n"/>
      <c r="D27" s="13" t="n"/>
      <c r="E27" s="13" t="n"/>
      <c r="F27" s="13" t="n"/>
      <c r="G27" s="13" t="n"/>
      <c r="H27" s="13" t="n"/>
      <c r="I27" s="13" t="n"/>
      <c r="J27" s="14" t="inlineStr">
        <is>
          <t>CET (weighted avg 20.0%)</t>
        </is>
      </c>
      <c r="K27" s="13" t="n"/>
      <c r="L27" s="13" t="n"/>
      <c r="M27" s="13" t="n"/>
      <c r="N27" s="13" t="n"/>
      <c r="O27" s="13" t="n"/>
      <c r="P27" s="15" t="n">
        <v>70.06</v>
      </c>
      <c r="Q27" s="13" t="n"/>
      <c r="R27" s="13" t="n"/>
      <c r="S27" s="13" t="n"/>
      <c r="T27" s="13" t="n"/>
      <c r="U27" s="13" t="n"/>
      <c r="V27" s="13" t="n"/>
      <c r="W27" s="13" t="n"/>
      <c r="X27" s="13" t="n"/>
      <c r="Y27" s="13" t="n"/>
      <c r="Z27" s="13" t="n"/>
      <c r="AA27" s="13" t="n"/>
      <c r="AB27" s="13" t="n"/>
      <c r="AC27" s="13" t="n"/>
      <c r="AD27" s="13" t="n"/>
      <c r="AE27" s="13" t="n"/>
      <c r="AF27" s="13" t="n"/>
      <c r="AG27" s="13" t="n"/>
      <c r="AH27" s="13" t="n"/>
      <c r="AI27" s="13" t="n"/>
      <c r="AJ27" s="13" t="n"/>
      <c r="AK27" s="13" t="n"/>
    </row>
    <row r="28">
      <c r="A28" s="13" t="n"/>
      <c r="B28" s="13" t="n"/>
      <c r="C28" s="13" t="n"/>
      <c r="D28" s="13" t="n"/>
      <c r="E28" s="13" t="n"/>
      <c r="F28" s="13" t="n"/>
      <c r="G28" s="13" t="n"/>
      <c r="H28" s="13" t="n"/>
      <c r="I28" s="13" t="n"/>
      <c r="J28" s="14" t="inlineStr">
        <is>
          <t xml:space="preserve">  └ 62046290: 20% CET (45% of value)</t>
        </is>
      </c>
      <c r="K28" s="13" t="n"/>
      <c r="L28" s="13" t="n"/>
      <c r="M28" s="13" t="n"/>
      <c r="N28" s="13" t="n"/>
      <c r="O28" s="13" t="n"/>
      <c r="P28" s="15" t="n">
        <v>31.64</v>
      </c>
      <c r="Q28" s="13" t="n"/>
      <c r="R28" s="13" t="n"/>
      <c r="S28" s="13" t="n"/>
      <c r="T28" s="13" t="n"/>
      <c r="U28" s="13" t="n"/>
      <c r="V28" s="13" t="n"/>
      <c r="W28" s="13" t="n"/>
      <c r="X28" s="13" t="n"/>
      <c r="Y28" s="13" t="n"/>
      <c r="Z28" s="13" t="n"/>
      <c r="AA28" s="13" t="n"/>
      <c r="AB28" s="13" t="n"/>
      <c r="AC28" s="13" t="n"/>
      <c r="AD28" s="13" t="n"/>
      <c r="AE28" s="13" t="n"/>
      <c r="AF28" s="13" t="n"/>
      <c r="AG28" s="13" t="n"/>
      <c r="AH28" s="13" t="n"/>
      <c r="AI28" s="13" t="n"/>
      <c r="AJ28" s="13" t="n"/>
      <c r="AK28" s="13" t="n"/>
    </row>
    <row r="29">
      <c r="A29" s="13" t="n"/>
      <c r="B29" s="13" t="n"/>
      <c r="C29" s="13" t="n"/>
      <c r="D29" s="13" t="n"/>
      <c r="E29" s="13" t="n"/>
      <c r="F29" s="13" t="n"/>
      <c r="G29" s="13" t="n"/>
      <c r="H29" s="13" t="n"/>
      <c r="I29" s="13" t="n"/>
      <c r="J29" s="14" t="inlineStr">
        <is>
          <t xml:space="preserve">  └ 65040000: 20% CET (55% of value)</t>
        </is>
      </c>
      <c r="K29" s="13" t="n"/>
      <c r="L29" s="13" t="n"/>
      <c r="M29" s="13" t="n"/>
      <c r="N29" s="13" t="n"/>
      <c r="O29" s="13" t="n"/>
      <c r="P29" s="15" t="n">
        <v>38.42</v>
      </c>
      <c r="Q29" s="13" t="n"/>
      <c r="R29" s="13" t="n"/>
      <c r="S29" s="13" t="n"/>
      <c r="T29" s="13" t="n"/>
      <c r="U29" s="13" t="n"/>
      <c r="V29" s="13" t="n"/>
      <c r="W29" s="13" t="n"/>
      <c r="X29" s="13" t="n"/>
      <c r="Y29" s="13" t="n"/>
      <c r="Z29" s="13" t="n"/>
      <c r="AA29" s="13" t="n"/>
      <c r="AB29" s="13" t="n"/>
      <c r="AC29" s="13" t="n"/>
      <c r="AD29" s="13" t="n"/>
      <c r="AE29" s="13" t="n"/>
      <c r="AF29" s="13" t="n"/>
      <c r="AG29" s="13" t="n"/>
      <c r="AH29" s="13" t="n"/>
      <c r="AI29" s="13" t="n"/>
      <c r="AJ29" s="13" t="n"/>
      <c r="AK29" s="13" t="n"/>
    </row>
    <row r="30">
      <c r="A30" s="13" t="n"/>
      <c r="B30" s="13" t="n"/>
      <c r="C30" s="13" t="n"/>
      <c r="D30" s="13" t="n"/>
      <c r="E30" s="13" t="n"/>
      <c r="F30" s="13" t="n"/>
      <c r="G30" s="13" t="n"/>
      <c r="H30" s="13" t="n"/>
      <c r="I30" s="13" t="n"/>
      <c r="J30" s="14" t="inlineStr">
        <is>
          <t>CSC (6%)</t>
        </is>
      </c>
      <c r="K30" s="13" t="n"/>
      <c r="L30" s="13" t="n"/>
      <c r="M30" s="13" t="n"/>
      <c r="N30" s="13" t="n"/>
      <c r="O30" s="13" t="n"/>
      <c r="P30" s="15" t="n">
        <v>21.02</v>
      </c>
      <c r="Q30" s="13" t="n"/>
      <c r="R30" s="13" t="n"/>
      <c r="S30" s="13" t="n"/>
      <c r="T30" s="13" t="n"/>
      <c r="U30" s="13" t="n"/>
      <c r="V30" s="13" t="n"/>
      <c r="W30" s="13" t="n"/>
      <c r="X30" s="13" t="n"/>
      <c r="Y30" s="13" t="n"/>
      <c r="Z30" s="13" t="n"/>
      <c r="AA30" s="13" t="n"/>
      <c r="AB30" s="13" t="n"/>
      <c r="AC30" s="13" t="n"/>
      <c r="AD30" s="13" t="n"/>
      <c r="AE30" s="13" t="n"/>
      <c r="AF30" s="13" t="n"/>
      <c r="AG30" s="13" t="n"/>
      <c r="AH30" s="13" t="n"/>
      <c r="AI30" s="13" t="n"/>
      <c r="AJ30" s="13" t="n"/>
      <c r="AK30" s="13" t="n"/>
    </row>
    <row r="31">
      <c r="A31" s="13" t="n"/>
      <c r="B31" s="13" t="n"/>
      <c r="C31" s="13" t="n"/>
      <c r="D31" s="13" t="n"/>
      <c r="E31" s="13" t="n"/>
      <c r="F31" s="13" t="n"/>
      <c r="G31" s="13" t="n"/>
      <c r="H31" s="13" t="n"/>
      <c r="I31" s="13" t="n"/>
      <c r="J31" s="14" t="inlineStr">
        <is>
          <t>VAT (15%) on CIF+CET+CSC</t>
        </is>
      </c>
      <c r="K31" s="13" t="n"/>
      <c r="L31" s="13" t="n"/>
      <c r="M31" s="13" t="n"/>
      <c r="N31" s="13" t="n"/>
      <c r="O31" s="13" t="n"/>
      <c r="P31" s="15" t="n">
        <v>66.20999999999999</v>
      </c>
      <c r="Q31" s="13" t="n"/>
      <c r="R31" s="13" t="n"/>
      <c r="S31" s="13" t="n"/>
      <c r="T31" s="13" t="n"/>
      <c r="U31" s="13" t="n"/>
      <c r="V31" s="13" t="n"/>
      <c r="W31" s="13" t="n"/>
      <c r="X31" s="13" t="n"/>
      <c r="Y31" s="13" t="n"/>
      <c r="Z31" s="13" t="n"/>
      <c r="AA31" s="13" t="n"/>
      <c r="AB31" s="13" t="n"/>
      <c r="AC31" s="13" t="n"/>
      <c r="AD31" s="13" t="n"/>
      <c r="AE31" s="13" t="n"/>
      <c r="AF31" s="13" t="n"/>
      <c r="AG31" s="13" t="n"/>
      <c r="AH31" s="13" t="n"/>
      <c r="AI31" s="13" t="n"/>
      <c r="AJ31" s="13" t="n"/>
      <c r="AK31" s="13" t="n"/>
    </row>
    <row r="32">
      <c r="A32" s="16" t="n"/>
      <c r="B32" s="16" t="n"/>
      <c r="C32" s="16" t="n"/>
      <c r="D32" s="16" t="n"/>
      <c r="E32" s="16" t="n"/>
      <c r="F32" s="16" t="n"/>
      <c r="G32" s="16" t="n"/>
      <c r="H32" s="16" t="n"/>
      <c r="I32" s="16" t="n"/>
      <c r="J32" s="12" t="inlineStr">
        <is>
          <t>ESTIMATED TOTAL DUTIES</t>
        </is>
      </c>
      <c r="K32" s="16" t="n"/>
      <c r="L32" s="16" t="n"/>
      <c r="M32" s="16" t="n"/>
      <c r="N32" s="16" t="n"/>
      <c r="O32" s="16" t="n"/>
      <c r="P32" s="17" t="n">
        <v>157.29</v>
      </c>
      <c r="Q32" s="16" t="n"/>
      <c r="R32" s="16" t="n"/>
      <c r="S32" s="16" t="n"/>
      <c r="T32" s="16" t="n"/>
      <c r="U32" s="16" t="n"/>
      <c r="V32" s="16" t="n"/>
      <c r="W32" s="16" t="n"/>
      <c r="X32" s="16" t="n"/>
      <c r="Y32" s="16" t="n"/>
      <c r="Z32" s="16" t="n"/>
      <c r="AA32" s="16" t="n"/>
      <c r="AB32" s="16" t="n"/>
      <c r="AC32" s="16" t="n"/>
      <c r="AD32" s="16" t="n"/>
      <c r="AE32" s="16" t="n"/>
      <c r="AF32" s="16" t="n"/>
      <c r="AG32" s="16" t="n"/>
      <c r="AH32" s="16" t="n"/>
      <c r="AI32" s="16" t="n"/>
      <c r="AJ32" s="16" t="n"/>
      <c r="AK32" s="16" t="n"/>
    </row>
    <row r="33">
      <c r="A33" s="13" t="n"/>
      <c r="B33" s="13" t="n"/>
      <c r="C33" s="13" t="n"/>
      <c r="D33" s="13" t="n"/>
      <c r="E33" s="13" t="n"/>
      <c r="F33" s="13" t="n"/>
      <c r="G33" s="13" t="n"/>
      <c r="H33" s="13" t="n"/>
      <c r="I33" s="13" t="n"/>
      <c r="J33" s="14" t="inlineStr">
        <is>
          <t>Effective Duty Rate</t>
        </is>
      </c>
      <c r="K33" s="13" t="n"/>
      <c r="L33" s="13" t="n"/>
      <c r="M33" s="13" t="n"/>
      <c r="N33" s="13" t="n"/>
      <c r="O33" s="13" t="n"/>
      <c r="P33" s="18" t="n">
        <v>0.4490279482714322</v>
      </c>
      <c r="Q33" s="13" t="n"/>
      <c r="R33" s="13" t="n"/>
      <c r="S33" s="13" t="n"/>
      <c r="T33" s="13" t="n"/>
      <c r="U33" s="13" t="n"/>
      <c r="V33" s="13" t="n"/>
      <c r="W33" s="13" t="n"/>
      <c r="X33" s="13" t="n"/>
      <c r="Y33" s="13" t="n"/>
      <c r="Z33" s="13" t="n"/>
      <c r="AA33" s="13" t="n"/>
      <c r="AB33" s="13" t="n"/>
      <c r="AC33" s="13" t="n"/>
      <c r="AD33" s="13" t="n"/>
      <c r="AE33" s="13" t="n"/>
      <c r="AF33" s="13" t="n"/>
      <c r="AG33" s="13" t="n"/>
      <c r="AH33" s="13" t="n"/>
      <c r="AI33" s="13" t="n"/>
      <c r="AJ33" s="13" t="n"/>
      <c r="AK33" s="13" t="n"/>
    </row>
    <row r="34">
      <c r="A34" s="19" t="n"/>
      <c r="B34" s="19" t="n"/>
      <c r="C34" s="19" t="n"/>
      <c r="D34" s="19" t="n"/>
      <c r="E34" s="19" t="n"/>
      <c r="F34" s="19" t="n"/>
      <c r="G34" s="19" t="n"/>
      <c r="H34" s="19" t="n"/>
      <c r="I34" s="19" t="n"/>
      <c r="J34" s="19" t="n"/>
      <c r="K34" s="19" t="n"/>
      <c r="L34" s="19" t="n"/>
      <c r="M34" s="19" t="n"/>
      <c r="N34" s="19" t="n"/>
      <c r="O34" s="19" t="n"/>
      <c r="P34" s="19" t="n"/>
      <c r="Q34" s="19" t="n"/>
      <c r="R34" s="19" t="n"/>
      <c r="S34" s="19" t="n"/>
      <c r="T34" s="19" t="n"/>
      <c r="U34" s="19" t="n"/>
      <c r="V34" s="19" t="n"/>
      <c r="W34" s="19" t="n"/>
      <c r="X34" s="19" t="n"/>
      <c r="Y34" s="19" t="n"/>
      <c r="Z34" s="19" t="n"/>
      <c r="AA34" s="19" t="n"/>
      <c r="AB34" s="19" t="n"/>
      <c r="AC34" s="19" t="n"/>
      <c r="AD34" s="19" t="n"/>
      <c r="AE34" s="19" t="n"/>
      <c r="AF34" s="19" t="n"/>
      <c r="AG34" s="19" t="n"/>
      <c r="AH34" s="19" t="n"/>
      <c r="AI34" s="19" t="n"/>
      <c r="AJ34" s="19" t="n"/>
      <c r="AK34" s="19" t="n"/>
    </row>
    <row r="35">
      <c r="A35" s="2" t="inlineStr">
        <is>
          <t>4000-000</t>
        </is>
      </c>
      <c r="B35" s="2" t="n"/>
      <c r="C35" s="2" t="inlineStr">
        <is>
          <t>15046495444</t>
        </is>
      </c>
      <c r="D35" s="2" t="inlineStr">
        <is>
          <t>2024-07-21</t>
        </is>
      </c>
      <c r="E35" s="2" t="inlineStr">
        <is>
          <t>Apparel</t>
        </is>
      </c>
      <c r="F35" s="2" t="inlineStr">
        <is>
          <t>62046290</t>
        </is>
      </c>
      <c r="G35" s="2" t="n"/>
      <c r="H35" s="2" t="n"/>
      <c r="I35" s="2" t="inlineStr">
        <is>
          <t>62046290</t>
        </is>
      </c>
      <c r="J35" s="2" t="inlineStr">
        <is>
          <t>Flared Twill Pants 12 Dark gray 1 $20.99 -§13.00 $7.99 (+1 more) (2 items)</t>
        </is>
      </c>
      <c r="K35" s="2" t="n">
        <v>2</v>
      </c>
      <c r="L35" s="2" t="n"/>
      <c r="M35" s="2" t="n"/>
      <c r="N35" s="2" t="inlineStr">
        <is>
          <t>USD</t>
        </is>
      </c>
      <c r="O35" s="3" t="n">
        <v>16.49</v>
      </c>
      <c r="P35" s="3" t="n">
        <v>32.98</v>
      </c>
      <c r="Q35" s="3">
        <f>O35*K35</f>
        <v/>
      </c>
      <c r="R35" s="3">
        <f>P35-Q35</f>
        <v/>
      </c>
      <c r="S35" s="3" t="n">
        <v>128.93</v>
      </c>
      <c r="T35" s="3" t="n">
        <v>0</v>
      </c>
      <c r="U35" s="3" t="n">
        <v>0</v>
      </c>
      <c r="V35" s="3" t="n">
        <v>0</v>
      </c>
      <c r="W35" s="3" t="n">
        <v>0</v>
      </c>
      <c r="X35" s="2" t="n"/>
      <c r="Y35" s="2" t="n"/>
      <c r="Z35" s="2" t="inlineStr">
        <is>
          <t>H&amp;M</t>
        </is>
      </c>
      <c r="AA35" s="2" t="inlineStr">
        <is>
          <t>H&amp;M</t>
        </is>
      </c>
      <c r="AB35" s="2" t="inlineStr">
        <is>
          <t>H &amp; M Hennes &amp; Mauritz L.P., 1600 River Road, Burlington, NJ 08016, USA</t>
        </is>
      </c>
      <c r="AC35" s="2" t="inlineStr">
        <is>
          <t>US</t>
        </is>
      </c>
      <c r="AD35" s="2" t="n"/>
      <c r="AE35" s="2" t="n"/>
      <c r="AF35" s="2" t="n"/>
      <c r="AG35" s="2" t="n"/>
      <c r="AH35" s="2" t="n"/>
      <c r="AI35" s="2" t="n"/>
      <c r="AJ35" s="2" t="n"/>
      <c r="AK35" s="2" t="inlineStr">
        <is>
          <t>62046290</t>
        </is>
      </c>
    </row>
    <row r="36">
      <c r="A36" s="4" t="n"/>
      <c r="B36" s="4" t="n"/>
      <c r="C36" s="4" t="n"/>
      <c r="D36" s="4" t="n"/>
      <c r="E36" s="4" t="n"/>
      <c r="F36" s="4" t="inlineStr">
        <is>
          <t>62046290</t>
        </is>
      </c>
      <c r="G36" s="4" t="n"/>
      <c r="H36" s="4" t="n"/>
      <c r="I36" s="4" t="inlineStr">
        <is>
          <t>Heciiien</t>
        </is>
      </c>
      <c r="J36" s="4" t="inlineStr">
        <is>
          <t>Flared Twill Pants 12 Dark gray 1 $20.99 -§13.00 $7.99</t>
        </is>
      </c>
      <c r="K36" s="4" t="n">
        <v>1</v>
      </c>
      <c r="L36" s="4" t="n"/>
      <c r="M36" s="4" t="n"/>
      <c r="N36" s="4" t="inlineStr">
        <is>
          <t>USD</t>
        </is>
      </c>
      <c r="O36" s="5" t="n">
        <v>19.99</v>
      </c>
      <c r="P36" s="5" t="n">
        <v>19.99</v>
      </c>
      <c r="Q36" s="5">
        <f>O36*K36</f>
        <v/>
      </c>
      <c r="R36" s="5">
        <f>P36-Q36</f>
        <v/>
      </c>
      <c r="S36" s="4" t="n"/>
      <c r="T36" s="4" t="n"/>
      <c r="U36" s="4" t="n"/>
      <c r="V36" s="4" t="n"/>
      <c r="W36" s="4" t="n"/>
      <c r="X36" s="4" t="n"/>
      <c r="Y36" s="4" t="n"/>
      <c r="Z36" s="4" t="n"/>
      <c r="AA36" s="4" t="n"/>
      <c r="AB36" s="4" t="n"/>
      <c r="AC36" s="4" t="n"/>
      <c r="AD36" s="4" t="n"/>
      <c r="AE36" s="4" t="n"/>
      <c r="AF36" s="4" t="n"/>
      <c r="AG36" s="4" t="n"/>
      <c r="AH36" s="4" t="n"/>
      <c r="AI36" s="4" t="n"/>
      <c r="AJ36" s="4" t="n"/>
      <c r="AK36" s="4" t="n"/>
    </row>
    <row r="37">
      <c r="A37" s="4" t="n"/>
      <c r="B37" s="4" t="n"/>
      <c r="C37" s="4" t="n"/>
      <c r="D37" s="4" t="n"/>
      <c r="E37" s="4" t="n"/>
      <c r="F37" s="4" t="inlineStr">
        <is>
          <t>62046290</t>
        </is>
      </c>
      <c r="G37" s="4" t="n"/>
      <c r="H37" s="4" t="n"/>
      <c r="I37" s="4" t="inlineStr">
        <is>
          <t>Hu</t>
        </is>
      </c>
      <c r="J37" s="4" t="inlineStr">
        <is>
          <t>1229647001004 —_Frayed-edge</t>
        </is>
      </c>
      <c r="K37" s="4" t="n">
        <v>1</v>
      </c>
      <c r="L37" s="4" t="n"/>
      <c r="M37" s="4" t="n"/>
      <c r="N37" s="4" t="inlineStr">
        <is>
          <t>USD</t>
        </is>
      </c>
      <c r="O37" s="5" t="n">
        <v>12.99</v>
      </c>
      <c r="P37" s="5" t="n">
        <v>12.99</v>
      </c>
      <c r="Q37" s="5">
        <f>O37*K37</f>
        <v/>
      </c>
      <c r="R37" s="5">
        <f>P37-Q37</f>
        <v/>
      </c>
      <c r="S37" s="4" t="n"/>
      <c r="T37" s="4" t="n"/>
      <c r="U37" s="4" t="n"/>
      <c r="V37" s="4" t="n"/>
      <c r="W37" s="4" t="n"/>
      <c r="X37" s="4" t="n"/>
      <c r="Y37" s="4" t="n"/>
      <c r="Z37" s="4" t="n"/>
      <c r="AA37" s="4" t="n"/>
      <c r="AB37" s="4" t="n"/>
      <c r="AC37" s="4" t="n"/>
      <c r="AD37" s="4" t="n"/>
      <c r="AE37" s="4" t="n"/>
      <c r="AF37" s="4" t="n"/>
      <c r="AG37" s="4" t="n"/>
      <c r="AH37" s="4" t="n"/>
      <c r="AI37" s="4" t="n"/>
      <c r="AJ37" s="4" t="n"/>
      <c r="AK37" s="4" t="n"/>
    </row>
    <row r="38">
      <c r="A38" s="2" t="n"/>
      <c r="B38" s="2" t="n"/>
      <c r="C38" s="2" t="inlineStr">
        <is>
          <t>15046495444</t>
        </is>
      </c>
      <c r="D38" s="2" t="inlineStr">
        <is>
          <t>2024-07-21</t>
        </is>
      </c>
      <c r="E38" s="2" t="inlineStr">
        <is>
          <t>Unknown</t>
        </is>
      </c>
      <c r="F38" s="2" t="inlineStr">
        <is>
          <t>62046290</t>
        </is>
      </c>
      <c r="G38" s="2" t="n"/>
      <c r="H38" s="2" t="n"/>
      <c r="I38" s="2" t="inlineStr">
        <is>
          <t>00000000</t>
        </is>
      </c>
      <c r="J38" s="2" t="inlineStr">
        <is>
          <t>—— (1 items)</t>
        </is>
      </c>
      <c r="K38" s="2" t="n">
        <v>1</v>
      </c>
      <c r="L38" s="2" t="n"/>
      <c r="M38" s="2" t="n"/>
      <c r="N38" s="2" t="inlineStr">
        <is>
          <t>USD</t>
        </is>
      </c>
      <c r="O38" s="3" t="n">
        <v>20.99</v>
      </c>
      <c r="P38" s="3" t="n">
        <v>20.99</v>
      </c>
      <c r="Q38" s="3">
        <f>O38*K38</f>
        <v/>
      </c>
      <c r="R38" s="3">
        <f>P38-Q38</f>
        <v/>
      </c>
      <c r="S38" s="3" t="n"/>
      <c r="T38" s="3" t="n"/>
      <c r="U38" s="3" t="n"/>
      <c r="V38" s="3" t="n"/>
      <c r="W38" s="3" t="n"/>
      <c r="X38" s="2" t="n"/>
      <c r="Y38" s="2" t="n"/>
      <c r="Z38" s="2" t="n"/>
      <c r="AA38" s="2" t="n"/>
      <c r="AB38" s="2" t="n"/>
      <c r="AC38" s="2" t="n"/>
      <c r="AD38" s="2" t="n"/>
      <c r="AE38" s="2" t="n"/>
      <c r="AF38" s="2" t="n"/>
      <c r="AG38" s="2" t="n"/>
      <c r="AH38" s="2" t="n"/>
      <c r="AI38" s="2" t="n"/>
      <c r="AJ38" s="2" t="n"/>
      <c r="AK38" s="2" t="inlineStr">
        <is>
          <t>62046290</t>
        </is>
      </c>
    </row>
    <row r="39">
      <c r="A39" s="4" t="n"/>
      <c r="B39" s="4" t="n"/>
      <c r="C39" s="4" t="n"/>
      <c r="D39" s="4" t="n"/>
      <c r="E39" s="4" t="n"/>
      <c r="F39" s="4" t="inlineStr">
        <is>
          <t>62046290</t>
        </is>
      </c>
      <c r="G39" s="4" t="n"/>
      <c r="H39" s="4" t="n"/>
      <c r="I39" s="4" t="inlineStr">
        <is>
          <t>1206305005007</t>
        </is>
      </c>
      <c r="J39" s="4" t="inlineStr">
        <is>
          <t>——</t>
        </is>
      </c>
      <c r="K39" s="4" t="n">
        <v>1</v>
      </c>
      <c r="L39" s="4" t="n"/>
      <c r="M39" s="4" t="n"/>
      <c r="N39" s="4" t="inlineStr">
        <is>
          <t>USD</t>
        </is>
      </c>
      <c r="O39" s="5" t="n">
        <v>20.99</v>
      </c>
      <c r="P39" s="5" t="n">
        <v>20.99</v>
      </c>
      <c r="Q39" s="5">
        <f>O39*K39</f>
        <v/>
      </c>
      <c r="R39" s="5">
        <f>P39-Q39</f>
        <v/>
      </c>
      <c r="S39" s="4" t="n"/>
      <c r="T39" s="4" t="n"/>
      <c r="U39" s="4" t="n"/>
      <c r="V39" s="4" t="n"/>
      <c r="W39" s="4" t="n"/>
      <c r="X39" s="4" t="n"/>
      <c r="Y39" s="4" t="n"/>
      <c r="Z39" s="4" t="n"/>
      <c r="AA39" s="4" t="n"/>
      <c r="AB39" s="4" t="n"/>
      <c r="AC39" s="4" t="n"/>
      <c r="AD39" s="4" t="n"/>
      <c r="AE39" s="4" t="n"/>
      <c r="AF39" s="4" t="n"/>
      <c r="AG39" s="4" t="n"/>
      <c r="AH39" s="4" t="n"/>
      <c r="AI39" s="4" t="n"/>
      <c r="AJ39" s="4" t="n"/>
      <c r="AK39" s="4" t="inlineStr">
        <is>
          <t>62046290</t>
        </is>
      </c>
    </row>
    <row r="40">
      <c r="A40" s="2" t="n"/>
      <c r="B40" s="2" t="n"/>
      <c r="C40" s="2" t="inlineStr">
        <is>
          <t>15046495444</t>
        </is>
      </c>
      <c r="D40" s="2" t="inlineStr">
        <is>
          <t>2024-07-21</t>
        </is>
      </c>
      <c r="E40" s="2" t="inlineStr">
        <is>
          <t>MARINE ELECTRONICS</t>
        </is>
      </c>
      <c r="F40" s="2" t="inlineStr">
        <is>
          <t>85176200</t>
        </is>
      </c>
      <c r="G40" s="2" t="n"/>
      <c r="H40" s="2" t="n"/>
      <c r="I40" s="2" t="inlineStr">
        <is>
          <t>85176200</t>
        </is>
      </c>
      <c r="J40" s="2" t="inlineStr">
        <is>
          <t>Siri (1 items)</t>
        </is>
      </c>
      <c r="K40" s="2" t="n">
        <v>1</v>
      </c>
      <c r="L40" s="2" t="n"/>
      <c r="M40" s="2" t="n"/>
      <c r="N40" s="2" t="inlineStr">
        <is>
          <t>USD</t>
        </is>
      </c>
      <c r="O40" s="3" t="n">
        <v>17.99</v>
      </c>
      <c r="P40" s="3" t="n">
        <v>17.99</v>
      </c>
      <c r="Q40" s="3">
        <f>O40*K40</f>
        <v/>
      </c>
      <c r="R40" s="3">
        <f>P40-Q40</f>
        <v/>
      </c>
      <c r="S40" s="3" t="n"/>
      <c r="T40" s="3" t="n"/>
      <c r="U40" s="3" t="n"/>
      <c r="V40" s="3" t="n"/>
      <c r="W40" s="3" t="n"/>
      <c r="X40" s="2" t="n"/>
      <c r="Y40" s="2" t="n"/>
      <c r="Z40" s="2" t="n"/>
      <c r="AA40" s="2" t="n"/>
      <c r="AB40" s="2" t="n"/>
      <c r="AC40" s="2" t="n"/>
      <c r="AD40" s="2" t="n"/>
      <c r="AE40" s="2" t="n"/>
      <c r="AF40" s="2" t="n"/>
      <c r="AG40" s="2" t="n"/>
      <c r="AH40" s="2" t="n"/>
      <c r="AI40" s="2" t="n"/>
      <c r="AJ40" s="2" t="n"/>
      <c r="AK40" s="2" t="inlineStr">
        <is>
          <t>85176200</t>
        </is>
      </c>
    </row>
    <row r="41">
      <c r="A41" s="4" t="n"/>
      <c r="B41" s="4" t="n"/>
      <c r="C41" s="4" t="n"/>
      <c r="D41" s="4" t="n"/>
      <c r="E41" s="4" t="n"/>
      <c r="F41" s="4" t="inlineStr">
        <is>
          <t>85176200</t>
        </is>
      </c>
      <c r="G41" s="4" t="n"/>
      <c r="H41" s="4" t="n"/>
      <c r="I41" s="4" t="inlineStr">
        <is>
          <t>J</t>
        </is>
      </c>
      <c r="J41" s="4" t="inlineStr">
        <is>
          <t>Siri</t>
        </is>
      </c>
      <c r="K41" s="4" t="n">
        <v>1</v>
      </c>
      <c r="L41" s="4" t="n"/>
      <c r="M41" s="4" t="n"/>
      <c r="N41" s="4" t="inlineStr">
        <is>
          <t>USD</t>
        </is>
      </c>
      <c r="O41" s="5" t="n">
        <v>17.99</v>
      </c>
      <c r="P41" s="5" t="n">
        <v>17.99</v>
      </c>
      <c r="Q41" s="5">
        <f>O41*K41</f>
        <v/>
      </c>
      <c r="R41" s="5">
        <f>P41-Q41</f>
        <v/>
      </c>
      <c r="S41" s="4" t="n"/>
      <c r="T41" s="4" t="n"/>
      <c r="U41" s="4" t="n"/>
      <c r="V41" s="4" t="n"/>
      <c r="W41" s="4" t="n"/>
      <c r="X41" s="4" t="n"/>
      <c r="Y41" s="4" t="n"/>
      <c r="Z41" s="4" t="n"/>
      <c r="AA41" s="4" t="n"/>
      <c r="AB41" s="4" t="n"/>
      <c r="AC41" s="4" t="n"/>
      <c r="AD41" s="4" t="n"/>
      <c r="AE41" s="4" t="n"/>
      <c r="AF41" s="4" t="n"/>
      <c r="AG41" s="4" t="n"/>
      <c r="AH41" s="4" t="n"/>
      <c r="AI41" s="4" t="n"/>
      <c r="AJ41" s="4" t="n"/>
      <c r="AK41" s="4" t="n"/>
    </row>
    <row r="42">
      <c r="A42" s="6" t="n"/>
      <c r="B42" s="6" t="n"/>
      <c r="C42" s="6" t="n"/>
      <c r="D42" s="6" t="n"/>
      <c r="E42" s="6" t="n"/>
      <c r="F42" s="6" t="n"/>
      <c r="G42" s="6" t="n"/>
      <c r="H42" s="6" t="n"/>
      <c r="I42" s="6" t="n"/>
      <c r="J42" s="6" t="inlineStr">
        <is>
          <t>SUBTOTAL (GROUPED)</t>
        </is>
      </c>
      <c r="K42" s="6" t="n"/>
      <c r="L42" s="6" t="n"/>
      <c r="M42" s="6" t="n"/>
      <c r="N42" s="6" t="n"/>
      <c r="O42" s="6" t="n"/>
      <c r="P42" s="7">
        <f>P35+P38+P40</f>
        <v/>
      </c>
      <c r="Q42" s="7">
        <f>Q35+Q38+Q40</f>
        <v/>
      </c>
      <c r="R42" s="6" t="n"/>
      <c r="S42" s="6" t="n"/>
      <c r="T42" s="6" t="n"/>
      <c r="U42" s="6" t="n"/>
      <c r="V42" s="6" t="n"/>
      <c r="W42" s="6" t="n"/>
      <c r="X42" s="6" t="n"/>
      <c r="Y42" s="6" t="n"/>
      <c r="Z42" s="6" t="n"/>
      <c r="AA42" s="6" t="n"/>
      <c r="AB42" s="6" t="n"/>
      <c r="AC42" s="6" t="n"/>
      <c r="AD42" s="6" t="n"/>
      <c r="AE42" s="6" t="n"/>
      <c r="AF42" s="6" t="n"/>
      <c r="AG42" s="6" t="n"/>
      <c r="AH42" s="6" t="n"/>
      <c r="AI42" s="6" t="n"/>
      <c r="AJ42" s="6" t="n"/>
      <c r="AK42" s="6" t="n"/>
    </row>
    <row r="43">
      <c r="A43" s="6" t="n"/>
      <c r="B43" s="6" t="n"/>
      <c r="C43" s="6" t="n"/>
      <c r="D43" s="6" t="n"/>
      <c r="E43" s="6" t="n"/>
      <c r="F43" s="6" t="n"/>
      <c r="G43" s="6" t="n"/>
      <c r="H43" s="6" t="n"/>
      <c r="I43" s="6" t="n"/>
      <c r="J43" s="6" t="inlineStr">
        <is>
          <t>SUBTOTAL (DETAILS)</t>
        </is>
      </c>
      <c r="K43" s="6" t="n"/>
      <c r="L43" s="6" t="n"/>
      <c r="M43" s="6" t="n"/>
      <c r="N43" s="6" t="n"/>
      <c r="O43" s="6" t="n"/>
      <c r="P43" s="7">
        <f>SUM(P35:P41)-P42</f>
        <v/>
      </c>
      <c r="Q43" s="7">
        <f>SUM(Q35:Q41)-Q42</f>
        <v/>
      </c>
      <c r="R43" s="6" t="n"/>
      <c r="S43" s="6" t="n"/>
      <c r="T43" s="6" t="n"/>
      <c r="U43" s="6" t="n"/>
      <c r="V43" s="6" t="n"/>
      <c r="W43" s="6" t="n"/>
      <c r="X43" s="6" t="n"/>
      <c r="Y43" s="6" t="n"/>
      <c r="Z43" s="6" t="n"/>
      <c r="AA43" s="6" t="n"/>
      <c r="AB43" s="6" t="n"/>
      <c r="AC43" s="6" t="n"/>
      <c r="AD43" s="6" t="n"/>
      <c r="AE43" s="6" t="n"/>
      <c r="AF43" s="6" t="n"/>
      <c r="AG43" s="6" t="n"/>
      <c r="AH43" s="6" t="n"/>
      <c r="AI43" s="6" t="n"/>
      <c r="AJ43" s="6" t="n"/>
      <c r="AK43" s="6" t="n"/>
    </row>
    <row r="44">
      <c r="A44" s="8" t="n"/>
      <c r="B44" s="8" t="n"/>
      <c r="C44" s="8" t="n"/>
      <c r="D44" s="8" t="n"/>
      <c r="E44" s="8" t="n"/>
      <c r="F44" s="8" t="n"/>
      <c r="G44" s="8" t="n"/>
      <c r="H44" s="8" t="n"/>
      <c r="I44" s="8" t="n"/>
      <c r="J44" s="8" t="inlineStr">
        <is>
          <t>GROUP VERIFICATION</t>
        </is>
      </c>
      <c r="K44" s="8" t="n"/>
      <c r="L44" s="8" t="n"/>
      <c r="M44" s="8" t="n"/>
      <c r="N44" s="8" t="n"/>
      <c r="O44" s="8" t="n"/>
      <c r="P44" s="9">
        <f>P42-P43</f>
        <v/>
      </c>
      <c r="Q44" s="9">
        <f>Q42-Q43</f>
        <v/>
      </c>
      <c r="R44" s="8" t="n"/>
      <c r="S44" s="8" t="n"/>
      <c r="T44" s="8" t="n"/>
      <c r="U44" s="8" t="n"/>
      <c r="V44" s="8" t="n"/>
      <c r="W44" s="8" t="n"/>
      <c r="X44" s="8" t="n"/>
      <c r="Y44" s="8" t="n"/>
      <c r="Z44" s="8" t="n"/>
      <c r="AA44" s="8" t="n"/>
      <c r="AB44" s="8" t="n"/>
      <c r="AC44" s="8" t="n"/>
      <c r="AD44" s="8" t="n"/>
      <c r="AE44" s="8" t="n"/>
      <c r="AF44" s="8" t="n"/>
      <c r="AG44" s="8" t="n"/>
      <c r="AH44" s="8" t="n"/>
      <c r="AI44" s="8" t="n"/>
      <c r="AJ44" s="8" t="n"/>
      <c r="AK44" s="8" t="n"/>
    </row>
    <row r="45"/>
    <row r="46">
      <c r="A46" s="6" t="n"/>
      <c r="B46" s="6" t="n"/>
      <c r="C46" s="6" t="n"/>
      <c r="D46" s="6" t="n"/>
      <c r="E46" s="6" t="n"/>
      <c r="F46" s="6" t="n"/>
      <c r="G46" s="6" t="n"/>
      <c r="H46" s="6" t="n"/>
      <c r="I46" s="6" t="n"/>
      <c r="J46" s="6" t="inlineStr">
        <is>
          <t>TOTAL INTERNAL FREIGHT</t>
        </is>
      </c>
      <c r="K46" s="6" t="n"/>
      <c r="L46" s="6" t="n"/>
      <c r="M46" s="6" t="n"/>
      <c r="N46" s="6" t="n"/>
      <c r="O46" s="6" t="n"/>
      <c r="P46" s="7" t="n">
        <v>0</v>
      </c>
      <c r="Q46" s="7" t="n"/>
      <c r="R46" s="6" t="n"/>
      <c r="S46" s="6" t="n"/>
      <c r="T46" s="6" t="n"/>
      <c r="U46" s="6" t="n"/>
      <c r="V46" s="6" t="n"/>
      <c r="W46" s="6" t="n"/>
      <c r="X46" s="6" t="n"/>
      <c r="Y46" s="6" t="n"/>
      <c r="Z46" s="6" t="n"/>
      <c r="AA46" s="6" t="n"/>
      <c r="AB46" s="6" t="n"/>
      <c r="AC46" s="6" t="n"/>
      <c r="AD46" s="6" t="n"/>
      <c r="AE46" s="6" t="n"/>
      <c r="AF46" s="6" t="n"/>
      <c r="AG46" s="6" t="n"/>
      <c r="AH46" s="6" t="n"/>
      <c r="AI46" s="6" t="n"/>
      <c r="AJ46" s="6" t="n"/>
      <c r="AK46" s="6" t="n"/>
    </row>
    <row r="47">
      <c r="A47" s="6" t="n"/>
      <c r="B47" s="6" t="n"/>
      <c r="C47" s="6" t="n"/>
      <c r="D47" s="6" t="n"/>
      <c r="E47" s="6" t="n"/>
      <c r="F47" s="6" t="n"/>
      <c r="G47" s="6" t="n"/>
      <c r="H47" s="6" t="n"/>
      <c r="I47" s="6" t="n"/>
      <c r="J47" s="6" t="inlineStr">
        <is>
          <t>TOTAL INSURANCE</t>
        </is>
      </c>
      <c r="K47" s="6" t="n"/>
      <c r="L47" s="6" t="n"/>
      <c r="M47" s="6" t="n"/>
      <c r="N47" s="6" t="n"/>
      <c r="O47" s="6" t="n"/>
      <c r="P47" s="7" t="n">
        <v>0</v>
      </c>
      <c r="Q47" s="7" t="n"/>
      <c r="R47" s="6" t="n"/>
      <c r="S47" s="6" t="n"/>
      <c r="T47" s="6" t="n"/>
      <c r="U47" s="6" t="n"/>
      <c r="V47" s="6" t="n"/>
      <c r="W47" s="6" t="n"/>
      <c r="X47" s="6" t="n"/>
      <c r="Y47" s="6" t="n"/>
      <c r="Z47" s="6" t="n"/>
      <c r="AA47" s="6" t="n"/>
      <c r="AB47" s="6" t="n"/>
      <c r="AC47" s="6" t="n"/>
      <c r="AD47" s="6" t="n"/>
      <c r="AE47" s="6" t="n"/>
      <c r="AF47" s="6" t="n"/>
      <c r="AG47" s="6" t="n"/>
      <c r="AH47" s="6" t="n"/>
      <c r="AI47" s="6" t="n"/>
      <c r="AJ47" s="6" t="n"/>
      <c r="AK47" s="6" t="n"/>
    </row>
    <row r="48">
      <c r="A48" s="6" t="n"/>
      <c r="B48" s="6" t="n"/>
      <c r="C48" s="6" t="n"/>
      <c r="D48" s="6" t="n"/>
      <c r="E48" s="6" t="n"/>
      <c r="F48" s="6" t="n"/>
      <c r="G48" s="6" t="n"/>
      <c r="H48" s="6" t="n"/>
      <c r="I48" s="6" t="n"/>
      <c r="J48" s="6" t="inlineStr">
        <is>
          <t>TOTAL OTHER COST</t>
        </is>
      </c>
      <c r="K48" s="6" t="n"/>
      <c r="L48" s="6" t="n"/>
      <c r="M48" s="6" t="n"/>
      <c r="N48" s="6" t="n"/>
      <c r="O48" s="6" t="n"/>
      <c r="P48" s="7" t="n">
        <v>0</v>
      </c>
      <c r="Q48" s="7" t="n"/>
      <c r="R48" s="6" t="n"/>
      <c r="S48" s="6" t="n"/>
      <c r="T48" s="6" t="n"/>
      <c r="U48" s="6" t="n"/>
      <c r="V48" s="6" t="n"/>
      <c r="W48" s="6" t="n"/>
      <c r="X48" s="6" t="n"/>
      <c r="Y48" s="6" t="n"/>
      <c r="Z48" s="6" t="n"/>
      <c r="AA48" s="6" t="n"/>
      <c r="AB48" s="6" t="n"/>
      <c r="AC48" s="6" t="n"/>
      <c r="AD48" s="6" t="n"/>
      <c r="AE48" s="6" t="n"/>
      <c r="AF48" s="6" t="n"/>
      <c r="AG48" s="6" t="n"/>
      <c r="AH48" s="6" t="n"/>
      <c r="AI48" s="6" t="n"/>
      <c r="AJ48" s="6" t="n"/>
      <c r="AK48" s="6" t="n"/>
    </row>
    <row r="49">
      <c r="A49" s="6" t="n"/>
      <c r="B49" s="6" t="n"/>
      <c r="C49" s="6" t="n"/>
      <c r="D49" s="6" t="n"/>
      <c r="E49" s="6" t="n"/>
      <c r="F49" s="6" t="n"/>
      <c r="G49" s="6" t="n"/>
      <c r="H49" s="6" t="n"/>
      <c r="I49" s="6" t="n"/>
      <c r="J49" s="6" t="inlineStr">
        <is>
          <t>TOTAL DEDUCTION</t>
        </is>
      </c>
      <c r="K49" s="6" t="n"/>
      <c r="L49" s="6" t="n"/>
      <c r="M49" s="6" t="n"/>
      <c r="N49" s="6" t="n"/>
      <c r="O49" s="6" t="n"/>
      <c r="P49" s="7" t="n">
        <v>0</v>
      </c>
      <c r="Q49" s="7" t="n"/>
      <c r="R49" s="6" t="n"/>
      <c r="S49" s="6" t="n"/>
      <c r="T49" s="6" t="n"/>
      <c r="U49" s="6" t="n"/>
      <c r="V49" s="6" t="n"/>
      <c r="W49" s="6" t="n"/>
      <c r="X49" s="6" t="n"/>
      <c r="Y49" s="6" t="n"/>
      <c r="Z49" s="6" t="n"/>
      <c r="AA49" s="6" t="n"/>
      <c r="AB49" s="6" t="n"/>
      <c r="AC49" s="6" t="n"/>
      <c r="AD49" s="6" t="n"/>
      <c r="AE49" s="6" t="n"/>
      <c r="AF49" s="6" t="n"/>
      <c r="AG49" s="6" t="n"/>
      <c r="AH49" s="6" t="n"/>
      <c r="AI49" s="6" t="n"/>
      <c r="AJ49" s="6" t="n"/>
      <c r="AK49" s="6" t="n"/>
    </row>
    <row r="50">
      <c r="A50" s="6" t="n"/>
      <c r="B50" s="6" t="n"/>
      <c r="C50" s="6" t="n"/>
      <c r="D50" s="6" t="n"/>
      <c r="E50" s="6" t="n"/>
      <c r="F50" s="6" t="n"/>
      <c r="G50" s="6" t="n"/>
      <c r="H50" s="6" t="n"/>
      <c r="I50" s="6" t="n"/>
      <c r="J50" s="6" t="inlineStr">
        <is>
          <t>ADJUSTMENTS</t>
        </is>
      </c>
      <c r="K50" s="6" t="n"/>
      <c r="L50" s="6" t="n"/>
      <c r="M50" s="6" t="n"/>
      <c r="N50" s="6" t="n"/>
      <c r="O50" s="6" t="n"/>
      <c r="P50" s="7">
        <f>(T35+U35+V35-W35)</f>
        <v/>
      </c>
      <c r="Q50" s="7">
        <f>(T35+U35+V35-W35)</f>
        <v/>
      </c>
      <c r="R50" s="6" t="n"/>
      <c r="S50" s="6" t="n"/>
      <c r="T50" s="6" t="n"/>
      <c r="U50" s="6" t="n"/>
      <c r="V50" s="6" t="n"/>
      <c r="W50" s="6" t="n"/>
      <c r="X50" s="6" t="n"/>
      <c r="Y50" s="6" t="n"/>
      <c r="Z50" s="6" t="n"/>
      <c r="AA50" s="6" t="n"/>
      <c r="AB50" s="6" t="n"/>
      <c r="AC50" s="6" t="n"/>
      <c r="AD50" s="6" t="n"/>
      <c r="AE50" s="6" t="n"/>
      <c r="AF50" s="6" t="n"/>
      <c r="AG50" s="6" t="n"/>
      <c r="AH50" s="6" t="n"/>
      <c r="AI50" s="6" t="n"/>
      <c r="AJ50" s="6" t="n"/>
      <c r="AK50" s="6" t="n"/>
    </row>
    <row r="51"/>
    <row r="52">
      <c r="A52" s="6" t="n"/>
      <c r="B52" s="6" t="n"/>
      <c r="C52" s="6" t="n"/>
      <c r="D52" s="6" t="n"/>
      <c r="E52" s="6" t="n"/>
      <c r="F52" s="6" t="n"/>
      <c r="G52" s="6" t="n"/>
      <c r="H52" s="6" t="n"/>
      <c r="I52" s="6" t="n"/>
      <c r="J52" s="6" t="inlineStr">
        <is>
          <t>NET TOTAL</t>
        </is>
      </c>
      <c r="K52" s="6" t="n"/>
      <c r="L52" s="6" t="n"/>
      <c r="M52" s="6" t="n"/>
      <c r="N52" s="6" t="n"/>
      <c r="O52" s="6" t="n"/>
      <c r="P52" s="7">
        <f>P42+P50</f>
        <v/>
      </c>
      <c r="Q52" s="7">
        <f>Q42+Q50</f>
        <v/>
      </c>
      <c r="R52" s="6" t="n"/>
      <c r="S52" s="6" t="n"/>
      <c r="T52" s="6" t="n"/>
      <c r="U52" s="6" t="n"/>
      <c r="V52" s="6" t="n"/>
      <c r="W52" s="6" t="n"/>
      <c r="X52" s="6" t="n"/>
      <c r="Y52" s="6" t="n"/>
      <c r="Z52" s="6" t="n"/>
      <c r="AA52" s="6" t="n"/>
      <c r="AB52" s="6" t="n"/>
      <c r="AC52" s="6" t="n"/>
      <c r="AD52" s="6" t="n"/>
      <c r="AE52" s="6" t="n"/>
      <c r="AF52" s="6" t="n"/>
      <c r="AG52" s="6" t="n"/>
      <c r="AH52" s="6" t="n"/>
      <c r="AI52" s="6" t="n"/>
      <c r="AJ52" s="6" t="n"/>
      <c r="AK52" s="6" t="n"/>
    </row>
    <row r="53">
      <c r="A53" s="6" t="n"/>
      <c r="B53" s="6" t="n"/>
      <c r="C53" s="6" t="n"/>
      <c r="D53" s="6" t="n"/>
      <c r="E53" s="6" t="n"/>
      <c r="F53" s="6" t="n"/>
      <c r="G53" s="6" t="n"/>
      <c r="H53" s="6" t="n"/>
      <c r="I53" s="6" t="n"/>
      <c r="J53" s="6" t="inlineStr">
        <is>
          <t>INVOICE TOTAL</t>
        </is>
      </c>
      <c r="K53" s="6" t="n"/>
      <c r="L53" s="6" t="n"/>
      <c r="M53" s="6" t="n"/>
      <c r="N53" s="6" t="n"/>
      <c r="O53" s="6" t="n"/>
      <c r="P53" s="7">
        <f>S35</f>
        <v/>
      </c>
      <c r="Q53" s="7" t="n"/>
      <c r="R53" s="6" t="n"/>
      <c r="S53" s="6" t="n"/>
      <c r="T53" s="6" t="n"/>
      <c r="U53" s="6" t="n"/>
      <c r="V53" s="6" t="n"/>
      <c r="W53" s="6" t="n"/>
      <c r="X53" s="6" t="n"/>
      <c r="Y53" s="6" t="n"/>
      <c r="Z53" s="6" t="n"/>
      <c r="AA53" s="6" t="n"/>
      <c r="AB53" s="6" t="n"/>
      <c r="AC53" s="6" t="n"/>
      <c r="AD53" s="6" t="n"/>
      <c r="AE53" s="6" t="n"/>
      <c r="AF53" s="6" t="n"/>
      <c r="AG53" s="6" t="n"/>
      <c r="AH53" s="6" t="n"/>
      <c r="AI53" s="6" t="n"/>
      <c r="AJ53" s="6" t="n"/>
      <c r="AK53" s="6" t="n"/>
    </row>
    <row r="54"/>
    <row r="55">
      <c r="A55" s="10" t="n"/>
      <c r="B55" s="10" t="n"/>
      <c r="C55" s="10" t="n"/>
      <c r="D55" s="10" t="n"/>
      <c r="E55" s="10" t="n"/>
      <c r="F55" s="10" t="n"/>
      <c r="G55" s="10" t="n"/>
      <c r="H55" s="10" t="n"/>
      <c r="I55" s="10" t="n"/>
      <c r="J55" s="10" t="inlineStr">
        <is>
          <t>VARIANCE CHECK</t>
        </is>
      </c>
      <c r="K55" s="10" t="n"/>
      <c r="L55" s="10" t="n"/>
      <c r="M55" s="10" t="n"/>
      <c r="N55" s="10" t="n"/>
      <c r="O55" s="10" t="n"/>
      <c r="P55" s="11">
        <f>S35-P52</f>
        <v/>
      </c>
      <c r="Q55" s="11">
        <f>S35-Q52</f>
        <v/>
      </c>
      <c r="R55" s="10" t="n"/>
      <c r="S55" s="10" t="n"/>
      <c r="T55" s="10" t="n"/>
      <c r="U55" s="10" t="n"/>
      <c r="V55" s="10" t="n"/>
      <c r="W55" s="10" t="n"/>
      <c r="X55" s="10" t="n"/>
      <c r="Y55" s="10" t="n"/>
      <c r="Z55" s="10" t="n"/>
      <c r="AA55" s="10" t="n"/>
      <c r="AB55" s="10" t="n"/>
      <c r="AC55" s="10" t="n"/>
      <c r="AD55" s="10" t="n"/>
      <c r="AE55" s="10" t="n"/>
      <c r="AF55" s="10" t="n"/>
      <c r="AG55" s="10" t="n"/>
      <c r="AH55" s="10" t="n"/>
      <c r="AI55" s="10" t="n"/>
      <c r="AJ55" s="10" t="n"/>
      <c r="AK55" s="10" t="n"/>
    </row>
    <row r="56"/>
    <row r="57">
      <c r="A57" s="12" t="n"/>
      <c r="B57" s="12" t="n"/>
      <c r="C57" s="12" t="n"/>
      <c r="D57" s="12" t="n"/>
      <c r="E57" s="12" t="n"/>
      <c r="F57" s="12" t="n"/>
      <c r="G57" s="12" t="n"/>
      <c r="H57" s="12" t="n"/>
      <c r="I57" s="12" t="n"/>
      <c r="J57" s="12" t="inlineStr">
        <is>
          <t>DUTY ESTIMATION (Classification Cross-Check)</t>
        </is>
      </c>
      <c r="K57" s="12" t="n"/>
      <c r="L57" s="12" t="n"/>
      <c r="M57" s="12" t="n"/>
      <c r="N57" s="12" t="n"/>
      <c r="O57" s="12" t="n"/>
      <c r="P57" s="12" t="n"/>
      <c r="Q57" s="12" t="n"/>
      <c r="R57" s="12" t="n"/>
      <c r="S57" s="12" t="n"/>
      <c r="T57" s="12" t="n"/>
      <c r="U57" s="12" t="n"/>
      <c r="V57" s="12" t="n"/>
      <c r="W57" s="12" t="n"/>
      <c r="X57" s="12" t="n"/>
      <c r="Y57" s="12" t="n"/>
      <c r="Z57" s="12" t="n"/>
      <c r="AA57" s="12" t="n"/>
      <c r="AB57" s="12" t="n"/>
      <c r="AC57" s="12" t="n"/>
      <c r="AD57" s="12" t="n"/>
      <c r="AE57" s="12" t="n"/>
      <c r="AF57" s="12" t="n"/>
      <c r="AG57" s="12" t="n"/>
      <c r="AH57" s="12" t="n"/>
      <c r="AI57" s="12" t="n"/>
      <c r="AJ57" s="12" t="n"/>
      <c r="AK57" s="12" t="n"/>
    </row>
    <row r="58">
      <c r="A58" s="13" t="n"/>
      <c r="B58" s="13" t="n"/>
      <c r="C58" s="13" t="n"/>
      <c r="D58" s="13" t="n"/>
      <c r="E58" s="13" t="n"/>
      <c r="F58" s="13" t="n"/>
      <c r="G58" s="13" t="n"/>
      <c r="H58" s="13" t="n"/>
      <c r="I58" s="13" t="n"/>
      <c r="J58" s="14" t="inlineStr">
        <is>
          <t>CIF (USD) = InvTotal + Freight + Insurance</t>
        </is>
      </c>
      <c r="K58" s="13" t="n"/>
      <c r="L58" s="13" t="n"/>
      <c r="M58" s="13" t="n"/>
      <c r="N58" s="13" t="n"/>
      <c r="O58" s="13" t="n"/>
      <c r="P58" s="15" t="n">
        <v>128.93</v>
      </c>
      <c r="Q58" s="13" t="n"/>
      <c r="R58" s="13" t="n"/>
      <c r="S58" s="13" t="n"/>
      <c r="T58" s="13" t="n"/>
      <c r="U58" s="13" t="n"/>
      <c r="V58" s="13" t="n"/>
      <c r="W58" s="13" t="n"/>
      <c r="X58" s="13" t="n"/>
      <c r="Y58" s="13" t="n"/>
      <c r="Z58" s="13" t="n"/>
      <c r="AA58" s="13" t="n"/>
      <c r="AB58" s="13" t="n"/>
      <c r="AC58" s="13" t="n"/>
      <c r="AD58" s="13" t="n"/>
      <c r="AE58" s="13" t="n"/>
      <c r="AF58" s="13" t="n"/>
      <c r="AG58" s="13" t="n"/>
      <c r="AH58" s="13" t="n"/>
      <c r="AI58" s="13" t="n"/>
      <c r="AJ58" s="13" t="n"/>
      <c r="AK58" s="13" t="n"/>
    </row>
    <row r="59">
      <c r="A59" s="13" t="n"/>
      <c r="B59" s="13" t="n"/>
      <c r="C59" s="13" t="n"/>
      <c r="D59" s="13" t="n"/>
      <c r="E59" s="13" t="n"/>
      <c r="F59" s="13" t="n"/>
      <c r="G59" s="13" t="n"/>
      <c r="H59" s="13" t="n"/>
      <c r="I59" s="13" t="n"/>
      <c r="J59" s="14" t="inlineStr">
        <is>
          <t>CIF (XCD) = CIF × 2.7169</t>
        </is>
      </c>
      <c r="K59" s="13" t="n"/>
      <c r="L59" s="13" t="n"/>
      <c r="M59" s="13" t="n"/>
      <c r="N59" s="13" t="n"/>
      <c r="O59" s="13" t="n"/>
      <c r="P59" s="15" t="n">
        <v>350.29</v>
      </c>
      <c r="Q59" s="13" t="n"/>
      <c r="R59" s="13" t="n"/>
      <c r="S59" s="13" t="n"/>
      <c r="T59" s="13" t="n"/>
      <c r="U59" s="13" t="n"/>
      <c r="V59" s="13" t="n"/>
      <c r="W59" s="13" t="n"/>
      <c r="X59" s="13" t="n"/>
      <c r="Y59" s="13" t="n"/>
      <c r="Z59" s="13" t="n"/>
      <c r="AA59" s="13" t="n"/>
      <c r="AB59" s="13" t="n"/>
      <c r="AC59" s="13" t="n"/>
      <c r="AD59" s="13" t="n"/>
      <c r="AE59" s="13" t="n"/>
      <c r="AF59" s="13" t="n"/>
      <c r="AG59" s="13" t="n"/>
      <c r="AH59" s="13" t="n"/>
      <c r="AI59" s="13" t="n"/>
      <c r="AJ59" s="13" t="n"/>
      <c r="AK59" s="13" t="n"/>
    </row>
    <row r="60">
      <c r="A60" s="13" t="n"/>
      <c r="B60" s="13" t="n"/>
      <c r="C60" s="13" t="n"/>
      <c r="D60" s="13" t="n"/>
      <c r="E60" s="13" t="n"/>
      <c r="F60" s="13" t="n"/>
      <c r="G60" s="13" t="n"/>
      <c r="H60" s="13" t="n"/>
      <c r="I60" s="13" t="n"/>
      <c r="J60" s="14" t="inlineStr">
        <is>
          <t>CET (weighted avg 20.0%)</t>
        </is>
      </c>
      <c r="K60" s="13" t="n"/>
      <c r="L60" s="13" t="n"/>
      <c r="M60" s="13" t="n"/>
      <c r="N60" s="13" t="n"/>
      <c r="O60" s="13" t="n"/>
      <c r="P60" s="15" t="n">
        <v>70.06</v>
      </c>
      <c r="Q60" s="13" t="n"/>
      <c r="R60" s="13" t="n"/>
      <c r="S60" s="13" t="n"/>
      <c r="T60" s="13" t="n"/>
      <c r="U60" s="13" t="n"/>
      <c r="V60" s="13" t="n"/>
      <c r="W60" s="13" t="n"/>
      <c r="X60" s="13" t="n"/>
      <c r="Y60" s="13" t="n"/>
      <c r="Z60" s="13" t="n"/>
      <c r="AA60" s="13" t="n"/>
      <c r="AB60" s="13" t="n"/>
      <c r="AC60" s="13" t="n"/>
      <c r="AD60" s="13" t="n"/>
      <c r="AE60" s="13" t="n"/>
      <c r="AF60" s="13" t="n"/>
      <c r="AG60" s="13" t="n"/>
      <c r="AH60" s="13" t="n"/>
      <c r="AI60" s="13" t="n"/>
      <c r="AJ60" s="13" t="n"/>
      <c r="AK60" s="13" t="n"/>
    </row>
    <row r="61">
      <c r="A61" s="13" t="n"/>
      <c r="B61" s="13" t="n"/>
      <c r="C61" s="13" t="n"/>
      <c r="D61" s="13" t="n"/>
      <c r="E61" s="13" t="n"/>
      <c r="F61" s="13" t="n"/>
      <c r="G61" s="13" t="n"/>
      <c r="H61" s="13" t="n"/>
      <c r="I61" s="13" t="n"/>
      <c r="J61" s="14" t="inlineStr">
        <is>
          <t xml:space="preserve">  └ 00000000: 20% CET (29% of value)</t>
        </is>
      </c>
      <c r="K61" s="13" t="n"/>
      <c r="L61" s="13" t="n"/>
      <c r="M61" s="13" t="n"/>
      <c r="N61" s="13" t="n"/>
      <c r="O61" s="13" t="n"/>
      <c r="P61" s="15" t="n">
        <v>20.44</v>
      </c>
      <c r="Q61" s="13" t="n"/>
      <c r="R61" s="13" t="n"/>
      <c r="S61" s="13" t="n"/>
      <c r="T61" s="13" t="n"/>
      <c r="U61" s="13" t="n"/>
      <c r="V61" s="13" t="n"/>
      <c r="W61" s="13" t="n"/>
      <c r="X61" s="13" t="n"/>
      <c r="Y61" s="13" t="n"/>
      <c r="Z61" s="13" t="n"/>
      <c r="AA61" s="13" t="n"/>
      <c r="AB61" s="13" t="n"/>
      <c r="AC61" s="13" t="n"/>
      <c r="AD61" s="13" t="n"/>
      <c r="AE61" s="13" t="n"/>
      <c r="AF61" s="13" t="n"/>
      <c r="AG61" s="13" t="n"/>
      <c r="AH61" s="13" t="n"/>
      <c r="AI61" s="13" t="n"/>
      <c r="AJ61" s="13" t="n"/>
      <c r="AK61" s="13" t="n"/>
    </row>
    <row r="62">
      <c r="A62" s="13" t="n"/>
      <c r="B62" s="13" t="n"/>
      <c r="C62" s="13" t="n"/>
      <c r="D62" s="13" t="n"/>
      <c r="E62" s="13" t="n"/>
      <c r="F62" s="13" t="n"/>
      <c r="G62" s="13" t="n"/>
      <c r="H62" s="13" t="n"/>
      <c r="I62" s="13" t="n"/>
      <c r="J62" s="14" t="inlineStr">
        <is>
          <t xml:space="preserve">  └ 62046290: 20% CET (46% of value)</t>
        </is>
      </c>
      <c r="K62" s="13" t="n"/>
      <c r="L62" s="13" t="n"/>
      <c r="M62" s="13" t="n"/>
      <c r="N62" s="13" t="n"/>
      <c r="O62" s="13" t="n"/>
      <c r="P62" s="15" t="n">
        <v>32.11</v>
      </c>
      <c r="Q62" s="13" t="n"/>
      <c r="R62" s="13" t="n"/>
      <c r="S62" s="13" t="n"/>
      <c r="T62" s="13" t="n"/>
      <c r="U62" s="13" t="n"/>
      <c r="V62" s="13" t="n"/>
      <c r="W62" s="13" t="n"/>
      <c r="X62" s="13" t="n"/>
      <c r="Y62" s="13" t="n"/>
      <c r="Z62" s="13" t="n"/>
      <c r="AA62" s="13" t="n"/>
      <c r="AB62" s="13" t="n"/>
      <c r="AC62" s="13" t="n"/>
      <c r="AD62" s="13" t="n"/>
      <c r="AE62" s="13" t="n"/>
      <c r="AF62" s="13" t="n"/>
      <c r="AG62" s="13" t="n"/>
      <c r="AH62" s="13" t="n"/>
      <c r="AI62" s="13" t="n"/>
      <c r="AJ62" s="13" t="n"/>
      <c r="AK62" s="13" t="n"/>
    </row>
    <row r="63">
      <c r="A63" s="13" t="n"/>
      <c r="B63" s="13" t="n"/>
      <c r="C63" s="13" t="n"/>
      <c r="D63" s="13" t="n"/>
      <c r="E63" s="13" t="n"/>
      <c r="F63" s="13" t="n"/>
      <c r="G63" s="13" t="n"/>
      <c r="H63" s="13" t="n"/>
      <c r="I63" s="13" t="n"/>
      <c r="J63" s="14" t="inlineStr">
        <is>
          <t xml:space="preserve">  └ 85176200: 20% CET (25% of value)</t>
        </is>
      </c>
      <c r="K63" s="13" t="n"/>
      <c r="L63" s="13" t="n"/>
      <c r="M63" s="13" t="n"/>
      <c r="N63" s="13" t="n"/>
      <c r="O63" s="13" t="n"/>
      <c r="P63" s="15" t="n">
        <v>17.51</v>
      </c>
      <c r="Q63" s="13" t="n"/>
      <c r="R63" s="13" t="n"/>
      <c r="S63" s="13" t="n"/>
      <c r="T63" s="13" t="n"/>
      <c r="U63" s="13" t="n"/>
      <c r="V63" s="13" t="n"/>
      <c r="W63" s="13" t="n"/>
      <c r="X63" s="13" t="n"/>
      <c r="Y63" s="13" t="n"/>
      <c r="Z63" s="13" t="n"/>
      <c r="AA63" s="13" t="n"/>
      <c r="AB63" s="13" t="n"/>
      <c r="AC63" s="13" t="n"/>
      <c r="AD63" s="13" t="n"/>
      <c r="AE63" s="13" t="n"/>
      <c r="AF63" s="13" t="n"/>
      <c r="AG63" s="13" t="n"/>
      <c r="AH63" s="13" t="n"/>
      <c r="AI63" s="13" t="n"/>
      <c r="AJ63" s="13" t="n"/>
      <c r="AK63" s="13" t="n"/>
    </row>
    <row r="64">
      <c r="A64" s="13" t="n"/>
      <c r="B64" s="13" t="n"/>
      <c r="C64" s="13" t="n"/>
      <c r="D64" s="13" t="n"/>
      <c r="E64" s="13" t="n"/>
      <c r="F64" s="13" t="n"/>
      <c r="G64" s="13" t="n"/>
      <c r="H64" s="13" t="n"/>
      <c r="I64" s="13" t="n"/>
      <c r="J64" s="14" t="inlineStr">
        <is>
          <t>CSC (6%)</t>
        </is>
      </c>
      <c r="K64" s="13" t="n"/>
      <c r="L64" s="13" t="n"/>
      <c r="M64" s="13" t="n"/>
      <c r="N64" s="13" t="n"/>
      <c r="O64" s="13" t="n"/>
      <c r="P64" s="15" t="n">
        <v>21.02</v>
      </c>
      <c r="Q64" s="13" t="n"/>
      <c r="R64" s="13" t="n"/>
      <c r="S64" s="13" t="n"/>
      <c r="T64" s="13" t="n"/>
      <c r="U64" s="13" t="n"/>
      <c r="V64" s="13" t="n"/>
      <c r="W64" s="13" t="n"/>
      <c r="X64" s="13" t="n"/>
      <c r="Y64" s="13" t="n"/>
      <c r="Z64" s="13" t="n"/>
      <c r="AA64" s="13" t="n"/>
      <c r="AB64" s="13" t="n"/>
      <c r="AC64" s="13" t="n"/>
      <c r="AD64" s="13" t="n"/>
      <c r="AE64" s="13" t="n"/>
      <c r="AF64" s="13" t="n"/>
      <c r="AG64" s="13" t="n"/>
      <c r="AH64" s="13" t="n"/>
      <c r="AI64" s="13" t="n"/>
      <c r="AJ64" s="13" t="n"/>
      <c r="AK64" s="13" t="n"/>
    </row>
    <row r="65">
      <c r="A65" s="13" t="n"/>
      <c r="B65" s="13" t="n"/>
      <c r="C65" s="13" t="n"/>
      <c r="D65" s="13" t="n"/>
      <c r="E65" s="13" t="n"/>
      <c r="F65" s="13" t="n"/>
      <c r="G65" s="13" t="n"/>
      <c r="H65" s="13" t="n"/>
      <c r="I65" s="13" t="n"/>
      <c r="J65" s="14" t="inlineStr">
        <is>
          <t>VAT (15%) on CIF+CET+CSC</t>
        </is>
      </c>
      <c r="K65" s="13" t="n"/>
      <c r="L65" s="13" t="n"/>
      <c r="M65" s="13" t="n"/>
      <c r="N65" s="13" t="n"/>
      <c r="O65" s="13" t="n"/>
      <c r="P65" s="15" t="n">
        <v>66.20999999999999</v>
      </c>
      <c r="Q65" s="13" t="n"/>
      <c r="R65" s="13" t="n"/>
      <c r="S65" s="13" t="n"/>
      <c r="T65" s="13" t="n"/>
      <c r="U65" s="13" t="n"/>
      <c r="V65" s="13" t="n"/>
      <c r="W65" s="13" t="n"/>
      <c r="X65" s="13" t="n"/>
      <c r="Y65" s="13" t="n"/>
      <c r="Z65" s="13" t="n"/>
      <c r="AA65" s="13" t="n"/>
      <c r="AB65" s="13" t="n"/>
      <c r="AC65" s="13" t="n"/>
      <c r="AD65" s="13" t="n"/>
      <c r="AE65" s="13" t="n"/>
      <c r="AF65" s="13" t="n"/>
      <c r="AG65" s="13" t="n"/>
      <c r="AH65" s="13" t="n"/>
      <c r="AI65" s="13" t="n"/>
      <c r="AJ65" s="13" t="n"/>
      <c r="AK65" s="13" t="n"/>
    </row>
    <row r="66">
      <c r="A66" s="16" t="n"/>
      <c r="B66" s="16" t="n"/>
      <c r="C66" s="16" t="n"/>
      <c r="D66" s="16" t="n"/>
      <c r="E66" s="16" t="n"/>
      <c r="F66" s="16" t="n"/>
      <c r="G66" s="16" t="n"/>
      <c r="H66" s="16" t="n"/>
      <c r="I66" s="16" t="n"/>
      <c r="J66" s="12" t="inlineStr">
        <is>
          <t>ESTIMATED TOTAL DUTIES</t>
        </is>
      </c>
      <c r="K66" s="16" t="n"/>
      <c r="L66" s="16" t="n"/>
      <c r="M66" s="16" t="n"/>
      <c r="N66" s="16" t="n"/>
      <c r="O66" s="16" t="n"/>
      <c r="P66" s="17" t="n">
        <v>157.29</v>
      </c>
      <c r="Q66" s="16" t="n"/>
      <c r="R66" s="16" t="n"/>
      <c r="S66" s="16" t="n"/>
      <c r="T66" s="16" t="n"/>
      <c r="U66" s="16" t="n"/>
      <c r="V66" s="16" t="n"/>
      <c r="W66" s="16" t="n"/>
      <c r="X66" s="16" t="n"/>
      <c r="Y66" s="16" t="n"/>
      <c r="Z66" s="16" t="n"/>
      <c r="AA66" s="16" t="n"/>
      <c r="AB66" s="16" t="n"/>
      <c r="AC66" s="16" t="n"/>
      <c r="AD66" s="16" t="n"/>
      <c r="AE66" s="16" t="n"/>
      <c r="AF66" s="16" t="n"/>
      <c r="AG66" s="16" t="n"/>
      <c r="AH66" s="16" t="n"/>
      <c r="AI66" s="16" t="n"/>
      <c r="AJ66" s="16" t="n"/>
      <c r="AK66" s="16" t="n"/>
    </row>
    <row r="67">
      <c r="A67" s="13" t="n"/>
      <c r="B67" s="13" t="n"/>
      <c r="C67" s="13" t="n"/>
      <c r="D67" s="13" t="n"/>
      <c r="E67" s="13" t="n"/>
      <c r="F67" s="13" t="n"/>
      <c r="G67" s="13" t="n"/>
      <c r="H67" s="13" t="n"/>
      <c r="I67" s="13" t="n"/>
      <c r="J67" s="14" t="inlineStr">
        <is>
          <t>Effective Duty Rate</t>
        </is>
      </c>
      <c r="K67" s="13" t="n"/>
      <c r="L67" s="13" t="n"/>
      <c r="M67" s="13" t="n"/>
      <c r="N67" s="13" t="n"/>
      <c r="O67" s="13" t="n"/>
      <c r="P67" s="18" t="n">
        <v>0.4490279482714322</v>
      </c>
      <c r="Q67" s="13" t="n"/>
      <c r="R67" s="13" t="n"/>
      <c r="S67" s="13" t="n"/>
      <c r="T67" s="13" t="n"/>
      <c r="U67" s="13" t="n"/>
      <c r="V67" s="13" t="n"/>
      <c r="W67" s="13" t="n"/>
      <c r="X67" s="13" t="n"/>
      <c r="Y67" s="13" t="n"/>
      <c r="Z67" s="13" t="n"/>
      <c r="AA67" s="13" t="n"/>
      <c r="AB67" s="13" t="n"/>
      <c r="AC67" s="13" t="n"/>
      <c r="AD67" s="13" t="n"/>
      <c r="AE67" s="13" t="n"/>
      <c r="AF67" s="13" t="n"/>
      <c r="AG67" s="13" t="n"/>
      <c r="AH67" s="13" t="n"/>
      <c r="AI67" s="13" t="n"/>
      <c r="AJ67" s="13" t="n"/>
      <c r="AK67" s="13" t="n"/>
    </row>
    <row r="68"/>
    <row r="69">
      <c r="A69" s="20" t="n"/>
      <c r="B69" s="20" t="n"/>
      <c r="C69" s="20" t="n"/>
      <c r="D69" s="20" t="n"/>
      <c r="E69" s="20" t="n"/>
      <c r="F69" s="20" t="n"/>
      <c r="G69" s="20" t="n"/>
      <c r="H69" s="20" t="n"/>
      <c r="I69" s="20" t="n"/>
      <c r="J69" s="20" t="n"/>
      <c r="K69" s="20" t="n"/>
      <c r="L69" s="20" t="n"/>
      <c r="M69" s="20" t="n"/>
      <c r="N69" s="20" t="n"/>
      <c r="O69" s="20" t="n"/>
      <c r="P69" s="20" t="n"/>
      <c r="Q69" s="20" t="n"/>
      <c r="R69" s="20" t="n"/>
      <c r="S69" s="20" t="n"/>
      <c r="T69" s="20" t="n"/>
      <c r="U69" s="20" t="n"/>
      <c r="V69" s="20" t="n"/>
      <c r="W69" s="20" t="n"/>
      <c r="X69" s="20" t="n"/>
      <c r="Y69" s="20" t="n"/>
      <c r="Z69" s="20" t="n"/>
      <c r="AA69" s="20" t="n"/>
      <c r="AB69" s="20" t="n"/>
      <c r="AC69" s="20" t="n"/>
      <c r="AD69" s="20" t="n"/>
      <c r="AE69" s="20" t="n"/>
      <c r="AF69" s="20" t="n"/>
      <c r="AG69" s="20" t="n"/>
      <c r="AH69" s="20" t="n"/>
      <c r="AI69" s="20" t="n"/>
      <c r="AJ69" s="20" t="n"/>
      <c r="AK69" s="20" t="n"/>
    </row>
    <row r="70">
      <c r="A70" s="20" t="n"/>
      <c r="B70" s="20" t="n"/>
      <c r="C70" s="20" t="n"/>
      <c r="D70" s="20" t="n"/>
      <c r="E70" s="20" t="n"/>
      <c r="F70" s="20" t="n"/>
      <c r="G70" s="20" t="n"/>
      <c r="H70" s="20" t="n"/>
      <c r="I70" s="20" t="n"/>
      <c r="J70" s="20" t="n"/>
      <c r="K70" s="20" t="n"/>
      <c r="L70" s="21" t="inlineStr">
        <is>
          <t>═══ COMBINED GRAND SUMMARY ═══</t>
        </is>
      </c>
      <c r="M70" s="20" t="n"/>
      <c r="N70" s="20" t="n"/>
      <c r="O70" s="20" t="n"/>
      <c r="P70" s="20" t="n"/>
      <c r="Q70" s="20" t="n"/>
      <c r="R70" s="20" t="n"/>
      <c r="S70" s="20" t="n"/>
      <c r="T70" s="20" t="n"/>
      <c r="U70" s="20" t="n"/>
      <c r="V70" s="20" t="n"/>
      <c r="W70" s="20" t="n"/>
      <c r="X70" s="20" t="n"/>
      <c r="Y70" s="20" t="n"/>
      <c r="Z70" s="20" t="n"/>
      <c r="AA70" s="20" t="n"/>
      <c r="AB70" s="20" t="n"/>
      <c r="AC70" s="20" t="n"/>
      <c r="AD70" s="20" t="n"/>
      <c r="AE70" s="20" t="n"/>
      <c r="AF70" s="20" t="n"/>
      <c r="AG70" s="20" t="n"/>
      <c r="AH70" s="20" t="n"/>
      <c r="AI70" s="20" t="n"/>
      <c r="AJ70" s="20" t="n"/>
      <c r="AK70" s="20" t="n"/>
    </row>
    <row r="71">
      <c r="L71" s="22" t="inlineStr">
        <is>
          <t>Invoice 1504495444</t>
        </is>
      </c>
      <c r="P71" s="23" t="n">
        <v>957.26</v>
      </c>
      <c r="Q71" s="24" t="n">
        <v>-828.33</v>
      </c>
    </row>
    <row r="72">
      <c r="L72" s="22" t="inlineStr">
        <is>
          <t>Invoice 15046495444</t>
        </is>
      </c>
      <c r="P72" s="23" t="n">
        <v>936.27</v>
      </c>
      <c r="Q72" s="24" t="n">
        <v>-807.34</v>
      </c>
    </row>
    <row r="73"/>
    <row r="74">
      <c r="L74" s="25" t="inlineStr">
        <is>
          <t>GRAND TOTAL</t>
        </is>
      </c>
      <c r="P74" s="26" t="n">
        <v>1893.53</v>
      </c>
    </row>
    <row r="75">
      <c r="L75" s="27" t="inlineStr">
        <is>
          <t>GRAND VARIANCE CHECK</t>
        </is>
      </c>
      <c r="P75" s="24" t="n">
        <v>-1635.67</v>
      </c>
    </row>
    <row r="76">
      <c r="L76" s="28" t="inlineStr">
        <is>
          <t>Combined 2 invoice files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5" customWidth="1" min="1" max="1"/>
    <col width="14" customWidth="1" min="2" max="2"/>
    <col width="10" customWidth="1" min="3" max="3"/>
    <col width="60" customWidth="1" min="4" max="4"/>
    <col width="100" customWidth="1" min="5" max="5"/>
  </cols>
  <sheetData>
    <row r="1">
      <c r="A1" s="29" t="inlineStr">
        <is>
          <t>PDF File</t>
        </is>
      </c>
      <c r="B1" s="29" t="inlineStr">
        <is>
          <t>Quality Score</t>
        </is>
      </c>
      <c r="C1" s="29" t="inlineStr">
        <is>
          <t>Rating</t>
        </is>
      </c>
      <c r="D1" s="29" t="inlineStr">
        <is>
          <t>Details</t>
        </is>
      </c>
      <c r="E1" s="29" t="inlineStr">
        <is>
          <t>OCR Text (first 2000 chars)</t>
        </is>
      </c>
    </row>
    <row r="2">
      <c r="A2" s="30" t="inlineStr">
        <is>
          <t>1504495444.pdf</t>
        </is>
      </c>
      <c r="B2" s="30" t="inlineStr">
        <is>
          <t>90/100</t>
        </is>
      </c>
      <c r="C2" s="30" t="inlineStr">
        <is>
          <t>GOOD</t>
        </is>
      </c>
      <c r="D2" s="30" t="inlineStr">
        <is>
          <t>Text: 1425 chars; Prices: 28 ($-sign), 16 (decimal); Total: $128.93; Invoice#: MISSING; Real items: 5/5; Structure words: 9/12</t>
        </is>
      </c>
      <c r="E2" s="31" t="inlineStr">
        <is>
          <t>H&amp;M
1/1
RECEIPT
YOUR DETAILS
RECEIPT DATE
21 July 2024
NAME
Rosalie la Grenade
RECEIPT NUMBER
L504495444
EMAIL
RLAGZ11@YAHOO.COM
ORDER NUMBER
49669470203
HOME ADDRESS
ORDER DATE
19 July 2024
PAYMENT METHOD
Paypal $67.98
DELIVERY METHOD
HOME DELIVERY STANDARD
ORDER SUMMARY
ART.NO	DESC.	SIZE	COLOUR	QTY.	UNIT PRICE	DISCOUNT	TAXABLE	TOTAL PRICE
1206305006007	Flared Twill Pants	12	Dark gray	1	$20.99	-$13.00	$7.99
1215205001003	Straw Hat	M/56	Beige	1	$19.99	-$11.00	$8.99
1206305005007	Flared Twill Pants	12	Light gray	1	$20.99	-$13.00	$7.99
1057731002004	Straw Hat	L/58	Light beige	1	$17.99	-$8.00	$9.99
1229647001004	Frayed-edge Straw Hat	L/58	Light beige	1	$12.99	-$7.00	$5.99
1187610004005	Twist-detail Shirt Dress	L	Yellow/tie-dye	1	$29.99	-$17.00	$12.99
1073337004001	Pendant Necklace	NOSIZE	Gold-colored/rhinestones	1	$5.99	-$2.00	$3.99
MERCHANDISE TOTAL:
$128.93
DISCOUNT:
-$71.00
SUBTOTAL:
$57.93
SHIPPING &amp; HANDLING:
$5.99
SALES TAX:
$4.06
TOTAL:
$67.98
QR-code for return in store
Note, you cannot reply to this email. If you have any questions about why you receive this email, or want to contact us, please call us toll-free at 855-466-7467.
For more information about your order, log in to My H&amp;M.
You always have 30 days to decide whether the item is right for you. To learn more about returns, please read our return and refund policy. For more information, please read our privacy notice and terms of use.</t>
        </is>
      </c>
    </row>
    <row r="3">
      <c r="A3" s="30" t="inlineStr">
        <is>
          <t>HAWB9603312-Manifest_Invoice.pdf</t>
        </is>
      </c>
      <c r="B3" s="30" t="inlineStr">
        <is>
          <t>100/100</t>
        </is>
      </c>
      <c r="C3" s="30" t="inlineStr">
        <is>
          <t>GOOD</t>
        </is>
      </c>
      <c r="D3" s="30" t="inlineStr">
        <is>
          <t>Text: 1820 chars; Prices: 26 ($-sign), 15 (decimal); Total: $128.93; Invoice#: 15046495444; Real items: 4/4; Structure words: 7/12</t>
        </is>
      </c>
      <c r="E3" s="31" t="inlineStr">
        <is>
          <t>4 ws .
2 vr :
W
YOUR DETAILS RECEIPT DATE 21 July 2024 :
, RECEIPT NUMBER 15046495444
NAME Rosalie la Grenade Bs
= 7
EMAIL RLAGZ11@YAHOO.COM ORDER NUMBER aren ens x
HOME ADDRESS Caio ORDER DATE 19 July 2024 bis
CRED
PAYMENT METHOD Paypal $67.98 .
DELIVERY METHOD HOME DELIVERY STANDARD :
3 ORDER SUMMARY
ART.NO DESC. SIZE COLOUR ary. UNIT PRICE DISCOUNT TAXABLE TOTAL PRICE
Heciiien Flared Twill Pants 12 Dark gray 1 $20.99 -§13.00 $7.99
fe Straw Hat MSS Beige 1 $19.99 -$11.00 $8.99 |
1206305005007 —— Flared Twill Pants 12 Light gray 1 $20.99 -$13.00 $7.99
J Siri 02008 Straw Hat U58 Light beige 1 $17.99 -$8.00 $9.99
Hu 1229647001004 —_Frayed-edge Straw Hat OG Light beige 1 $12.99 $7.00 $5.99
(s _A* 7810004005 Twist-detail Shit Dress L Yellownie-dye 1 $29.99 $17.00 $1299
: Sn Pendant Necklace NOSIZE Gold- 1 $5.99 -$2.00 $3.99
Me colored/rhinestones
MERCHANDISE TOTAL: $128.93
DISCOUNT: -$71.00
SUBTOTAL: $57.93
SHIPPING &amp; HANDLING: $5.99
SALES TAX: $4.06
TOTAL: $67.98
; QA-code for return in store
: a
: 5 oy - a
“ i a s 8
2 aEae aH
Me PH
ers Coy ra
=a. yl So h
omar sb
s
s
;! | " F,
a” . a a
4 . s L i =a
ae a
fey oe
Li
[a] . a
Not, you Cannot reply to tha email If you have shy questions aboul why you recenve ites emai Of wont to Contac! ut, please call us too: Wes af BSS 466 7487
For more intormabon about your order, tog in to My HAN
You aheays have 36 days to decode whether the tom is night tor you. To learn more about returns, please read our return and relund policy For more mlormation, pease road our privacy notice and tema of use
ET ST a rr LT I Te EL eI TT TE TT NT I EE TE ES EET FELT ORNL TET
You aheays Nave 36 Gays i decode whether the tem is noni for you. To learn more about returns, please read our seturn and relund poicy For more mlormation, please road ou privacy notice and tema of 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2026-04-24T06:53:04Z</dcterms:created>
  <dcterms:modified xsi:type="dcterms:W3CDTF">2026-04-24T06:53:17Z</dcterms:modified>
</cp:coreProperties>
</file>