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1F4E79"/>
      <sz val="10"/>
    </font>
    <font>
      <color rgb="001F4E79"/>
      <sz val="10"/>
    </font>
    <font>
      <b val="1"/>
      <color rgb="00CC0000"/>
      <sz val="10"/>
    </font>
    <font>
      <b val="1"/>
      <color rgb="00375623"/>
      <sz val="10"/>
    </font>
    <font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6" fillId="4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6" fillId="0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0" fontId="9" fillId="5" borderId="1" pivotButton="0" quotePrefix="0" xfId="0"/>
    <xf numFmtId="4" fontId="9" fillId="5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9" fillId="0" borderId="1" pivotButton="0" quotePrefix="0" xfId="0"/>
    <xf numFmtId="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1504495444</t>
        </is>
      </c>
      <c r="D2" s="2" t="inlineStr">
        <is>
          <t>2024-07-21</t>
        </is>
      </c>
      <c r="E2" s="2" t="inlineStr">
        <is>
          <t>Headgear</t>
        </is>
      </c>
      <c r="F2" s="2" t="inlineStr">
        <is>
          <t>65000090</t>
        </is>
      </c>
      <c r="G2" s="2" t="inlineStr"/>
      <c r="H2" s="2" t="inlineStr"/>
      <c r="I2" s="2" t="inlineStr">
        <is>
          <t>65000090</t>
        </is>
      </c>
      <c r="J2" s="2" t="inlineStr">
        <is>
          <t>Frayed-edge Straw Hat (1 items)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12.99</v>
      </c>
      <c r="P2" s="3" t="n">
        <v>12.99</v>
      </c>
      <c r="Q2" s="3">
        <f>O2*K2</f>
        <v/>
      </c>
      <c r="R2" s="3">
        <f>P2-Q2</f>
        <v/>
      </c>
      <c r="S2" s="3" t="n">
        <v>17.99</v>
      </c>
      <c r="T2" s="3" t="n">
        <v>5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H&amp;M</t>
        </is>
      </c>
      <c r="AA2" s="2" t="inlineStr">
        <is>
          <t>H&amp;M</t>
        </is>
      </c>
      <c r="AB2" s="2" t="inlineStr">
        <is>
          <t>H &amp; M Hennes &amp; Mauritz L.P., 1600 River Road, Burlington, NJ 08016, USA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65000090</t>
        </is>
      </c>
    </row>
    <row r="3">
      <c r="A3" s="4" t="n"/>
      <c r="B3" s="4" t="n"/>
      <c r="C3" s="4" t="n"/>
      <c r="D3" s="4" t="n"/>
      <c r="E3" s="4" t="n"/>
      <c r="F3" s="4" t="inlineStr">
        <is>
          <t>65000090</t>
        </is>
      </c>
      <c r="G3" s="4" t="n"/>
      <c r="H3" s="4" t="n"/>
      <c r="I3" s="4" t="inlineStr">
        <is>
          <t>1229647001004</t>
        </is>
      </c>
      <c r="J3" s="4" t="inlineStr">
        <is>
          <t>Frayed-edge Straw Hat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12.99</v>
      </c>
      <c r="P3" s="5" t="n">
        <v>12.99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inlineStr">
        <is>
          <t>SUBTOTAL (GROUPED)</t>
        </is>
      </c>
      <c r="K4" s="6" t="n"/>
      <c r="L4" s="6" t="n"/>
      <c r="M4" s="6" t="n"/>
      <c r="N4" s="6" t="n"/>
      <c r="O4" s="6" t="n"/>
      <c r="P4" s="7">
        <f>P2</f>
        <v/>
      </c>
      <c r="Q4" s="7">
        <f>Q2</f>
        <v/>
      </c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inlineStr">
        <is>
          <t>SUBTOTAL (DETAILS)</t>
        </is>
      </c>
      <c r="K5" s="6" t="n"/>
      <c r="L5" s="6" t="n"/>
      <c r="M5" s="6" t="n"/>
      <c r="N5" s="6" t="n"/>
      <c r="O5" s="6" t="n"/>
      <c r="P5" s="7">
        <f>SUM(P2:P3)-P4</f>
        <v/>
      </c>
      <c r="Q5" s="7">
        <f>SUM(Q2:Q3)-Q4</f>
        <v/>
      </c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inlineStr">
        <is>
          <t>GROUP VERIFICATION</t>
        </is>
      </c>
      <c r="K6" s="8" t="n"/>
      <c r="L6" s="8" t="n"/>
      <c r="M6" s="8" t="n"/>
      <c r="N6" s="8" t="n"/>
      <c r="O6" s="8" t="n"/>
      <c r="P6" s="9">
        <f>P4-P5</f>
        <v/>
      </c>
      <c r="Q6" s="9">
        <f>Q4-Q5</f>
        <v/>
      </c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/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TOTAL INTERNAL FREIGHT</t>
        </is>
      </c>
      <c r="K8" s="6" t="n"/>
      <c r="L8" s="6" t="n"/>
      <c r="M8" s="6" t="n"/>
      <c r="N8" s="6" t="n"/>
      <c r="O8" s="6" t="n"/>
      <c r="P8" s="7" t="n">
        <v>5</v>
      </c>
      <c r="Q8" s="7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TOTAL INSURANCE</t>
        </is>
      </c>
      <c r="K9" s="6" t="n"/>
      <c r="L9" s="6" t="n"/>
      <c r="M9" s="6" t="n"/>
      <c r="N9" s="6" t="n"/>
      <c r="O9" s="6" t="n"/>
      <c r="P9" s="7" t="n">
        <v>0</v>
      </c>
      <c r="Q9" s="7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inlineStr">
        <is>
          <t>TOTAL OTHER COST</t>
        </is>
      </c>
      <c r="K10" s="6" t="n"/>
      <c r="L10" s="6" t="n"/>
      <c r="M10" s="6" t="n"/>
      <c r="N10" s="6" t="n"/>
      <c r="O10" s="6" t="n"/>
      <c r="P10" s="7" t="n">
        <v>0</v>
      </c>
      <c r="Q10" s="7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TOTAL DEDUCTION</t>
        </is>
      </c>
      <c r="K11" s="6" t="n"/>
      <c r="L11" s="6" t="n"/>
      <c r="M11" s="6" t="n"/>
      <c r="N11" s="6" t="n"/>
      <c r="O11" s="6" t="n"/>
      <c r="P11" s="7" t="n">
        <v>0</v>
      </c>
      <c r="Q11" s="7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ADJUSTMENTS</t>
        </is>
      </c>
      <c r="K12" s="6" t="n"/>
      <c r="L12" s="6" t="n"/>
      <c r="M12" s="6" t="n"/>
      <c r="N12" s="6" t="n"/>
      <c r="O12" s="6" t="n"/>
      <c r="P12" s="7">
        <f>(T2+U2+V2-W2)</f>
        <v/>
      </c>
      <c r="Q12" s="7">
        <f>(T2+U2+V2-W2)</f>
        <v/>
      </c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/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NET TOTAL</t>
        </is>
      </c>
      <c r="K14" s="6" t="n"/>
      <c r="L14" s="6" t="n"/>
      <c r="M14" s="6" t="n"/>
      <c r="N14" s="6" t="n"/>
      <c r="O14" s="6" t="n"/>
      <c r="P14" s="7">
        <f>P4+P12</f>
        <v/>
      </c>
      <c r="Q14" s="7">
        <f>Q4+Q12</f>
        <v/>
      </c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INVOICE TOTAL</t>
        </is>
      </c>
      <c r="K15" s="6" t="n"/>
      <c r="L15" s="6" t="n"/>
      <c r="M15" s="6" t="n"/>
      <c r="N15" s="6" t="n"/>
      <c r="O15" s="6" t="n"/>
      <c r="P15" s="7">
        <f>S2</f>
        <v/>
      </c>
      <c r="Q15" s="7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/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inlineStr">
        <is>
          <t>VARIANCE CHECK</t>
        </is>
      </c>
      <c r="K17" s="10" t="n"/>
      <c r="L17" s="10" t="n"/>
      <c r="M17" s="10" t="n"/>
      <c r="N17" s="10" t="n"/>
      <c r="O17" s="10" t="n"/>
      <c r="P17" s="11">
        <f>S2-P14</f>
        <v/>
      </c>
      <c r="Q17" s="11">
        <f>S2-Q14</f>
        <v/>
      </c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</row>
    <row r="18"/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inlineStr">
        <is>
          <t>DUTY ESTIMATION (Classification Cross-Check)</t>
        </is>
      </c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4" t="inlineStr">
        <is>
          <t>CIF (USD) = InvTotal + Freight + Insurance</t>
        </is>
      </c>
      <c r="K20" s="13" t="n"/>
      <c r="L20" s="13" t="n"/>
      <c r="M20" s="13" t="n"/>
      <c r="N20" s="13" t="n"/>
      <c r="O20" s="13" t="n"/>
      <c r="P20" s="15" t="n">
        <v>22.99</v>
      </c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4" t="inlineStr">
        <is>
          <t>CIF (XCD) = CIF × 2.7169</t>
        </is>
      </c>
      <c r="K21" s="13" t="n"/>
      <c r="L21" s="13" t="n"/>
      <c r="M21" s="13" t="n"/>
      <c r="N21" s="13" t="n"/>
      <c r="O21" s="13" t="n"/>
      <c r="P21" s="15" t="n">
        <v>62.46</v>
      </c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4" t="inlineStr">
        <is>
          <t>CET (20%) — Tariff 65000090</t>
        </is>
      </c>
      <c r="K22" s="13" t="n"/>
      <c r="L22" s="13" t="n"/>
      <c r="M22" s="13" t="n"/>
      <c r="N22" s="13" t="n"/>
      <c r="O22" s="13" t="n"/>
      <c r="P22" s="15" t="n">
        <v>12.49</v>
      </c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inlineStr">
        <is>
          <t>CSC (6%)</t>
        </is>
      </c>
      <c r="K23" s="13" t="n"/>
      <c r="L23" s="13" t="n"/>
      <c r="M23" s="13" t="n"/>
      <c r="N23" s="13" t="n"/>
      <c r="O23" s="13" t="n"/>
      <c r="P23" s="15" t="n">
        <v>3.75</v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inlineStr">
        <is>
          <t>VAT (15%) on CIF+CET+CSC</t>
        </is>
      </c>
      <c r="K24" s="13" t="n"/>
      <c r="L24" s="13" t="n"/>
      <c r="M24" s="13" t="n"/>
      <c r="N24" s="13" t="n"/>
      <c r="O24" s="13" t="n"/>
      <c r="P24" s="15" t="n">
        <v>11.8</v>
      </c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2" t="inlineStr">
        <is>
          <t>ESTIMATED TOTAL DUTIES</t>
        </is>
      </c>
      <c r="K25" s="16" t="n"/>
      <c r="L25" s="16" t="n"/>
      <c r="M25" s="16" t="n"/>
      <c r="N25" s="16" t="n"/>
      <c r="O25" s="16" t="n"/>
      <c r="P25" s="17" t="n">
        <v>28.04</v>
      </c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4" t="inlineStr">
        <is>
          <t>Effective Duty Rate</t>
        </is>
      </c>
      <c r="K26" s="13" t="n"/>
      <c r="L26" s="13" t="n"/>
      <c r="M26" s="13" t="n"/>
      <c r="N26" s="13" t="n"/>
      <c r="O26" s="13" t="n"/>
      <c r="P26" s="18" t="n">
        <v>0.4489273134806276</v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4" t="inlineStr">
        <is>
          <t>CLIENT DECLARED DUTIES</t>
        </is>
      </c>
      <c r="K27" s="13" t="n"/>
      <c r="L27" s="13" t="n"/>
      <c r="M27" s="13" t="n"/>
      <c r="N27" s="13" t="n"/>
      <c r="O27" s="13" t="n"/>
      <c r="P27" s="15" t="n">
        <v>8.960000000000001</v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9" t="inlineStr">
        <is>
          <t>DUTY VARIANCE (Client − Estimated)</t>
        </is>
      </c>
      <c r="K28" s="13" t="n"/>
      <c r="L28" s="13" t="n"/>
      <c r="M28" s="13" t="n"/>
      <c r="N28" s="13" t="n"/>
      <c r="O28" s="13" t="n"/>
      <c r="P28" s="20" t="n">
        <v>-19.08</v>
      </c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4" t="inlineStr">
        <is>
          <t>IMPLIED CIF (from declared duty @ 20% CET, XCD)</t>
        </is>
      </c>
      <c r="K29" s="13" t="n"/>
      <c r="L29" s="13" t="n"/>
      <c r="M29" s="13" t="n"/>
      <c r="N29" s="13" t="n"/>
      <c r="O29" s="13" t="n"/>
      <c r="P29" s="15" t="n">
        <v>19.96</v>
      </c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4" t="inlineStr">
        <is>
          <t>IMPLIED ITEMS VALUE (USD, net of freight/insurance)</t>
        </is>
      </c>
      <c r="K30" s="13" t="n"/>
      <c r="L30" s="13" t="n"/>
      <c r="M30" s="13" t="n"/>
      <c r="N30" s="13" t="n"/>
      <c r="O30" s="13" t="n"/>
      <c r="P30" s="15" t="n">
        <v>2.34</v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9" t="inlineStr">
        <is>
          <t>⚠ ITEM ALLOCATION CHECK: actual $12.99 USD vs implied $2.34 USD — OVER-ALLOCATED (items should move to another waybill)</t>
        </is>
      </c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</row>
    <row r="32"/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inlineStr">
        <is>
          <t>Items on other declaration(s) (4 items)</t>
        </is>
      </c>
      <c r="K33" s="21" t="n"/>
      <c r="L33" s="21" t="n"/>
      <c r="M33" s="21" t="n"/>
      <c r="N33" s="21" t="n"/>
      <c r="O33" s="21" t="n"/>
      <c r="P33" s="22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</row>
    <row r="34">
      <c r="A34" s="21" t="n"/>
      <c r="B34" s="21" t="n"/>
      <c r="C34" s="21" t="n"/>
      <c r="D34" s="21" t="n"/>
      <c r="E34" s="21" t="inlineStr">
        <is>
          <t>Apparel</t>
        </is>
      </c>
      <c r="F34" s="21" t="inlineStr">
        <is>
          <t>62034290</t>
        </is>
      </c>
      <c r="G34" s="21" t="n"/>
      <c r="H34" s="21" t="n"/>
      <c r="I34" s="21" t="n"/>
      <c r="J34" s="21" t="inlineStr">
        <is>
          <t>Flared (+1 more) (2 items)</t>
        </is>
      </c>
      <c r="K34" s="21" t="n">
        <v>2</v>
      </c>
      <c r="L34" s="21" t="n"/>
      <c r="M34" s="21" t="n"/>
      <c r="N34" s="21" t="inlineStr">
        <is>
          <t>USD</t>
        </is>
      </c>
      <c r="O34" s="22" t="n">
        <v>20.99</v>
      </c>
      <c r="P34" s="22" t="n">
        <v>41.98</v>
      </c>
      <c r="Q34" s="22" t="n"/>
      <c r="R34" s="22" t="n"/>
      <c r="S34" s="22" t="n"/>
      <c r="T34" s="22" t="n"/>
      <c r="U34" s="22" t="n"/>
      <c r="V34" s="22" t="n"/>
      <c r="W34" s="22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inlineStr">
        <is>
          <t>1206305006007</t>
        </is>
      </c>
      <c r="J35" s="23" t="inlineStr">
        <is>
          <t>Flared</t>
        </is>
      </c>
      <c r="K35" s="23" t="n">
        <v>1</v>
      </c>
      <c r="L35" s="23" t="n"/>
      <c r="M35" s="23" t="n"/>
      <c r="N35" s="23" t="inlineStr">
        <is>
          <t>USD</t>
        </is>
      </c>
      <c r="O35" s="24" t="n">
        <v>20.99</v>
      </c>
      <c r="P35" s="24" t="n">
        <v>20.99</v>
      </c>
      <c r="Q35" s="24" t="n"/>
      <c r="R35" s="24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inlineStr">
        <is>
          <t>1206305005007</t>
        </is>
      </c>
      <c r="J36" s="23" t="inlineStr">
        <is>
          <t>Flared</t>
        </is>
      </c>
      <c r="K36" s="23" t="n">
        <v>1</v>
      </c>
      <c r="L36" s="23" t="n"/>
      <c r="M36" s="23" t="n"/>
      <c r="N36" s="23" t="inlineStr">
        <is>
          <t>USD</t>
        </is>
      </c>
      <c r="O36" s="24" t="n">
        <v>20.99</v>
      </c>
      <c r="P36" s="24" t="n">
        <v>20.99</v>
      </c>
      <c r="Q36" s="24" t="n"/>
      <c r="R36" s="24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</row>
    <row r="37">
      <c r="A37" s="21" t="n"/>
      <c r="B37" s="21" t="n"/>
      <c r="C37" s="21" t="n"/>
      <c r="D37" s="21" t="n"/>
      <c r="E37" s="21" t="inlineStr">
        <is>
          <t>Headgear</t>
        </is>
      </c>
      <c r="F37" s="21" t="inlineStr">
        <is>
          <t>65000090</t>
        </is>
      </c>
      <c r="G37" s="21" t="n"/>
      <c r="H37" s="21" t="n"/>
      <c r="I37" s="21" t="n"/>
      <c r="J37" s="21" t="inlineStr">
        <is>
          <t>Straw Hat (+1 more) (2 items)</t>
        </is>
      </c>
      <c r="K37" s="21" t="n">
        <v>2</v>
      </c>
      <c r="L37" s="21" t="n"/>
      <c r="M37" s="21" t="n"/>
      <c r="N37" s="21" t="inlineStr">
        <is>
          <t>USD</t>
        </is>
      </c>
      <c r="O37" s="22" t="n">
        <v>18.99</v>
      </c>
      <c r="P37" s="22" t="n">
        <v>37.98</v>
      </c>
      <c r="Q37" s="22" t="n"/>
      <c r="R37" s="22" t="n"/>
      <c r="S37" s="22" t="n"/>
      <c r="T37" s="22" t="n"/>
      <c r="U37" s="22" t="n"/>
      <c r="V37" s="22" t="n"/>
      <c r="W37" s="22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inlineStr">
        <is>
          <t>1215205001003</t>
        </is>
      </c>
      <c r="J38" s="23" t="inlineStr">
        <is>
          <t>Straw Hat</t>
        </is>
      </c>
      <c r="K38" s="23" t="n">
        <v>1</v>
      </c>
      <c r="L38" s="23" t="n"/>
      <c r="M38" s="23" t="n"/>
      <c r="N38" s="23" t="inlineStr">
        <is>
          <t>USD</t>
        </is>
      </c>
      <c r="O38" s="24" t="n">
        <v>19.99</v>
      </c>
      <c r="P38" s="24" t="n">
        <v>19.99</v>
      </c>
      <c r="Q38" s="24" t="n"/>
      <c r="R38" s="24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inlineStr">
        <is>
          <t>1057731002004</t>
        </is>
      </c>
      <c r="J39" s="23" t="inlineStr">
        <is>
          <t>Straw Hat</t>
        </is>
      </c>
      <c r="K39" s="23" t="n">
        <v>1</v>
      </c>
      <c r="L39" s="23" t="n"/>
      <c r="M39" s="23" t="n"/>
      <c r="N39" s="23" t="inlineStr">
        <is>
          <t>USD</t>
        </is>
      </c>
      <c r="O39" s="24" t="n">
        <v>17.99</v>
      </c>
      <c r="P39" s="24" t="n">
        <v>17.99</v>
      </c>
      <c r="Q39" s="24" t="n"/>
      <c r="R39" s="24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inlineStr">
        <is>
          <t>REFERENCE SUBTOTAL</t>
        </is>
      </c>
      <c r="K40" s="25" t="n"/>
      <c r="L40" s="25" t="n"/>
      <c r="M40" s="25" t="n"/>
      <c r="N40" s="25" t="n"/>
      <c r="O40" s="25" t="n"/>
      <c r="P40" s="26" t="n">
        <v>79.95999999999999</v>
      </c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inlineStr">
        <is>
          <t>REFERENCE FREIGHT</t>
        </is>
      </c>
      <c r="K41" s="25" t="n"/>
      <c r="L41" s="25" t="n"/>
      <c r="M41" s="25" t="n"/>
      <c r="N41" s="25" t="n"/>
      <c r="O41" s="25" t="n"/>
      <c r="P41" s="26" t="n">
        <v>9</v>
      </c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inlineStr">
        <is>
          <t>REFERENCE INSURANCE</t>
        </is>
      </c>
      <c r="K42" s="25" t="n"/>
      <c r="L42" s="25" t="n"/>
      <c r="M42" s="25" t="n"/>
      <c r="N42" s="25" t="n"/>
      <c r="O42" s="25" t="n"/>
      <c r="P42" s="26" t="n">
        <v>0</v>
      </c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inlineStr">
        <is>
          <t>REFERENCE OTHER COST</t>
        </is>
      </c>
      <c r="K43" s="25" t="n"/>
      <c r="L43" s="25" t="n"/>
      <c r="M43" s="25" t="n"/>
      <c r="N43" s="25" t="n"/>
      <c r="O43" s="25" t="n"/>
      <c r="P43" s="26" t="n">
        <v>0</v>
      </c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inlineStr">
        <is>
          <t>REFERENCE DEDUCTION</t>
        </is>
      </c>
      <c r="K44" s="25" t="n"/>
      <c r="L44" s="25" t="n"/>
      <c r="M44" s="25" t="n"/>
      <c r="N44" s="25" t="n"/>
      <c r="O44" s="25" t="n"/>
      <c r="P44" s="26" t="n">
        <v>0</v>
      </c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inlineStr">
        <is>
          <t>REFERENCE ADJUSTMENTS</t>
        </is>
      </c>
      <c r="K45" s="25" t="n"/>
      <c r="L45" s="25" t="n"/>
      <c r="M45" s="25" t="n"/>
      <c r="N45" s="25" t="n"/>
      <c r="O45" s="25" t="n"/>
      <c r="P45" s="26">
        <f>P41+P42+P43-P44</f>
        <v/>
      </c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inlineStr">
        <is>
          <t>REFERENCE NET TOTAL</t>
        </is>
      </c>
      <c r="K46" s="25" t="n"/>
      <c r="L46" s="25" t="n"/>
      <c r="M46" s="25" t="n"/>
      <c r="N46" s="25" t="n"/>
      <c r="O46" s="25" t="n"/>
      <c r="P46" s="26">
        <f>P40+P45</f>
        <v/>
      </c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inlineStr">
        <is>
          <t>COMBINED ITEMS TOTAL</t>
        </is>
      </c>
      <c r="K48" s="25" t="n"/>
      <c r="L48" s="25" t="n"/>
      <c r="M48" s="25" t="n"/>
      <c r="N48" s="25" t="n"/>
      <c r="O48" s="25" t="n"/>
      <c r="P48" s="26">
        <f>P4+P40</f>
        <v/>
      </c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inlineStr">
        <is>
          <t>FULL INVOICE FREIGHT</t>
        </is>
      </c>
      <c r="K49" s="25" t="n"/>
      <c r="L49" s="25" t="n"/>
      <c r="M49" s="25" t="n"/>
      <c r="N49" s="25" t="n"/>
      <c r="O49" s="25" t="n"/>
      <c r="P49" s="26">
        <f>P8+P41</f>
        <v/>
      </c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inlineStr">
        <is>
          <t>FULL INVOICE INSURANCE</t>
        </is>
      </c>
      <c r="K50" s="25" t="n"/>
      <c r="L50" s="25" t="n"/>
      <c r="M50" s="25" t="n"/>
      <c r="N50" s="25" t="n"/>
      <c r="O50" s="25" t="n"/>
      <c r="P50" s="26">
        <f>P9+P42</f>
        <v/>
      </c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inlineStr">
        <is>
          <t>FULL INVOICE OTHER COST</t>
        </is>
      </c>
      <c r="K51" s="25" t="n"/>
      <c r="L51" s="25" t="n"/>
      <c r="M51" s="25" t="n"/>
      <c r="N51" s="25" t="n"/>
      <c r="O51" s="25" t="n"/>
      <c r="P51" s="26">
        <f>P10+P43</f>
        <v/>
      </c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inlineStr">
        <is>
          <t>FULL INVOICE DEDUCTION</t>
        </is>
      </c>
      <c r="K52" s="25" t="n"/>
      <c r="L52" s="25" t="n"/>
      <c r="M52" s="25" t="n"/>
      <c r="N52" s="25" t="n"/>
      <c r="O52" s="25" t="n"/>
      <c r="P52" s="26">
        <f>P11+P44</f>
        <v/>
      </c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inlineStr">
        <is>
          <t>FULL ADJUSTMENTS</t>
        </is>
      </c>
      <c r="K53" s="25" t="n"/>
      <c r="L53" s="25" t="n"/>
      <c r="M53" s="25" t="n"/>
      <c r="N53" s="25" t="n"/>
      <c r="O53" s="25" t="n"/>
      <c r="P53" s="26">
        <f>P49+P50+P51-P52</f>
        <v/>
      </c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inlineStr">
        <is>
          <t>COMBINED NET TOTAL</t>
        </is>
      </c>
      <c r="K54" s="25" t="n"/>
      <c r="L54" s="25" t="n"/>
      <c r="M54" s="25" t="n"/>
      <c r="N54" s="25" t="n"/>
      <c r="O54" s="25" t="n"/>
      <c r="P54" s="26">
        <f>P48+P53</f>
        <v/>
      </c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inlineStr">
        <is>
          <t>FULL INVOICE TOTAL</t>
        </is>
      </c>
      <c r="K55" s="25" t="n"/>
      <c r="L55" s="25" t="n"/>
      <c r="M55" s="25" t="n"/>
      <c r="N55" s="25" t="n"/>
      <c r="O55" s="25" t="n"/>
      <c r="P55" s="26" t="n">
        <v>128.93</v>
      </c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inlineStr">
        <is>
          <t>COMBINED VARIANCE CHECK</t>
        </is>
      </c>
      <c r="K56" s="25" t="n"/>
      <c r="L56" s="25" t="n"/>
      <c r="M56" s="25" t="n"/>
      <c r="N56" s="25" t="n"/>
      <c r="O56" s="25" t="n"/>
      <c r="P56" s="26">
        <f>P55-P54</f>
        <v/>
      </c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2026-04-24T21:48:18Z</dcterms:created>
  <dcterms:modified xmlns:dcterms="http://purl.org/dc/terms/" xmlns:xsi="http://www.w3.org/2001/XMLSchema-instance" xsi:type="dcterms:W3CDTF">2026-04-24T21:48:18Z</dcterms:modified>
</cp:coreProperties>
</file>