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1F4E79"/>
      <sz val="10"/>
    </font>
    <font>
      <color rgb="001F4E79"/>
      <sz val="10"/>
    </font>
    <font>
      <b val="1"/>
      <color rgb="00CC0000"/>
      <sz val="10"/>
    </font>
    <font>
      <b val="1"/>
      <color rgb="00375623"/>
      <sz val="10"/>
    </font>
    <font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6" fillId="4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6" fillId="0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0" fontId="9" fillId="5" borderId="1" pivotButton="0" quotePrefix="0" xfId="0"/>
    <xf numFmtId="4" fontId="9" fillId="5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9" fillId="0" borderId="1" pivotButton="0" quotePrefix="0" xfId="0"/>
    <xf numFmtId="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1504495444</t>
        </is>
      </c>
      <c r="D2" s="2" t="inlineStr">
        <is>
          <t>2024-07-21</t>
        </is>
      </c>
      <c r="E2" s="2" t="inlineStr">
        <is>
          <t>Apparel</t>
        </is>
      </c>
      <c r="F2" s="2" t="inlineStr">
        <is>
          <t>62034290</t>
        </is>
      </c>
      <c r="G2" s="2" t="inlineStr"/>
      <c r="H2" s="2" t="inlineStr"/>
      <c r="I2" s="2" t="inlineStr">
        <is>
          <t>62034290</t>
        </is>
      </c>
      <c r="J2" s="2" t="inlineStr">
        <is>
          <t>Flared (+1 more) (2 items)</t>
        </is>
      </c>
      <c r="K2" s="2" t="n">
        <v>2</v>
      </c>
      <c r="L2" s="2" t="n"/>
      <c r="M2" s="2" t="inlineStr"/>
      <c r="N2" s="2" t="inlineStr">
        <is>
          <t>USD</t>
        </is>
      </c>
      <c r="O2" s="3" t="n">
        <v>20.99</v>
      </c>
      <c r="P2" s="3" t="n">
        <v>41.98</v>
      </c>
      <c r="Q2" s="3">
        <f>O2*K2</f>
        <v/>
      </c>
      <c r="R2" s="3">
        <f>P2-Q2</f>
        <v/>
      </c>
      <c r="S2" s="3" t="n">
        <v>88.95999999999999</v>
      </c>
      <c r="T2" s="3" t="n">
        <v>9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H&amp;M</t>
        </is>
      </c>
      <c r="AA2" s="2" t="inlineStr">
        <is>
          <t>H&amp;M</t>
        </is>
      </c>
      <c r="AB2" s="2" t="inlineStr">
        <is>
          <t>H &amp; M Hennes &amp; Mauritz L.P., 1600 River Road, Burlington, NJ 08016, USA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62034290</t>
        </is>
      </c>
    </row>
    <row r="3">
      <c r="A3" s="4" t="n"/>
      <c r="B3" s="4" t="n"/>
      <c r="C3" s="4" t="n"/>
      <c r="D3" s="4" t="n"/>
      <c r="E3" s="4" t="n"/>
      <c r="F3" s="4" t="inlineStr">
        <is>
          <t>62034290</t>
        </is>
      </c>
      <c r="G3" s="4" t="n"/>
      <c r="H3" s="4" t="n"/>
      <c r="I3" s="4" t="inlineStr">
        <is>
          <t>1206305006007</t>
        </is>
      </c>
      <c r="J3" s="4" t="inlineStr">
        <is>
          <t>Flared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20.99</v>
      </c>
      <c r="P3" s="5" t="n">
        <v>20.99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inlineStr">
        <is>
          <t>62034290</t>
        </is>
      </c>
      <c r="G4" s="4" t="n"/>
      <c r="H4" s="4" t="n"/>
      <c r="I4" s="4" t="inlineStr">
        <is>
          <t>1206305005007</t>
        </is>
      </c>
      <c r="J4" s="4" t="inlineStr">
        <is>
          <t>Flared</t>
        </is>
      </c>
      <c r="K4" s="4" t="n">
        <v>1</v>
      </c>
      <c r="L4" s="4" t="n"/>
      <c r="M4" s="4" t="inlineStr"/>
      <c r="N4" s="4" t="inlineStr">
        <is>
          <t>USD</t>
        </is>
      </c>
      <c r="O4" s="5" t="n">
        <v>20.99</v>
      </c>
      <c r="P4" s="5" t="n">
        <v>20.99</v>
      </c>
      <c r="Q4" s="5">
        <f>O4*K4</f>
        <v/>
      </c>
      <c r="R4" s="5">
        <f>P4-Q4</f>
        <v/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2" t="n"/>
      <c r="B5" s="2" t="inlineStr"/>
      <c r="C5" s="2" t="inlineStr">
        <is>
          <t>1504495444</t>
        </is>
      </c>
      <c r="D5" s="2" t="inlineStr">
        <is>
          <t>2024-07-21</t>
        </is>
      </c>
      <c r="E5" s="2" t="inlineStr">
        <is>
          <t>Headgear</t>
        </is>
      </c>
      <c r="F5" s="2" t="inlineStr">
        <is>
          <t>65000090</t>
        </is>
      </c>
      <c r="G5" s="2" t="inlineStr"/>
      <c r="H5" s="2" t="inlineStr"/>
      <c r="I5" s="2" t="inlineStr">
        <is>
          <t>65000090</t>
        </is>
      </c>
      <c r="J5" s="2" t="inlineStr">
        <is>
          <t>Straw Hat (+1 more) (2 items)</t>
        </is>
      </c>
      <c r="K5" s="2" t="n">
        <v>2</v>
      </c>
      <c r="L5" s="2" t="n"/>
      <c r="M5" s="2" t="inlineStr"/>
      <c r="N5" s="2" t="inlineStr">
        <is>
          <t>USD</t>
        </is>
      </c>
      <c r="O5" s="3" t="n">
        <v>18.99</v>
      </c>
      <c r="P5" s="3" t="n">
        <v>37.98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65000090</t>
        </is>
      </c>
    </row>
    <row r="6">
      <c r="A6" s="4" t="n"/>
      <c r="B6" s="4" t="n"/>
      <c r="C6" s="4" t="n"/>
      <c r="D6" s="4" t="n"/>
      <c r="E6" s="4" t="n"/>
      <c r="F6" s="4" t="inlineStr">
        <is>
          <t>65000090</t>
        </is>
      </c>
      <c r="G6" s="4" t="n"/>
      <c r="H6" s="4" t="n"/>
      <c r="I6" s="4" t="inlineStr">
        <is>
          <t>1215205001003</t>
        </is>
      </c>
      <c r="J6" s="4" t="inlineStr">
        <is>
          <t>Straw Hat</t>
        </is>
      </c>
      <c r="K6" s="4" t="n">
        <v>1</v>
      </c>
      <c r="L6" s="4" t="n"/>
      <c r="M6" s="4" t="inlineStr"/>
      <c r="N6" s="4" t="inlineStr">
        <is>
          <t>USD</t>
        </is>
      </c>
      <c r="O6" s="5" t="n">
        <v>19.99</v>
      </c>
      <c r="P6" s="5" t="n">
        <v>19.99</v>
      </c>
      <c r="Q6" s="5">
        <f>O6*K6</f>
        <v/>
      </c>
      <c r="R6" s="5">
        <f>P6-Q6</f>
        <v/>
      </c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4" t="n"/>
      <c r="B7" s="4" t="n"/>
      <c r="C7" s="4" t="n"/>
      <c r="D7" s="4" t="n"/>
      <c r="E7" s="4" t="n"/>
      <c r="F7" s="4" t="inlineStr">
        <is>
          <t>65000090</t>
        </is>
      </c>
      <c r="G7" s="4" t="n"/>
      <c r="H7" s="4" t="n"/>
      <c r="I7" s="4" t="inlineStr">
        <is>
          <t>1057731002004</t>
        </is>
      </c>
      <c r="J7" s="4" t="inlineStr">
        <is>
          <t>Straw Hat</t>
        </is>
      </c>
      <c r="K7" s="4" t="n">
        <v>1</v>
      </c>
      <c r="L7" s="4" t="n"/>
      <c r="M7" s="4" t="inlineStr"/>
      <c r="N7" s="4" t="inlineStr">
        <is>
          <t>USD</t>
        </is>
      </c>
      <c r="O7" s="5" t="n">
        <v>17.99</v>
      </c>
      <c r="P7" s="5" t="n">
        <v>17.99</v>
      </c>
      <c r="Q7" s="5">
        <f>O7*K7</f>
        <v/>
      </c>
      <c r="R7" s="5">
        <f>P7-Q7</f>
        <v/>
      </c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SUBTOTAL (GROUPED)</t>
        </is>
      </c>
      <c r="K8" s="6" t="n"/>
      <c r="L8" s="6" t="n"/>
      <c r="M8" s="6" t="n"/>
      <c r="N8" s="6" t="n"/>
      <c r="O8" s="6" t="n"/>
      <c r="P8" s="7">
        <f>P2+P5</f>
        <v/>
      </c>
      <c r="Q8" s="7">
        <f>Q2+Q5</f>
        <v/>
      </c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SUBTOTAL (DETAILS)</t>
        </is>
      </c>
      <c r="K9" s="6" t="n"/>
      <c r="L9" s="6" t="n"/>
      <c r="M9" s="6" t="n"/>
      <c r="N9" s="6" t="n"/>
      <c r="O9" s="6" t="n"/>
      <c r="P9" s="7">
        <f>SUM(P2:P7)-P8</f>
        <v/>
      </c>
      <c r="Q9" s="7">
        <f>SUM(Q2:Q7)-Q8</f>
        <v/>
      </c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inlineStr">
        <is>
          <t>GROUP VERIFICATION</t>
        </is>
      </c>
      <c r="K10" s="8" t="n"/>
      <c r="L10" s="8" t="n"/>
      <c r="M10" s="8" t="n"/>
      <c r="N10" s="8" t="n"/>
      <c r="O10" s="8" t="n"/>
      <c r="P10" s="9">
        <f>P8-P9</f>
        <v/>
      </c>
      <c r="Q10" s="9">
        <f>Q8-Q9</f>
        <v/>
      </c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/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TOTAL INTERNAL FREIGHT</t>
        </is>
      </c>
      <c r="K12" s="6" t="n"/>
      <c r="L12" s="6" t="n"/>
      <c r="M12" s="6" t="n"/>
      <c r="N12" s="6" t="n"/>
      <c r="O12" s="6" t="n"/>
      <c r="P12" s="7" t="n">
        <v>9</v>
      </c>
      <c r="Q12" s="7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TOTAL INSURANCE</t>
        </is>
      </c>
      <c r="K13" s="6" t="n"/>
      <c r="L13" s="6" t="n"/>
      <c r="M13" s="6" t="n"/>
      <c r="N13" s="6" t="n"/>
      <c r="O13" s="6" t="n"/>
      <c r="P13" s="7" t="n">
        <v>0</v>
      </c>
      <c r="Q13" s="7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TOTAL OTHER COST</t>
        </is>
      </c>
      <c r="K14" s="6" t="n"/>
      <c r="L14" s="6" t="n"/>
      <c r="M14" s="6" t="n"/>
      <c r="N14" s="6" t="n"/>
      <c r="O14" s="6" t="n"/>
      <c r="P14" s="7" t="n">
        <v>0</v>
      </c>
      <c r="Q14" s="7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TOTAL DEDUCTION</t>
        </is>
      </c>
      <c r="K15" s="6" t="n"/>
      <c r="L15" s="6" t="n"/>
      <c r="M15" s="6" t="n"/>
      <c r="N15" s="6" t="n"/>
      <c r="O15" s="6" t="n"/>
      <c r="P15" s="7" t="n">
        <v>0</v>
      </c>
      <c r="Q15" s="7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inlineStr">
        <is>
          <t>ADJUSTMENTS</t>
        </is>
      </c>
      <c r="K16" s="6" t="n"/>
      <c r="L16" s="6" t="n"/>
      <c r="M16" s="6" t="n"/>
      <c r="N16" s="6" t="n"/>
      <c r="O16" s="6" t="n"/>
      <c r="P16" s="7">
        <f>(T2+U2+V2-W2)</f>
        <v/>
      </c>
      <c r="Q16" s="7">
        <f>(T2+U2+V2-W2)</f>
        <v/>
      </c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/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inlineStr">
        <is>
          <t>NET TOTAL</t>
        </is>
      </c>
      <c r="K18" s="6" t="n"/>
      <c r="L18" s="6" t="n"/>
      <c r="M18" s="6" t="n"/>
      <c r="N18" s="6" t="n"/>
      <c r="O18" s="6" t="n"/>
      <c r="P18" s="7">
        <f>P8+P16</f>
        <v/>
      </c>
      <c r="Q18" s="7">
        <f>Q8+Q16</f>
        <v/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inlineStr">
        <is>
          <t>INVOICE TOTAL</t>
        </is>
      </c>
      <c r="K19" s="6" t="n"/>
      <c r="L19" s="6" t="n"/>
      <c r="M19" s="6" t="n"/>
      <c r="N19" s="6" t="n"/>
      <c r="O19" s="6" t="n"/>
      <c r="P19" s="7">
        <f>S2</f>
        <v/>
      </c>
      <c r="Q19" s="7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</row>
    <row r="20"/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inlineStr">
        <is>
          <t>VARIANCE CHECK</t>
        </is>
      </c>
      <c r="K21" s="10" t="n"/>
      <c r="L21" s="10" t="n"/>
      <c r="M21" s="10" t="n"/>
      <c r="N21" s="10" t="n"/>
      <c r="O21" s="10" t="n"/>
      <c r="P21" s="11">
        <f>S2-P18</f>
        <v/>
      </c>
      <c r="Q21" s="11">
        <f>S2-Q18</f>
        <v/>
      </c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</row>
    <row r="22"/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inlineStr">
        <is>
          <t>DUTY ESTIMATION (Classification Cross-Check)</t>
        </is>
      </c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inlineStr">
        <is>
          <t>CIF (USD) = InvTotal + Freight + Insurance</t>
        </is>
      </c>
      <c r="K24" s="13" t="n"/>
      <c r="L24" s="13" t="n"/>
      <c r="M24" s="13" t="n"/>
      <c r="N24" s="13" t="n"/>
      <c r="O24" s="13" t="n"/>
      <c r="P24" s="15" t="n">
        <v>97.95999999999999</v>
      </c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inlineStr">
        <is>
          <t>CIF (XCD) = CIF × 2.7169</t>
        </is>
      </c>
      <c r="K25" s="13" t="n"/>
      <c r="L25" s="13" t="n"/>
      <c r="M25" s="13" t="n"/>
      <c r="N25" s="13" t="n"/>
      <c r="O25" s="13" t="n"/>
      <c r="P25" s="15" t="n">
        <v>266.15</v>
      </c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4" t="inlineStr">
        <is>
          <t>CET (weighted avg 20.0%)</t>
        </is>
      </c>
      <c r="K26" s="13" t="n"/>
      <c r="L26" s="13" t="n"/>
      <c r="M26" s="13" t="n"/>
      <c r="N26" s="13" t="n"/>
      <c r="O26" s="13" t="n"/>
      <c r="P26" s="15" t="n">
        <v>53.23</v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4" t="inlineStr">
        <is>
          <t xml:space="preserve">  └ 62034290: 20% CET (53% of value)</t>
        </is>
      </c>
      <c r="K27" s="13" t="n"/>
      <c r="L27" s="13" t="n"/>
      <c r="M27" s="13" t="n"/>
      <c r="N27" s="13" t="n"/>
      <c r="O27" s="13" t="n"/>
      <c r="P27" s="15" t="n">
        <v>27.95</v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4" t="inlineStr">
        <is>
          <t xml:space="preserve">  └ 65000090: 20% CET (47% of value)</t>
        </is>
      </c>
      <c r="K28" s="13" t="n"/>
      <c r="L28" s="13" t="n"/>
      <c r="M28" s="13" t="n"/>
      <c r="N28" s="13" t="n"/>
      <c r="O28" s="13" t="n"/>
      <c r="P28" s="15" t="n">
        <v>25.28</v>
      </c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4" t="inlineStr">
        <is>
          <t>CSC (6%)</t>
        </is>
      </c>
      <c r="K29" s="13" t="n"/>
      <c r="L29" s="13" t="n"/>
      <c r="M29" s="13" t="n"/>
      <c r="N29" s="13" t="n"/>
      <c r="O29" s="13" t="n"/>
      <c r="P29" s="15" t="n">
        <v>15.97</v>
      </c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4" t="inlineStr">
        <is>
          <t>VAT (15%) on CIF+CET+CSC</t>
        </is>
      </c>
      <c r="K30" s="13" t="n"/>
      <c r="L30" s="13" t="n"/>
      <c r="M30" s="13" t="n"/>
      <c r="N30" s="13" t="n"/>
      <c r="O30" s="13" t="n"/>
      <c r="P30" s="15" t="n">
        <v>50.3</v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2" t="inlineStr">
        <is>
          <t>ESTIMATED TOTAL DUTIES</t>
        </is>
      </c>
      <c r="K31" s="16" t="n"/>
      <c r="L31" s="16" t="n"/>
      <c r="M31" s="16" t="n"/>
      <c r="N31" s="16" t="n"/>
      <c r="O31" s="16" t="n"/>
      <c r="P31" s="17" t="n">
        <v>119.5</v>
      </c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4" t="inlineStr">
        <is>
          <t>Effective Duty Rate</t>
        </is>
      </c>
      <c r="K32" s="13" t="n"/>
      <c r="L32" s="13" t="n"/>
      <c r="M32" s="13" t="n"/>
      <c r="N32" s="13" t="n"/>
      <c r="O32" s="13" t="n"/>
      <c r="P32" s="18" t="n">
        <v>0.4489949276723653</v>
      </c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4" t="inlineStr">
        <is>
          <t>CLIENT DECLARED DUTIES</t>
        </is>
      </c>
      <c r="K33" s="13" t="n"/>
      <c r="L33" s="13" t="n"/>
      <c r="M33" s="13" t="n"/>
      <c r="N33" s="13" t="n"/>
      <c r="O33" s="13" t="n"/>
      <c r="P33" s="15" t="n">
        <v>80.06</v>
      </c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  <c r="AJ33" s="13" t="n"/>
      <c r="AK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9" t="inlineStr">
        <is>
          <t>DUTY VARIANCE (Client − Estimated)</t>
        </is>
      </c>
      <c r="K34" s="13" t="n"/>
      <c r="L34" s="13" t="n"/>
      <c r="M34" s="13" t="n"/>
      <c r="N34" s="13" t="n"/>
      <c r="O34" s="13" t="n"/>
      <c r="P34" s="20" t="n">
        <v>-39.44</v>
      </c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  <c r="AJ34" s="13" t="n"/>
      <c r="AK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4" t="inlineStr">
        <is>
          <t>IMPLIED CET RATE (from client value)</t>
        </is>
      </c>
      <c r="K35" s="13" t="n"/>
      <c r="L35" s="13" t="n"/>
      <c r="M35" s="13" t="n"/>
      <c r="N35" s="13" t="n"/>
      <c r="O35" s="13" t="n"/>
      <c r="P35" s="18" t="n">
        <v>0.07113723055811945</v>
      </c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  <c r="AJ35" s="13" t="n"/>
      <c r="AK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9" t="inlineStr">
        <is>
          <t>⚠ CET MISMATCH: System=20% vs Client≈7% — review classification</t>
        </is>
      </c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  <c r="AJ36" s="13" t="n"/>
      <c r="AK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4" t="inlineStr">
        <is>
          <t>IMPLIED CIF (from declared duty @ 20% CET, XCD)</t>
        </is>
      </c>
      <c r="K37" s="13" t="n"/>
      <c r="L37" s="13" t="n"/>
      <c r="M37" s="13" t="n"/>
      <c r="N37" s="13" t="n"/>
      <c r="O37" s="13" t="n"/>
      <c r="P37" s="15" t="n">
        <v>178.31</v>
      </c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inlineStr">
        <is>
          <t>IMPLIED ITEMS VALUE (USD, net of freight/insurance)</t>
        </is>
      </c>
      <c r="K38" s="13" t="n"/>
      <c r="L38" s="13" t="n"/>
      <c r="M38" s="13" t="n"/>
      <c r="N38" s="13" t="n"/>
      <c r="O38" s="13" t="n"/>
      <c r="P38" s="15" t="n">
        <v>56.63</v>
      </c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  <c r="AJ38" s="13" t="n"/>
      <c r="AK38" s="13" t="n"/>
    </row>
    <row r="39"/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inlineStr">
        <is>
          <t>Items on other declaration(s) (1 items)</t>
        </is>
      </c>
      <c r="K40" s="21" t="n"/>
      <c r="L40" s="21" t="n"/>
      <c r="M40" s="21" t="n"/>
      <c r="N40" s="21" t="n"/>
      <c r="O40" s="21" t="n"/>
      <c r="P40" s="22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</row>
    <row r="41">
      <c r="A41" s="21" t="n"/>
      <c r="B41" s="21" t="n"/>
      <c r="C41" s="21" t="n"/>
      <c r="D41" s="21" t="n"/>
      <c r="E41" s="21" t="inlineStr">
        <is>
          <t>Headgear</t>
        </is>
      </c>
      <c r="F41" s="21" t="inlineStr">
        <is>
          <t>65000090</t>
        </is>
      </c>
      <c r="G41" s="21" t="n"/>
      <c r="H41" s="21" t="n"/>
      <c r="I41" s="21" t="n"/>
      <c r="J41" s="21" t="inlineStr">
        <is>
          <t>Frayed-edge Straw Hat (1 items)</t>
        </is>
      </c>
      <c r="K41" s="21" t="n">
        <v>1</v>
      </c>
      <c r="L41" s="21" t="n"/>
      <c r="M41" s="21" t="n"/>
      <c r="N41" s="21" t="inlineStr">
        <is>
          <t>USD</t>
        </is>
      </c>
      <c r="O41" s="22" t="n">
        <v>12.99</v>
      </c>
      <c r="P41" s="22" t="n">
        <v>12.99</v>
      </c>
      <c r="Q41" s="22" t="n"/>
      <c r="R41" s="22" t="n"/>
      <c r="S41" s="22" t="n"/>
      <c r="T41" s="22" t="n"/>
      <c r="U41" s="22" t="n"/>
      <c r="V41" s="22" t="n"/>
      <c r="W41" s="22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inlineStr">
        <is>
          <t>1229647001004</t>
        </is>
      </c>
      <c r="J42" s="23" t="inlineStr">
        <is>
          <t>Frayed-edge Straw Hat</t>
        </is>
      </c>
      <c r="K42" s="23" t="n">
        <v>1</v>
      </c>
      <c r="L42" s="23" t="n"/>
      <c r="M42" s="23" t="n"/>
      <c r="N42" s="23" t="inlineStr">
        <is>
          <t>USD</t>
        </is>
      </c>
      <c r="O42" s="24" t="n">
        <v>12.99</v>
      </c>
      <c r="P42" s="24" t="n">
        <v>12.99</v>
      </c>
      <c r="Q42" s="24" t="n"/>
      <c r="R42" s="24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inlineStr">
        <is>
          <t>REFERENCE SUBTOTAL</t>
        </is>
      </c>
      <c r="K43" s="25" t="n"/>
      <c r="L43" s="25" t="n"/>
      <c r="M43" s="25" t="n"/>
      <c r="N43" s="25" t="n"/>
      <c r="O43" s="25" t="n"/>
      <c r="P43" s="26" t="n">
        <v>12.99</v>
      </c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inlineStr">
        <is>
          <t>REFERENCE FREIGHT</t>
        </is>
      </c>
      <c r="K44" s="25" t="n"/>
      <c r="L44" s="25" t="n"/>
      <c r="M44" s="25" t="n"/>
      <c r="N44" s="25" t="n"/>
      <c r="O44" s="25" t="n"/>
      <c r="P44" s="26" t="n">
        <v>5</v>
      </c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inlineStr">
        <is>
          <t>REFERENCE INSURANCE</t>
        </is>
      </c>
      <c r="K45" s="25" t="n"/>
      <c r="L45" s="25" t="n"/>
      <c r="M45" s="25" t="n"/>
      <c r="N45" s="25" t="n"/>
      <c r="O45" s="25" t="n"/>
      <c r="P45" s="26" t="n">
        <v>0</v>
      </c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inlineStr">
        <is>
          <t>REFERENCE OTHER COST</t>
        </is>
      </c>
      <c r="K46" s="25" t="n"/>
      <c r="L46" s="25" t="n"/>
      <c r="M46" s="25" t="n"/>
      <c r="N46" s="25" t="n"/>
      <c r="O46" s="25" t="n"/>
      <c r="P46" s="26" t="n">
        <v>0</v>
      </c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inlineStr">
        <is>
          <t>REFERENCE DEDUCTION</t>
        </is>
      </c>
      <c r="K47" s="25" t="n"/>
      <c r="L47" s="25" t="n"/>
      <c r="M47" s="25" t="n"/>
      <c r="N47" s="25" t="n"/>
      <c r="O47" s="25" t="n"/>
      <c r="P47" s="26" t="n">
        <v>0</v>
      </c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inlineStr">
        <is>
          <t>REFERENCE ADJUSTMENTS</t>
        </is>
      </c>
      <c r="K48" s="25" t="n"/>
      <c r="L48" s="25" t="n"/>
      <c r="M48" s="25" t="n"/>
      <c r="N48" s="25" t="n"/>
      <c r="O48" s="25" t="n"/>
      <c r="P48" s="26">
        <f>P44+P45+P46-P47</f>
        <v/>
      </c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inlineStr">
        <is>
          <t>REFERENCE NET TOTAL</t>
        </is>
      </c>
      <c r="K49" s="25" t="n"/>
      <c r="L49" s="25" t="n"/>
      <c r="M49" s="25" t="n"/>
      <c r="N49" s="25" t="n"/>
      <c r="O49" s="25" t="n"/>
      <c r="P49" s="26">
        <f>P43+P48</f>
        <v/>
      </c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inlineStr">
        <is>
          <t>COMBINED ITEMS TOTAL</t>
        </is>
      </c>
      <c r="K51" s="25" t="n"/>
      <c r="L51" s="25" t="n"/>
      <c r="M51" s="25" t="n"/>
      <c r="N51" s="25" t="n"/>
      <c r="O51" s="25" t="n"/>
      <c r="P51" s="26">
        <f>P8+P43</f>
        <v/>
      </c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inlineStr">
        <is>
          <t>FULL INVOICE FREIGHT</t>
        </is>
      </c>
      <c r="K52" s="25" t="n"/>
      <c r="L52" s="25" t="n"/>
      <c r="M52" s="25" t="n"/>
      <c r="N52" s="25" t="n"/>
      <c r="O52" s="25" t="n"/>
      <c r="P52" s="26">
        <f>P12+P44</f>
        <v/>
      </c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inlineStr">
        <is>
          <t>FULL INVOICE INSURANCE</t>
        </is>
      </c>
      <c r="K53" s="25" t="n"/>
      <c r="L53" s="25" t="n"/>
      <c r="M53" s="25" t="n"/>
      <c r="N53" s="25" t="n"/>
      <c r="O53" s="25" t="n"/>
      <c r="P53" s="26">
        <f>P13+P45</f>
        <v/>
      </c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inlineStr">
        <is>
          <t>FULL INVOICE OTHER COST</t>
        </is>
      </c>
      <c r="K54" s="25" t="n"/>
      <c r="L54" s="25" t="n"/>
      <c r="M54" s="25" t="n"/>
      <c r="N54" s="25" t="n"/>
      <c r="O54" s="25" t="n"/>
      <c r="P54" s="26">
        <f>P14+P46</f>
        <v/>
      </c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inlineStr">
        <is>
          <t>FULL INVOICE DEDUCTION</t>
        </is>
      </c>
      <c r="K55" s="25" t="n"/>
      <c r="L55" s="25" t="n"/>
      <c r="M55" s="25" t="n"/>
      <c r="N55" s="25" t="n"/>
      <c r="O55" s="25" t="n"/>
      <c r="P55" s="26">
        <f>P15+P47</f>
        <v/>
      </c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inlineStr">
        <is>
          <t>FULL ADJUSTMENTS</t>
        </is>
      </c>
      <c r="K56" s="25" t="n"/>
      <c r="L56" s="25" t="n"/>
      <c r="M56" s="25" t="n"/>
      <c r="N56" s="25" t="n"/>
      <c r="O56" s="25" t="n"/>
      <c r="P56" s="26">
        <f>P52+P53+P54-P55</f>
        <v/>
      </c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inlineStr">
        <is>
          <t>COMBINED NET TOTAL</t>
        </is>
      </c>
      <c r="K57" s="25" t="n"/>
      <c r="L57" s="25" t="n"/>
      <c r="M57" s="25" t="n"/>
      <c r="N57" s="25" t="n"/>
      <c r="O57" s="25" t="n"/>
      <c r="P57" s="26">
        <f>P51+P56</f>
        <v/>
      </c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inlineStr">
        <is>
          <t>FULL INVOICE TOTAL</t>
        </is>
      </c>
      <c r="K58" s="25" t="n"/>
      <c r="L58" s="25" t="n"/>
      <c r="M58" s="25" t="n"/>
      <c r="N58" s="25" t="n"/>
      <c r="O58" s="25" t="n"/>
      <c r="P58" s="26" t="n">
        <v>128.93</v>
      </c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inlineStr">
        <is>
          <t>COMBINED VARIANCE CHECK</t>
        </is>
      </c>
      <c r="K59" s="25" t="n"/>
      <c r="L59" s="25" t="n"/>
      <c r="M59" s="25" t="n"/>
      <c r="N59" s="25" t="n"/>
      <c r="O59" s="25" t="n"/>
      <c r="P59" s="26">
        <f>P58-P57</f>
        <v/>
      </c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2026-04-24T21:48:18Z</dcterms:created>
  <dcterms:modified xmlns:dcterms="http://purl.org/dc/terms/" xmlns:xsi="http://www.w3.org/2001/XMLSchema-instance" xsi:type="dcterms:W3CDTF">2026-04-24T21:48:18Z</dcterms:modified>
</cp:coreProperties>
</file>