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1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  <font>
      <b val="1"/>
      <color rgb="00375623"/>
      <sz val="10"/>
    </font>
    <font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0" borderId="1" pivotButton="0" quotePrefix="0" xfId="0"/>
    <xf numFmtId="0" fontId="8" fillId="0" borderId="1" pivotButton="0" quotePrefix="0" xfId="0"/>
    <xf numFmtId="164" fontId="8" fillId="0" borderId="1" pivotButton="0" quotePrefix="0" xfId="0"/>
    <xf numFmtId="0" fontId="9" fillId="5" borderId="1" pivotButton="0" quotePrefix="0" xfId="0"/>
    <xf numFmtId="4" fontId="9" fillId="5" borderId="1" pivotButton="0" quotePrefix="0" xfId="0"/>
    <xf numFmtId="0" fontId="10" fillId="0" borderId="1" pivotButton="0" quotePrefix="0" xfId="0"/>
    <xf numFmtId="4" fontId="10" fillId="0" borderId="1" pivotButton="0" quotePrefix="0" xfId="0"/>
    <xf numFmtId="0" fontId="9" fillId="0" borderId="1" pivotButton="0" quotePrefix="0" xfId="0"/>
    <xf numFmtId="4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1504495444</t>
        </is>
      </c>
      <c r="D2" s="2" t="inlineStr">
        <is>
          <t>2024-07-21</t>
        </is>
      </c>
      <c r="E2" s="2" t="inlineStr">
        <is>
          <t>Apparel</t>
        </is>
      </c>
      <c r="F2" s="2" t="inlineStr">
        <is>
          <t>62046290</t>
        </is>
      </c>
      <c r="G2" s="2" t="inlineStr"/>
      <c r="H2" s="2" t="inlineStr"/>
      <c r="I2" s="2" t="inlineStr">
        <is>
          <t>62046290</t>
        </is>
      </c>
      <c r="J2" s="2" t="inlineStr">
        <is>
          <t>Flared (+1 more) (2 items)</t>
        </is>
      </c>
      <c r="K2" s="2" t="n">
        <v>2</v>
      </c>
      <c r="L2" s="2" t="n"/>
      <c r="M2" s="2" t="inlineStr"/>
      <c r="N2" s="2" t="inlineStr">
        <is>
          <t>USD</t>
        </is>
      </c>
      <c r="O2" s="3" t="n">
        <v>20.99</v>
      </c>
      <c r="P2" s="3" t="n">
        <v>41.98</v>
      </c>
      <c r="Q2" s="3">
        <f>O2*K2</f>
        <v/>
      </c>
      <c r="R2" s="3">
        <f>P2-Q2</f>
        <v/>
      </c>
      <c r="S2" s="3" t="n">
        <v>88.95999999999999</v>
      </c>
      <c r="T2" s="3" t="n">
        <v>9</v>
      </c>
      <c r="U2" s="3" t="n">
        <v>0</v>
      </c>
      <c r="V2" s="3" t="n">
        <v>0</v>
      </c>
      <c r="W2" s="3" t="n">
        <v>0</v>
      </c>
      <c r="X2" s="2" t="n">
        <v>1</v>
      </c>
      <c r="Y2" s="2" t="n"/>
      <c r="Z2" s="2" t="inlineStr">
        <is>
          <t>H&amp;M</t>
        </is>
      </c>
      <c r="AA2" s="2" t="inlineStr">
        <is>
          <t>H&amp;M</t>
        </is>
      </c>
      <c r="AB2" s="2" t="inlineStr">
        <is>
          <t>H &amp; M Hennes &amp; Mauritz L.P., 1600 River Road, Burlington, NJ 08016, USA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62046290</t>
        </is>
      </c>
    </row>
    <row r="3">
      <c r="A3" s="4" t="n"/>
      <c r="B3" s="4" t="n"/>
      <c r="C3" s="4" t="n"/>
      <c r="D3" s="4" t="n"/>
      <c r="E3" s="4" t="n"/>
      <c r="F3" s="4" t="inlineStr">
        <is>
          <t>62046290</t>
        </is>
      </c>
      <c r="G3" s="4" t="n"/>
      <c r="H3" s="4" t="n"/>
      <c r="I3" s="4" t="inlineStr">
        <is>
          <t>1206305006007</t>
        </is>
      </c>
      <c r="J3" s="4" t="inlineStr">
        <is>
          <t>Flared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20.99</v>
      </c>
      <c r="P3" s="5" t="n">
        <v>20.99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inlineStr">
        <is>
          <t>62046290</t>
        </is>
      </c>
      <c r="G4" s="4" t="n"/>
      <c r="H4" s="4" t="n"/>
      <c r="I4" s="4" t="inlineStr">
        <is>
          <t>1206305005007</t>
        </is>
      </c>
      <c r="J4" s="4" t="inlineStr">
        <is>
          <t>Flared</t>
        </is>
      </c>
      <c r="K4" s="4" t="n">
        <v>1</v>
      </c>
      <c r="L4" s="4" t="n"/>
      <c r="M4" s="4" t="inlineStr"/>
      <c r="N4" s="4" t="inlineStr">
        <is>
          <t>USD</t>
        </is>
      </c>
      <c r="O4" s="5" t="n">
        <v>20.99</v>
      </c>
      <c r="P4" s="5" t="n">
        <v>20.99</v>
      </c>
      <c r="Q4" s="5">
        <f>O4*K4</f>
        <v/>
      </c>
      <c r="R4" s="5">
        <f>P4-Q4</f>
        <v/>
      </c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2" t="n"/>
      <c r="B5" s="2" t="inlineStr"/>
      <c r="C5" s="2" t="inlineStr">
        <is>
          <t>1504495444</t>
        </is>
      </c>
      <c r="D5" s="2" t="inlineStr">
        <is>
          <t>2024-07-21</t>
        </is>
      </c>
      <c r="E5" s="2" t="inlineStr">
        <is>
          <t>HATS AND OTHER HEADGEAR, PLAITED OR MADE BY ASSEMBLING STRIPS</t>
        </is>
      </c>
      <c r="F5" s="2" t="inlineStr">
        <is>
          <t>65040000</t>
        </is>
      </c>
      <c r="G5" s="2" t="inlineStr"/>
      <c r="H5" s="2" t="inlineStr"/>
      <c r="I5" s="2" t="inlineStr">
        <is>
          <t>65040000</t>
        </is>
      </c>
      <c r="J5" s="2" t="inlineStr">
        <is>
          <t>Straw Hat (+1 more) (2 items)</t>
        </is>
      </c>
      <c r="K5" s="2" t="n">
        <v>2</v>
      </c>
      <c r="L5" s="2" t="n"/>
      <c r="M5" s="2" t="inlineStr"/>
      <c r="N5" s="2" t="inlineStr">
        <is>
          <t>USD</t>
        </is>
      </c>
      <c r="O5" s="3" t="n">
        <v>18.99</v>
      </c>
      <c r="P5" s="3" t="n">
        <v>37.98</v>
      </c>
      <c r="Q5" s="3">
        <f>O5*K5</f>
        <v/>
      </c>
      <c r="R5" s="3">
        <f>P5-Q5</f>
        <v/>
      </c>
      <c r="S5" s="3" t="n"/>
      <c r="T5" s="3" t="n"/>
      <c r="U5" s="3" t="n"/>
      <c r="V5" s="3" t="n"/>
      <c r="W5" s="3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inlineStr">
        <is>
          <t>65040000</t>
        </is>
      </c>
    </row>
    <row r="6">
      <c r="A6" s="4" t="n"/>
      <c r="B6" s="4" t="n"/>
      <c r="C6" s="4" t="n"/>
      <c r="D6" s="4" t="n"/>
      <c r="E6" s="4" t="n"/>
      <c r="F6" s="4" t="inlineStr">
        <is>
          <t>65040000</t>
        </is>
      </c>
      <c r="G6" s="4" t="n"/>
      <c r="H6" s="4" t="n"/>
      <c r="I6" s="4" t="inlineStr">
        <is>
          <t>1215205001003</t>
        </is>
      </c>
      <c r="J6" s="4" t="inlineStr">
        <is>
          <t>Straw Hat</t>
        </is>
      </c>
      <c r="K6" s="4" t="n">
        <v>1</v>
      </c>
      <c r="L6" s="4" t="n"/>
      <c r="M6" s="4" t="inlineStr"/>
      <c r="N6" s="4" t="inlineStr">
        <is>
          <t>USD</t>
        </is>
      </c>
      <c r="O6" s="5" t="n">
        <v>19.99</v>
      </c>
      <c r="P6" s="5" t="n">
        <v>19.99</v>
      </c>
      <c r="Q6" s="5">
        <f>O6*K6</f>
        <v/>
      </c>
      <c r="R6" s="5">
        <f>P6-Q6</f>
        <v/>
      </c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>
      <c r="A7" s="4" t="n"/>
      <c r="B7" s="4" t="n"/>
      <c r="C7" s="4" t="n"/>
      <c r="D7" s="4" t="n"/>
      <c r="E7" s="4" t="n"/>
      <c r="F7" s="4" t="inlineStr">
        <is>
          <t>65040000</t>
        </is>
      </c>
      <c r="G7" s="4" t="n"/>
      <c r="H7" s="4" t="n"/>
      <c r="I7" s="4" t="inlineStr">
        <is>
          <t>1057731002004</t>
        </is>
      </c>
      <c r="J7" s="4" t="inlineStr">
        <is>
          <t>Straw Hat</t>
        </is>
      </c>
      <c r="K7" s="4" t="n">
        <v>1</v>
      </c>
      <c r="L7" s="4" t="n"/>
      <c r="M7" s="4" t="inlineStr"/>
      <c r="N7" s="4" t="inlineStr">
        <is>
          <t>USD</t>
        </is>
      </c>
      <c r="O7" s="5" t="n">
        <v>17.99</v>
      </c>
      <c r="P7" s="5" t="n">
        <v>17.99</v>
      </c>
      <c r="Q7" s="5">
        <f>O7*K7</f>
        <v/>
      </c>
      <c r="R7" s="5">
        <f>P7-Q7</f>
        <v/>
      </c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SUBTOTAL (GROUPED)</t>
        </is>
      </c>
      <c r="K8" s="6" t="n"/>
      <c r="L8" s="6" t="n"/>
      <c r="M8" s="6" t="n"/>
      <c r="N8" s="6" t="n"/>
      <c r="O8" s="6" t="n"/>
      <c r="P8" s="7">
        <f>P2+P5</f>
        <v/>
      </c>
      <c r="Q8" s="7">
        <f>Q2+Q5</f>
        <v/>
      </c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inlineStr">
        <is>
          <t>SUBTOTAL (DETAILS)</t>
        </is>
      </c>
      <c r="K9" s="6" t="n"/>
      <c r="L9" s="6" t="n"/>
      <c r="M9" s="6" t="n"/>
      <c r="N9" s="6" t="n"/>
      <c r="O9" s="6" t="n"/>
      <c r="P9" s="7">
        <f>SUM(P2:P7)-P8</f>
        <v/>
      </c>
      <c r="Q9" s="7">
        <f>SUM(Q2:Q7)-Q8</f>
        <v/>
      </c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inlineStr">
        <is>
          <t>GROUP VERIFICATION</t>
        </is>
      </c>
      <c r="K10" s="8" t="n"/>
      <c r="L10" s="8" t="n"/>
      <c r="M10" s="8" t="n"/>
      <c r="N10" s="8" t="n"/>
      <c r="O10" s="8" t="n"/>
      <c r="P10" s="9">
        <f>P8-P9</f>
        <v/>
      </c>
      <c r="Q10" s="9">
        <f>Q8-Q9</f>
        <v/>
      </c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</row>
    <row r="11"/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TOTAL INTERNAL FREIGHT</t>
        </is>
      </c>
      <c r="K12" s="6" t="n"/>
      <c r="L12" s="6" t="n"/>
      <c r="M12" s="6" t="n"/>
      <c r="N12" s="6" t="n"/>
      <c r="O12" s="6" t="n"/>
      <c r="P12" s="7" t="n">
        <v>9</v>
      </c>
      <c r="Q12" s="7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inlineStr">
        <is>
          <t>TOTAL INSURANCE</t>
        </is>
      </c>
      <c r="K13" s="6" t="n"/>
      <c r="L13" s="6" t="n"/>
      <c r="M13" s="6" t="n"/>
      <c r="N13" s="6" t="n"/>
      <c r="O13" s="6" t="n"/>
      <c r="P13" s="7" t="n">
        <v>0</v>
      </c>
      <c r="Q13" s="7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TOTAL OTHER COST</t>
        </is>
      </c>
      <c r="K14" s="6" t="n"/>
      <c r="L14" s="6" t="n"/>
      <c r="M14" s="6" t="n"/>
      <c r="N14" s="6" t="n"/>
      <c r="O14" s="6" t="n"/>
      <c r="P14" s="7" t="n">
        <v>0</v>
      </c>
      <c r="Q14" s="7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TOTAL DEDUCTION</t>
        </is>
      </c>
      <c r="K15" s="6" t="n"/>
      <c r="L15" s="6" t="n"/>
      <c r="M15" s="6" t="n"/>
      <c r="N15" s="6" t="n"/>
      <c r="O15" s="6" t="n"/>
      <c r="P15" s="7" t="n">
        <v>0</v>
      </c>
      <c r="Q15" s="7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inlineStr">
        <is>
          <t>ADJUSTMENTS</t>
        </is>
      </c>
      <c r="K16" s="6" t="n"/>
      <c r="L16" s="6" t="n"/>
      <c r="M16" s="6" t="n"/>
      <c r="N16" s="6" t="n"/>
      <c r="O16" s="6" t="n"/>
      <c r="P16" s="7">
        <f>(T2+U2+V2-W2)</f>
        <v/>
      </c>
      <c r="Q16" s="7">
        <f>(T2+U2+V2-W2)</f>
        <v/>
      </c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</row>
    <row r="17"/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inlineStr">
        <is>
          <t>NET TOTAL</t>
        </is>
      </c>
      <c r="K18" s="6" t="n"/>
      <c r="L18" s="6" t="n"/>
      <c r="M18" s="6" t="n"/>
      <c r="N18" s="6" t="n"/>
      <c r="O18" s="6" t="n"/>
      <c r="P18" s="7">
        <f>P8+P16</f>
        <v/>
      </c>
      <c r="Q18" s="7">
        <f>Q8+Q16</f>
        <v/>
      </c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inlineStr">
        <is>
          <t>INVOICE TOTAL</t>
        </is>
      </c>
      <c r="K19" s="6" t="n"/>
      <c r="L19" s="6" t="n"/>
      <c r="M19" s="6" t="n"/>
      <c r="N19" s="6" t="n"/>
      <c r="O19" s="6" t="n"/>
      <c r="P19" s="7">
        <f>S2</f>
        <v/>
      </c>
      <c r="Q19" s="7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</row>
    <row r="20"/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inlineStr">
        <is>
          <t>VARIANCE CHECK</t>
        </is>
      </c>
      <c r="K21" s="10" t="n"/>
      <c r="L21" s="10" t="n"/>
      <c r="M21" s="10" t="n"/>
      <c r="N21" s="10" t="n"/>
      <c r="O21" s="10" t="n"/>
      <c r="P21" s="11">
        <f>S2-P18</f>
        <v/>
      </c>
      <c r="Q21" s="11">
        <f>S2-Q18</f>
        <v/>
      </c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</row>
    <row r="22"/>
    <row r="23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inlineStr">
        <is>
          <t>DUTY ESTIMATION (Classification Cross-Check)</t>
        </is>
      </c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4" t="inlineStr">
        <is>
          <t>CIF (USD) = InvTotal + Freight + Insurance</t>
        </is>
      </c>
      <c r="K24" s="13" t="n"/>
      <c r="L24" s="13" t="n"/>
      <c r="M24" s="13" t="n"/>
      <c r="N24" s="13" t="n"/>
      <c r="O24" s="13" t="n"/>
      <c r="P24" s="15" t="n">
        <v>97.95999999999999</v>
      </c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4" t="inlineStr">
        <is>
          <t>CIF (XCD) = CIF × 2.7169</t>
        </is>
      </c>
      <c r="K25" s="13" t="n"/>
      <c r="L25" s="13" t="n"/>
      <c r="M25" s="13" t="n"/>
      <c r="N25" s="13" t="n"/>
      <c r="O25" s="13" t="n"/>
      <c r="P25" s="15" t="n">
        <v>266.15</v>
      </c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inlineStr">
        <is>
          <t>CET (weighted avg 20.0%)</t>
        </is>
      </c>
      <c r="K26" s="13" t="n"/>
      <c r="L26" s="13" t="n"/>
      <c r="M26" s="13" t="n"/>
      <c r="N26" s="13" t="n"/>
      <c r="O26" s="13" t="n"/>
      <c r="P26" s="15" t="n">
        <v>53.23</v>
      </c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inlineStr">
        <is>
          <t xml:space="preserve">  └ 62046290: 20% CET (53% of value)</t>
        </is>
      </c>
      <c r="K27" s="13" t="n"/>
      <c r="L27" s="13" t="n"/>
      <c r="M27" s="13" t="n"/>
      <c r="N27" s="13" t="n"/>
      <c r="O27" s="13" t="n"/>
      <c r="P27" s="15" t="n">
        <v>27.95</v>
      </c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inlineStr">
        <is>
          <t xml:space="preserve">  └ 65040000: 20% CET (47% of value)</t>
        </is>
      </c>
      <c r="K28" s="13" t="n"/>
      <c r="L28" s="13" t="n"/>
      <c r="M28" s="13" t="n"/>
      <c r="N28" s="13" t="n"/>
      <c r="O28" s="13" t="n"/>
      <c r="P28" s="15" t="n">
        <v>25.28</v>
      </c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4" t="inlineStr">
        <is>
          <t>CSC (6%)</t>
        </is>
      </c>
      <c r="K29" s="13" t="n"/>
      <c r="L29" s="13" t="n"/>
      <c r="M29" s="13" t="n"/>
      <c r="N29" s="13" t="n"/>
      <c r="O29" s="13" t="n"/>
      <c r="P29" s="15" t="n">
        <v>15.97</v>
      </c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4" t="inlineStr">
        <is>
          <t>VAT (15%) on CIF+CET+CSC</t>
        </is>
      </c>
      <c r="K30" s="13" t="n"/>
      <c r="L30" s="13" t="n"/>
      <c r="M30" s="13" t="n"/>
      <c r="N30" s="13" t="n"/>
      <c r="O30" s="13" t="n"/>
      <c r="P30" s="15" t="n">
        <v>50.3</v>
      </c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</row>
    <row r="31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2" t="inlineStr">
        <is>
          <t>ESTIMATED TOTAL DUTIES</t>
        </is>
      </c>
      <c r="K31" s="16" t="n"/>
      <c r="L31" s="16" t="n"/>
      <c r="M31" s="16" t="n"/>
      <c r="N31" s="16" t="n"/>
      <c r="O31" s="16" t="n"/>
      <c r="P31" s="17" t="n">
        <v>119.5</v>
      </c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6" t="n"/>
      <c r="AI31" s="16" t="n"/>
      <c r="AJ31" s="16" t="n"/>
      <c r="AK31" s="16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inlineStr">
        <is>
          <t>Effective Duty Rate</t>
        </is>
      </c>
      <c r="K32" s="13" t="n"/>
      <c r="L32" s="13" t="n"/>
      <c r="M32" s="13" t="n"/>
      <c r="N32" s="13" t="n"/>
      <c r="O32" s="13" t="n"/>
      <c r="P32" s="18" t="n">
        <v>0.4489949276723653</v>
      </c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inlineStr">
        <is>
          <t>CLIENT DECLARED DUTIES</t>
        </is>
      </c>
      <c r="K33" s="13" t="n"/>
      <c r="L33" s="13" t="n"/>
      <c r="M33" s="13" t="n"/>
      <c r="N33" s="13" t="n"/>
      <c r="O33" s="13" t="n"/>
      <c r="P33" s="15" t="n">
        <v>80.06</v>
      </c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  <c r="AH33" s="13" t="n"/>
      <c r="AI33" s="13" t="n"/>
      <c r="AJ33" s="13" t="n"/>
      <c r="AK33" s="13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9" t="inlineStr">
        <is>
          <t>DUTY VARIANCE (Client − Estimated)</t>
        </is>
      </c>
      <c r="K34" s="13" t="n"/>
      <c r="L34" s="13" t="n"/>
      <c r="M34" s="13" t="n"/>
      <c r="N34" s="13" t="n"/>
      <c r="O34" s="13" t="n"/>
      <c r="P34" s="20" t="n">
        <v>-39.44</v>
      </c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  <c r="AD34" s="13" t="n"/>
      <c r="AE34" s="13" t="n"/>
      <c r="AF34" s="13" t="n"/>
      <c r="AG34" s="13" t="n"/>
      <c r="AH34" s="13" t="n"/>
      <c r="AI34" s="13" t="n"/>
      <c r="AJ34" s="13" t="n"/>
      <c r="AK34" s="13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4" t="inlineStr">
        <is>
          <t>IMPLIED CET RATE (from client value)</t>
        </is>
      </c>
      <c r="K35" s="13" t="n"/>
      <c r="L35" s="13" t="n"/>
      <c r="M35" s="13" t="n"/>
      <c r="N35" s="13" t="n"/>
      <c r="O35" s="13" t="n"/>
      <c r="P35" s="18" t="n">
        <v>0.07113723055811945</v>
      </c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  <c r="AD35" s="13" t="n"/>
      <c r="AE35" s="13" t="n"/>
      <c r="AF35" s="13" t="n"/>
      <c r="AG35" s="13" t="n"/>
      <c r="AH35" s="13" t="n"/>
      <c r="AI35" s="13" t="n"/>
      <c r="AJ35" s="13" t="n"/>
      <c r="AK35" s="13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9" t="inlineStr">
        <is>
          <t>⚠ CET MISMATCH: System=20% vs Client≈7% — review classification</t>
        </is>
      </c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  <c r="AA36" s="13" t="n"/>
      <c r="AB36" s="13" t="n"/>
      <c r="AC36" s="13" t="n"/>
      <c r="AD36" s="13" t="n"/>
      <c r="AE36" s="13" t="n"/>
      <c r="AF36" s="13" t="n"/>
      <c r="AG36" s="13" t="n"/>
      <c r="AH36" s="13" t="n"/>
      <c r="AI36" s="13" t="n"/>
      <c r="AJ36" s="13" t="n"/>
      <c r="AK36" s="13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4" t="inlineStr">
        <is>
          <t>IMPLIED CIF (from declared duty @ 20% CET, XCD)</t>
        </is>
      </c>
      <c r="K37" s="13" t="n"/>
      <c r="L37" s="13" t="n"/>
      <c r="M37" s="13" t="n"/>
      <c r="N37" s="13" t="n"/>
      <c r="O37" s="13" t="n"/>
      <c r="P37" s="15" t="n">
        <v>178.31</v>
      </c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  <c r="AA37" s="13" t="n"/>
      <c r="AB37" s="13" t="n"/>
      <c r="AC37" s="13" t="n"/>
      <c r="AD37" s="13" t="n"/>
      <c r="AE37" s="13" t="n"/>
      <c r="AF37" s="13" t="n"/>
      <c r="AG37" s="13" t="n"/>
      <c r="AH37" s="13" t="n"/>
      <c r="AI37" s="13" t="n"/>
      <c r="AJ37" s="13" t="n"/>
      <c r="AK37" s="13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inlineStr">
        <is>
          <t>IMPLIED ITEMS VALUE (USD, net of freight/insurance)</t>
        </is>
      </c>
      <c r="K38" s="13" t="n"/>
      <c r="L38" s="13" t="n"/>
      <c r="M38" s="13" t="n"/>
      <c r="N38" s="13" t="n"/>
      <c r="O38" s="13" t="n"/>
      <c r="P38" s="15" t="n">
        <v>56.63</v>
      </c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  <c r="AA38" s="13" t="n"/>
      <c r="AB38" s="13" t="n"/>
      <c r="AC38" s="13" t="n"/>
      <c r="AD38" s="13" t="n"/>
      <c r="AE38" s="13" t="n"/>
      <c r="AF38" s="13" t="n"/>
      <c r="AG38" s="13" t="n"/>
      <c r="AH38" s="13" t="n"/>
      <c r="AI38" s="13" t="n"/>
      <c r="AJ38" s="13" t="n"/>
      <c r="AK38" s="13" t="n"/>
    </row>
    <row r="39"/>
    <row r="40">
      <c r="A40" s="21" t="n"/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inlineStr">
        <is>
          <t>Items on other declaration(s) (1 items)</t>
        </is>
      </c>
      <c r="K40" s="21" t="n"/>
      <c r="L40" s="21" t="n"/>
      <c r="M40" s="21" t="n"/>
      <c r="N40" s="21" t="n"/>
      <c r="O40" s="21" t="n"/>
      <c r="P40" s="22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</row>
    <row r="41">
      <c r="A41" s="21" t="n"/>
      <c r="B41" s="21" t="n"/>
      <c r="C41" s="21" t="n"/>
      <c r="D41" s="21" t="n"/>
      <c r="E41" s="21" t="inlineStr">
        <is>
          <t>HATS AND OTHER HEADGEAR, PLAITED OR MADE BY ASSEMBLING STRIPS</t>
        </is>
      </c>
      <c r="F41" s="21" t="inlineStr">
        <is>
          <t>65040000</t>
        </is>
      </c>
      <c r="G41" s="21" t="n"/>
      <c r="H41" s="21" t="n"/>
      <c r="I41" s="21" t="n"/>
      <c r="J41" s="21" t="inlineStr">
        <is>
          <t>Frayed-edge Straw Hat (1 items)</t>
        </is>
      </c>
      <c r="K41" s="21" t="n">
        <v>1</v>
      </c>
      <c r="L41" s="21" t="n"/>
      <c r="M41" s="21" t="n"/>
      <c r="N41" s="21" t="inlineStr">
        <is>
          <t>USD</t>
        </is>
      </c>
      <c r="O41" s="22" t="n">
        <v>12.99</v>
      </c>
      <c r="P41" s="22" t="n">
        <v>12.99</v>
      </c>
      <c r="Q41" s="22" t="n"/>
      <c r="R41" s="22" t="n"/>
      <c r="S41" s="22" t="n"/>
      <c r="T41" s="22" t="n"/>
      <c r="U41" s="22" t="n"/>
      <c r="V41" s="22" t="n"/>
      <c r="W41" s="22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</row>
    <row r="42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inlineStr">
        <is>
          <t>1229647001004</t>
        </is>
      </c>
      <c r="J42" s="23" t="inlineStr">
        <is>
          <t>Frayed-edge Straw Hat</t>
        </is>
      </c>
      <c r="K42" s="23" t="n">
        <v>1</v>
      </c>
      <c r="L42" s="23" t="n"/>
      <c r="M42" s="23" t="n"/>
      <c r="N42" s="23" t="inlineStr">
        <is>
          <t>USD</t>
        </is>
      </c>
      <c r="O42" s="24" t="n">
        <v>12.99</v>
      </c>
      <c r="P42" s="24" t="n">
        <v>12.99</v>
      </c>
      <c r="Q42" s="24" t="n"/>
      <c r="R42" s="24" t="n"/>
      <c r="S42" s="23" t="n"/>
      <c r="T42" s="23" t="n"/>
      <c r="U42" s="23" t="n"/>
      <c r="V42" s="23" t="n"/>
      <c r="W42" s="23" t="n"/>
      <c r="X42" s="23" t="n"/>
      <c r="Y42" s="23" t="n"/>
      <c r="Z42" s="23" t="n"/>
      <c r="AA42" s="23" t="n"/>
      <c r="AB42" s="23" t="n"/>
      <c r="AC42" s="23" t="n"/>
      <c r="AD42" s="23" t="n"/>
      <c r="AE42" s="23" t="n"/>
      <c r="AF42" s="23" t="n"/>
      <c r="AG42" s="23" t="n"/>
      <c r="AH42" s="23" t="n"/>
      <c r="AI42" s="23" t="n"/>
      <c r="AJ42" s="23" t="n"/>
      <c r="AK42" s="23" t="n"/>
    </row>
    <row r="43">
      <c r="A43" s="25" t="n"/>
      <c r="B43" s="25" t="n"/>
      <c r="C43" s="25" t="n"/>
      <c r="D43" s="25" t="n"/>
      <c r="E43" s="25" t="n"/>
      <c r="F43" s="25" t="n"/>
      <c r="G43" s="25" t="n"/>
      <c r="H43" s="25" t="n"/>
      <c r="I43" s="25" t="n"/>
      <c r="J43" s="25" t="inlineStr">
        <is>
          <t>REFERENCE SUBTOTAL</t>
        </is>
      </c>
      <c r="K43" s="25" t="n"/>
      <c r="L43" s="25" t="n"/>
      <c r="M43" s="25" t="n"/>
      <c r="N43" s="25" t="n"/>
      <c r="O43" s="25" t="n"/>
      <c r="P43" s="26" t="n">
        <v>12.99</v>
      </c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  <c r="AB43" s="25" t="n"/>
      <c r="AC43" s="25" t="n"/>
      <c r="AD43" s="25" t="n"/>
      <c r="AE43" s="25" t="n"/>
      <c r="AF43" s="25" t="n"/>
      <c r="AG43" s="25" t="n"/>
      <c r="AH43" s="25" t="n"/>
      <c r="AI43" s="25" t="n"/>
      <c r="AJ43" s="25" t="n"/>
      <c r="AK43" s="25" t="n"/>
    </row>
    <row r="44">
      <c r="A44" s="25" t="n"/>
      <c r="B44" s="25" t="n"/>
      <c r="C44" s="25" t="n"/>
      <c r="D44" s="25" t="n"/>
      <c r="E44" s="25" t="n"/>
      <c r="F44" s="25" t="n"/>
      <c r="G44" s="25" t="n"/>
      <c r="H44" s="25" t="n"/>
      <c r="I44" s="25" t="n"/>
      <c r="J44" s="25" t="inlineStr">
        <is>
          <t>REFERENCE FREIGHT</t>
        </is>
      </c>
      <c r="K44" s="25" t="n"/>
      <c r="L44" s="25" t="n"/>
      <c r="M44" s="25" t="n"/>
      <c r="N44" s="25" t="n"/>
      <c r="O44" s="25" t="n"/>
      <c r="P44" s="26" t="n">
        <v>5</v>
      </c>
      <c r="Q44" s="25" t="n"/>
      <c r="R44" s="25" t="n"/>
      <c r="S44" s="25" t="n"/>
      <c r="T44" s="25" t="n"/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5" t="n"/>
      <c r="AI44" s="25" t="n"/>
      <c r="AJ44" s="25" t="n"/>
      <c r="AK44" s="25" t="n"/>
    </row>
    <row r="45">
      <c r="A45" s="25" t="n"/>
      <c r="B45" s="25" t="n"/>
      <c r="C45" s="25" t="n"/>
      <c r="D45" s="25" t="n"/>
      <c r="E45" s="25" t="n"/>
      <c r="F45" s="25" t="n"/>
      <c r="G45" s="25" t="n"/>
      <c r="H45" s="25" t="n"/>
      <c r="I45" s="25" t="n"/>
      <c r="J45" s="25" t="inlineStr">
        <is>
          <t>REFERENCE INSURANCE</t>
        </is>
      </c>
      <c r="K45" s="25" t="n"/>
      <c r="L45" s="25" t="n"/>
      <c r="M45" s="25" t="n"/>
      <c r="N45" s="25" t="n"/>
      <c r="O45" s="25" t="n"/>
      <c r="P45" s="26" t="n">
        <v>0</v>
      </c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  <c r="AB45" s="25" t="n"/>
      <c r="AC45" s="25" t="n"/>
      <c r="AD45" s="25" t="n"/>
      <c r="AE45" s="25" t="n"/>
      <c r="AF45" s="25" t="n"/>
      <c r="AG45" s="25" t="n"/>
      <c r="AH45" s="25" t="n"/>
      <c r="AI45" s="25" t="n"/>
      <c r="AJ45" s="25" t="n"/>
      <c r="AK45" s="25" t="n"/>
    </row>
    <row r="46">
      <c r="A46" s="25" t="n"/>
      <c r="B46" s="25" t="n"/>
      <c r="C46" s="25" t="n"/>
      <c r="D46" s="25" t="n"/>
      <c r="E46" s="25" t="n"/>
      <c r="F46" s="25" t="n"/>
      <c r="G46" s="25" t="n"/>
      <c r="H46" s="25" t="n"/>
      <c r="I46" s="25" t="n"/>
      <c r="J46" s="25" t="inlineStr">
        <is>
          <t>REFERENCE OTHER COST</t>
        </is>
      </c>
      <c r="K46" s="25" t="n"/>
      <c r="L46" s="25" t="n"/>
      <c r="M46" s="25" t="n"/>
      <c r="N46" s="25" t="n"/>
      <c r="O46" s="25" t="n"/>
      <c r="P46" s="26" t="n">
        <v>0</v>
      </c>
      <c r="Q46" s="25" t="n"/>
      <c r="R46" s="25" t="n"/>
      <c r="S46" s="25" t="n"/>
      <c r="T46" s="25" t="n"/>
      <c r="U46" s="25" t="n"/>
      <c r="V46" s="25" t="n"/>
      <c r="W46" s="25" t="n"/>
      <c r="X46" s="25" t="n"/>
      <c r="Y46" s="25" t="n"/>
      <c r="Z46" s="25" t="n"/>
      <c r="AA46" s="25" t="n"/>
      <c r="AB46" s="25" t="n"/>
      <c r="AC46" s="25" t="n"/>
      <c r="AD46" s="25" t="n"/>
      <c r="AE46" s="25" t="n"/>
      <c r="AF46" s="25" t="n"/>
      <c r="AG46" s="25" t="n"/>
      <c r="AH46" s="25" t="n"/>
      <c r="AI46" s="25" t="n"/>
      <c r="AJ46" s="25" t="n"/>
      <c r="AK46" s="25" t="n"/>
    </row>
    <row r="47">
      <c r="A47" s="25" t="n"/>
      <c r="B47" s="25" t="n"/>
      <c r="C47" s="25" t="n"/>
      <c r="D47" s="25" t="n"/>
      <c r="E47" s="25" t="n"/>
      <c r="F47" s="25" t="n"/>
      <c r="G47" s="25" t="n"/>
      <c r="H47" s="25" t="n"/>
      <c r="I47" s="25" t="n"/>
      <c r="J47" s="25" t="inlineStr">
        <is>
          <t>REFERENCE DEDUCTION</t>
        </is>
      </c>
      <c r="K47" s="25" t="n"/>
      <c r="L47" s="25" t="n"/>
      <c r="M47" s="25" t="n"/>
      <c r="N47" s="25" t="n"/>
      <c r="O47" s="25" t="n"/>
      <c r="P47" s="26" t="n">
        <v>0</v>
      </c>
      <c r="Q47" s="25" t="n"/>
      <c r="R47" s="25" t="n"/>
      <c r="S47" s="25" t="n"/>
      <c r="T47" s="25" t="n"/>
      <c r="U47" s="25" t="n"/>
      <c r="V47" s="25" t="n"/>
      <c r="W47" s="25" t="n"/>
      <c r="X47" s="25" t="n"/>
      <c r="Y47" s="25" t="n"/>
      <c r="Z47" s="25" t="n"/>
      <c r="AA47" s="25" t="n"/>
      <c r="AB47" s="25" t="n"/>
      <c r="AC47" s="25" t="n"/>
      <c r="AD47" s="25" t="n"/>
      <c r="AE47" s="25" t="n"/>
      <c r="AF47" s="25" t="n"/>
      <c r="AG47" s="25" t="n"/>
      <c r="AH47" s="25" t="n"/>
      <c r="AI47" s="25" t="n"/>
      <c r="AJ47" s="25" t="n"/>
      <c r="AK47" s="25" t="n"/>
    </row>
    <row r="48">
      <c r="A48" s="25" t="n"/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inlineStr">
        <is>
          <t>REFERENCE ADJUSTMENTS</t>
        </is>
      </c>
      <c r="K48" s="25" t="n"/>
      <c r="L48" s="25" t="n"/>
      <c r="M48" s="25" t="n"/>
      <c r="N48" s="25" t="n"/>
      <c r="O48" s="25" t="n"/>
      <c r="P48" s="26">
        <f>P44+P45+P46-P47</f>
        <v/>
      </c>
      <c r="Q48" s="25" t="n"/>
      <c r="R48" s="25" t="n"/>
      <c r="S48" s="25" t="n"/>
      <c r="T48" s="25" t="n"/>
      <c r="U48" s="25" t="n"/>
      <c r="V48" s="25" t="n"/>
      <c r="W48" s="25" t="n"/>
      <c r="X48" s="25" t="n"/>
      <c r="Y48" s="25" t="n"/>
      <c r="Z48" s="25" t="n"/>
      <c r="AA48" s="25" t="n"/>
      <c r="AB48" s="25" t="n"/>
      <c r="AC48" s="25" t="n"/>
      <c r="AD48" s="25" t="n"/>
      <c r="AE48" s="25" t="n"/>
      <c r="AF48" s="25" t="n"/>
      <c r="AG48" s="25" t="n"/>
      <c r="AH48" s="25" t="n"/>
      <c r="AI48" s="25" t="n"/>
      <c r="AJ48" s="25" t="n"/>
      <c r="AK48" s="25" t="n"/>
    </row>
    <row r="49">
      <c r="A49" s="25" t="n"/>
      <c r="B49" s="25" t="n"/>
      <c r="C49" s="25" t="n"/>
      <c r="D49" s="25" t="n"/>
      <c r="E49" s="25" t="n"/>
      <c r="F49" s="25" t="n"/>
      <c r="G49" s="25" t="n"/>
      <c r="H49" s="25" t="n"/>
      <c r="I49" s="25" t="n"/>
      <c r="J49" s="25" t="inlineStr">
        <is>
          <t>REFERENCE NET TOTAL</t>
        </is>
      </c>
      <c r="K49" s="25" t="n"/>
      <c r="L49" s="25" t="n"/>
      <c r="M49" s="25" t="n"/>
      <c r="N49" s="25" t="n"/>
      <c r="O49" s="25" t="n"/>
      <c r="P49" s="26">
        <f>P43+P48</f>
        <v/>
      </c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  <c r="AB49" s="25" t="n"/>
      <c r="AC49" s="25" t="n"/>
      <c r="AD49" s="25" t="n"/>
      <c r="AE49" s="25" t="n"/>
      <c r="AF49" s="25" t="n"/>
      <c r="AG49" s="25" t="n"/>
      <c r="AH49" s="25" t="n"/>
      <c r="AI49" s="25" t="n"/>
      <c r="AJ49" s="25" t="n"/>
      <c r="AK49" s="25" t="n"/>
    </row>
    <row r="51">
      <c r="A51" s="25" t="n"/>
      <c r="B51" s="25" t="n"/>
      <c r="C51" s="25" t="n"/>
      <c r="D51" s="25" t="n"/>
      <c r="E51" s="25" t="n"/>
      <c r="F51" s="25" t="n"/>
      <c r="G51" s="25" t="n"/>
      <c r="H51" s="25" t="n"/>
      <c r="I51" s="25" t="n"/>
      <c r="J51" s="25" t="inlineStr">
        <is>
          <t>COMBINED ITEMS TOTAL</t>
        </is>
      </c>
      <c r="K51" s="25" t="n"/>
      <c r="L51" s="25" t="n"/>
      <c r="M51" s="25" t="n"/>
      <c r="N51" s="25" t="n"/>
      <c r="O51" s="25" t="n"/>
      <c r="P51" s="26">
        <f>P8+P43</f>
        <v/>
      </c>
      <c r="Q51" s="25" t="n"/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  <c r="AA51" s="25" t="n"/>
      <c r="AB51" s="25" t="n"/>
      <c r="AC51" s="25" t="n"/>
      <c r="AD51" s="25" t="n"/>
      <c r="AE51" s="25" t="n"/>
      <c r="AF51" s="25" t="n"/>
      <c r="AG51" s="25" t="n"/>
      <c r="AH51" s="25" t="n"/>
      <c r="AI51" s="25" t="n"/>
      <c r="AJ51" s="25" t="n"/>
      <c r="AK51" s="25" t="n"/>
    </row>
    <row r="52">
      <c r="A52" s="25" t="n"/>
      <c r="B52" s="25" t="n"/>
      <c r="C52" s="25" t="n"/>
      <c r="D52" s="25" t="n"/>
      <c r="E52" s="25" t="n"/>
      <c r="F52" s="25" t="n"/>
      <c r="G52" s="25" t="n"/>
      <c r="H52" s="25" t="n"/>
      <c r="I52" s="25" t="n"/>
      <c r="J52" s="25" t="inlineStr">
        <is>
          <t>FULL INVOICE FREIGHT</t>
        </is>
      </c>
      <c r="K52" s="25" t="n"/>
      <c r="L52" s="25" t="n"/>
      <c r="M52" s="25" t="n"/>
      <c r="N52" s="25" t="n"/>
      <c r="O52" s="25" t="n"/>
      <c r="P52" s="26">
        <f>P12+P44</f>
        <v/>
      </c>
      <c r="Q52" s="25" t="n"/>
      <c r="R52" s="25" t="n"/>
      <c r="S52" s="25" t="n"/>
      <c r="T52" s="25" t="n"/>
      <c r="U52" s="25" t="n"/>
      <c r="V52" s="25" t="n"/>
      <c r="W52" s="25" t="n"/>
      <c r="X52" s="25" t="n"/>
      <c r="Y52" s="25" t="n"/>
      <c r="Z52" s="25" t="n"/>
      <c r="AA52" s="25" t="n"/>
      <c r="AB52" s="25" t="n"/>
      <c r="AC52" s="25" t="n"/>
      <c r="AD52" s="25" t="n"/>
      <c r="AE52" s="25" t="n"/>
      <c r="AF52" s="25" t="n"/>
      <c r="AG52" s="25" t="n"/>
      <c r="AH52" s="25" t="n"/>
      <c r="AI52" s="25" t="n"/>
      <c r="AJ52" s="25" t="n"/>
      <c r="AK52" s="25" t="n"/>
    </row>
    <row r="53">
      <c r="A53" s="25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inlineStr">
        <is>
          <t>FULL INVOICE INSURANCE</t>
        </is>
      </c>
      <c r="K53" s="25" t="n"/>
      <c r="L53" s="25" t="n"/>
      <c r="M53" s="25" t="n"/>
      <c r="N53" s="25" t="n"/>
      <c r="O53" s="25" t="n"/>
      <c r="P53" s="26">
        <f>P13+P45</f>
        <v/>
      </c>
      <c r="Q53" s="25" t="n"/>
      <c r="R53" s="25" t="n"/>
      <c r="S53" s="25" t="n"/>
      <c r="T53" s="25" t="n"/>
      <c r="U53" s="25" t="n"/>
      <c r="V53" s="25" t="n"/>
      <c r="W53" s="25" t="n"/>
      <c r="X53" s="25" t="n"/>
      <c r="Y53" s="25" t="n"/>
      <c r="Z53" s="25" t="n"/>
      <c r="AA53" s="25" t="n"/>
      <c r="AB53" s="25" t="n"/>
      <c r="AC53" s="25" t="n"/>
      <c r="AD53" s="25" t="n"/>
      <c r="AE53" s="25" t="n"/>
      <c r="AF53" s="25" t="n"/>
      <c r="AG53" s="25" t="n"/>
      <c r="AH53" s="25" t="n"/>
      <c r="AI53" s="25" t="n"/>
      <c r="AJ53" s="25" t="n"/>
      <c r="AK53" s="25" t="n"/>
    </row>
    <row r="54">
      <c r="A54" s="25" t="n"/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 t="inlineStr">
        <is>
          <t>FULL INVOICE OTHER COST</t>
        </is>
      </c>
      <c r="K54" s="25" t="n"/>
      <c r="L54" s="25" t="n"/>
      <c r="M54" s="25" t="n"/>
      <c r="N54" s="25" t="n"/>
      <c r="O54" s="25" t="n"/>
      <c r="P54" s="26">
        <f>P14+P46</f>
        <v/>
      </c>
      <c r="Q54" s="25" t="n"/>
      <c r="R54" s="25" t="n"/>
      <c r="S54" s="25" t="n"/>
      <c r="T54" s="25" t="n"/>
      <c r="U54" s="25" t="n"/>
      <c r="V54" s="25" t="n"/>
      <c r="W54" s="25" t="n"/>
      <c r="X54" s="25" t="n"/>
      <c r="Y54" s="25" t="n"/>
      <c r="Z54" s="25" t="n"/>
      <c r="AA54" s="25" t="n"/>
      <c r="AB54" s="25" t="n"/>
      <c r="AC54" s="25" t="n"/>
      <c r="AD54" s="25" t="n"/>
      <c r="AE54" s="25" t="n"/>
      <c r="AF54" s="25" t="n"/>
      <c r="AG54" s="25" t="n"/>
      <c r="AH54" s="25" t="n"/>
      <c r="AI54" s="25" t="n"/>
      <c r="AJ54" s="25" t="n"/>
      <c r="AK54" s="25" t="n"/>
    </row>
    <row r="55">
      <c r="A55" s="25" t="n"/>
      <c r="B55" s="25" t="n"/>
      <c r="C55" s="25" t="n"/>
      <c r="D55" s="25" t="n"/>
      <c r="E55" s="25" t="n"/>
      <c r="F55" s="25" t="n"/>
      <c r="G55" s="25" t="n"/>
      <c r="H55" s="25" t="n"/>
      <c r="I55" s="25" t="n"/>
      <c r="J55" s="25" t="inlineStr">
        <is>
          <t>FULL INVOICE DEDUCTION</t>
        </is>
      </c>
      <c r="K55" s="25" t="n"/>
      <c r="L55" s="25" t="n"/>
      <c r="M55" s="25" t="n"/>
      <c r="N55" s="25" t="n"/>
      <c r="O55" s="25" t="n"/>
      <c r="P55" s="26">
        <f>P15+P47</f>
        <v/>
      </c>
      <c r="Q55" s="25" t="n"/>
      <c r="R55" s="25" t="n"/>
      <c r="S55" s="25" t="n"/>
      <c r="T55" s="25" t="n"/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5" t="n"/>
      <c r="AI55" s="25" t="n"/>
      <c r="AJ55" s="25" t="n"/>
      <c r="AK55" s="25" t="n"/>
    </row>
    <row r="56">
      <c r="A56" s="25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inlineStr">
        <is>
          <t>FULL ADJUSTMENTS</t>
        </is>
      </c>
      <c r="K56" s="25" t="n"/>
      <c r="L56" s="25" t="n"/>
      <c r="M56" s="25" t="n"/>
      <c r="N56" s="25" t="n"/>
      <c r="O56" s="25" t="n"/>
      <c r="P56" s="26">
        <f>P52+P53+P54-P55</f>
        <v/>
      </c>
      <c r="Q56" s="25" t="n"/>
      <c r="R56" s="25" t="n"/>
      <c r="S56" s="25" t="n"/>
      <c r="T56" s="25" t="n"/>
      <c r="U56" s="25" t="n"/>
      <c r="V56" s="25" t="n"/>
      <c r="W56" s="25" t="n"/>
      <c r="X56" s="25" t="n"/>
      <c r="Y56" s="25" t="n"/>
      <c r="Z56" s="25" t="n"/>
      <c r="AA56" s="25" t="n"/>
      <c r="AB56" s="25" t="n"/>
      <c r="AC56" s="25" t="n"/>
      <c r="AD56" s="25" t="n"/>
      <c r="AE56" s="25" t="n"/>
      <c r="AF56" s="25" t="n"/>
      <c r="AG56" s="25" t="n"/>
      <c r="AH56" s="25" t="n"/>
      <c r="AI56" s="25" t="n"/>
      <c r="AJ56" s="25" t="n"/>
      <c r="AK56" s="25" t="n"/>
    </row>
    <row r="57">
      <c r="A57" s="25" t="n"/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inlineStr">
        <is>
          <t>COMBINED NET TOTAL</t>
        </is>
      </c>
      <c r="K57" s="25" t="n"/>
      <c r="L57" s="25" t="n"/>
      <c r="M57" s="25" t="n"/>
      <c r="N57" s="25" t="n"/>
      <c r="O57" s="25" t="n"/>
      <c r="P57" s="26">
        <f>P51+P56</f>
        <v/>
      </c>
      <c r="Q57" s="25" t="n"/>
      <c r="R57" s="25" t="n"/>
      <c r="S57" s="25" t="n"/>
      <c r="T57" s="25" t="n"/>
      <c r="U57" s="25" t="n"/>
      <c r="V57" s="25" t="n"/>
      <c r="W57" s="25" t="n"/>
      <c r="X57" s="25" t="n"/>
      <c r="Y57" s="25" t="n"/>
      <c r="Z57" s="25" t="n"/>
      <c r="AA57" s="25" t="n"/>
      <c r="AB57" s="25" t="n"/>
      <c r="AC57" s="25" t="n"/>
      <c r="AD57" s="25" t="n"/>
      <c r="AE57" s="25" t="n"/>
      <c r="AF57" s="25" t="n"/>
      <c r="AG57" s="25" t="n"/>
      <c r="AH57" s="25" t="n"/>
      <c r="AI57" s="25" t="n"/>
      <c r="AJ57" s="25" t="n"/>
      <c r="AK57" s="25" t="n"/>
    </row>
    <row r="58">
      <c r="A58" s="25" t="n"/>
      <c r="B58" s="25" t="n"/>
      <c r="C58" s="25" t="n"/>
      <c r="D58" s="25" t="n"/>
      <c r="E58" s="25" t="n"/>
      <c r="F58" s="25" t="n"/>
      <c r="G58" s="25" t="n"/>
      <c r="H58" s="25" t="n"/>
      <c r="I58" s="25" t="n"/>
      <c r="J58" s="25" t="inlineStr">
        <is>
          <t>FULL INVOICE TOTAL</t>
        </is>
      </c>
      <c r="K58" s="25" t="n"/>
      <c r="L58" s="25" t="n"/>
      <c r="M58" s="25" t="n"/>
      <c r="N58" s="25" t="n"/>
      <c r="O58" s="25" t="n"/>
      <c r="P58" s="26" t="n">
        <v>128.93</v>
      </c>
      <c r="Q58" s="25" t="n"/>
      <c r="R58" s="25" t="n"/>
      <c r="S58" s="25" t="n"/>
      <c r="T58" s="25" t="n"/>
      <c r="U58" s="25" t="n"/>
      <c r="V58" s="25" t="n"/>
      <c r="W58" s="25" t="n"/>
      <c r="X58" s="25" t="n"/>
      <c r="Y58" s="25" t="n"/>
      <c r="Z58" s="25" t="n"/>
      <c r="AA58" s="25" t="n"/>
      <c r="AB58" s="25" t="n"/>
      <c r="AC58" s="25" t="n"/>
      <c r="AD58" s="25" t="n"/>
      <c r="AE58" s="25" t="n"/>
      <c r="AF58" s="25" t="n"/>
      <c r="AG58" s="25" t="n"/>
      <c r="AH58" s="25" t="n"/>
      <c r="AI58" s="25" t="n"/>
      <c r="AJ58" s="25" t="n"/>
      <c r="AK58" s="25" t="n"/>
    </row>
    <row r="59">
      <c r="A59" s="25" t="n"/>
      <c r="B59" s="25" t="n"/>
      <c r="C59" s="25" t="n"/>
      <c r="D59" s="25" t="n"/>
      <c r="E59" s="25" t="n"/>
      <c r="F59" s="25" t="n"/>
      <c r="G59" s="25" t="n"/>
      <c r="H59" s="25" t="n"/>
      <c r="I59" s="25" t="n"/>
      <c r="J59" s="25" t="inlineStr">
        <is>
          <t>COMBINED VARIANCE CHECK</t>
        </is>
      </c>
      <c r="K59" s="25" t="n"/>
      <c r="L59" s="25" t="n"/>
      <c r="M59" s="25" t="n"/>
      <c r="N59" s="25" t="n"/>
      <c r="O59" s="25" t="n"/>
      <c r="P59" s="26">
        <f>P58-P57</f>
        <v/>
      </c>
      <c r="Q59" s="25" t="n"/>
      <c r="R59" s="25" t="n"/>
      <c r="S59" s="25" t="n"/>
      <c r="T59" s="25" t="n"/>
      <c r="U59" s="25" t="n"/>
      <c r="V59" s="25" t="n"/>
      <c r="W59" s="25" t="n"/>
      <c r="X59" s="25" t="n"/>
      <c r="Y59" s="25" t="n"/>
      <c r="Z59" s="25" t="n"/>
      <c r="AA59" s="25" t="n"/>
      <c r="AB59" s="25" t="n"/>
      <c r="AC59" s="25" t="n"/>
      <c r="AD59" s="25" t="n"/>
      <c r="AE59" s="25" t="n"/>
      <c r="AF59" s="25" t="n"/>
      <c r="AG59" s="25" t="n"/>
      <c r="AH59" s="25" t="n"/>
      <c r="AI59" s="25" t="n"/>
      <c r="AJ59" s="25" t="n"/>
      <c r="AK59" s="2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2026-04-24T06:53:26Z</dcterms:created>
  <dcterms:modified xsi:type="dcterms:W3CDTF">2026-04-24T06:53:26Z</dcterms:modified>
</cp:coreProperties>
</file>