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INVUS20240802004736802</t>
        </is>
      </c>
      <c r="D2" s="2" t="inlineStr">
        <is>
          <t>2024-08-02</t>
        </is>
      </c>
      <c r="E2" s="2" t="inlineStr">
        <is>
          <t>SIGNALING INSTRUMENTS</t>
        </is>
      </c>
      <c r="F2" s="2" t="inlineStr">
        <is>
          <t>92089000</t>
        </is>
      </c>
      <c r="G2" s="2" t="inlineStr"/>
      <c r="H2" s="2" t="inlineStr"/>
      <c r="I2" s="2" t="inlineStr">
        <is>
          <t>92089000</t>
        </is>
      </c>
      <c r="J2" s="2" t="inlineStr">
        <is>
          <t>SHEIN Clasi Summer Fashion Striped Spliced Button Front Shirt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9.359999999999999</v>
      </c>
      <c r="P2" s="3" t="n">
        <v>18.72</v>
      </c>
      <c r="Q2" s="3">
        <f>O2*K2</f>
        <v/>
      </c>
      <c r="R2" s="3">
        <f>P2-Q2</f>
        <v/>
      </c>
      <c r="S2" s="3" t="n">
        <v>18.72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HAWB9687189_combined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92089000</t>
        </is>
      </c>
    </row>
    <row r="3">
      <c r="A3" s="4" t="n"/>
      <c r="B3" s="4" t="n"/>
      <c r="C3" s="4" t="n"/>
      <c r="D3" s="4" t="n"/>
      <c r="E3" s="4" t="n"/>
      <c r="F3" s="4" t="inlineStr">
        <is>
          <t>92089000</t>
        </is>
      </c>
      <c r="G3" s="4" t="n"/>
      <c r="H3" s="4" t="n"/>
      <c r="I3" s="4" t="inlineStr">
        <is>
          <t>SHEIN-1</t>
        </is>
      </c>
      <c r="J3" s="4" t="inlineStr">
        <is>
          <t>SHEIN Clasi Summer Fashion Striped Spliced Button Front Shirt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9.09</v>
      </c>
      <c r="P3" s="5" t="n">
        <v>9.09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92089000</t>
        </is>
      </c>
      <c r="G4" s="4" t="n"/>
      <c r="H4" s="4" t="n"/>
      <c r="I4" s="4" t="inlineStr">
        <is>
          <t>SHEIN-2</t>
        </is>
      </c>
      <c r="J4" s="4" t="inlineStr">
        <is>
          <t>SHEIN Clasi Geo Print Button Front Shirt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9.630000000000001</v>
      </c>
      <c r="P4" s="5" t="n">
        <v>9.630000000000001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25.72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69.88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92089000</t>
        </is>
      </c>
      <c r="K23" s="13" t="n"/>
      <c r="L23" s="13" t="n"/>
      <c r="M23" s="13" t="n"/>
      <c r="N23" s="13" t="n"/>
      <c r="O23" s="13" t="n"/>
      <c r="P23" s="15" t="n">
        <v>13.98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4.19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13.21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31.38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0.4490555237550086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75.84999999999999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20" t="n">
        <v>44.47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CET RATE (from client value)</t>
        </is>
      </c>
      <c r="K30" s="13" t="n"/>
      <c r="L30" s="13" t="n"/>
      <c r="M30" s="13" t="n"/>
      <c r="N30" s="13" t="n"/>
      <c r="O30" s="13" t="n"/>
      <c r="P30" s="18" t="n">
        <v>0.7534192777680994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CET MISMATCH: System=20% vs Client≈75% — review classification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168.93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55.18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⚠ ITEM ALLOCATION CHECK: actual $18.72 USD vs implied $55.18 USD — UNDER-ALLOCATED (items from another waybill may belong here)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2026-04-25T23:06:11Z</dcterms:created>
  <dcterms:modified xmlns:dcterms="http://purl.org/dc/terms/" xmlns:xsi="http://www.w3.org/2001/XMLSchema-instance" xsi:type="dcterms:W3CDTF">2026-04-25T23:06:11Z</dcterms:modified>
</cp:coreProperties>
</file>