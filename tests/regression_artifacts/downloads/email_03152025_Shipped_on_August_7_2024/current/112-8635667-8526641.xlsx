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112-8635667-8526641</t>
        </is>
      </c>
      <c r="D2" s="2" t="inlineStr"/>
      <c r="E2" s="2" t="inlineStr">
        <is>
          <t>PRODUCTS</t>
        </is>
      </c>
      <c r="F2" s="2" t="inlineStr">
        <is>
          <t>61034290</t>
        </is>
      </c>
      <c r="G2" s="2" t="inlineStr"/>
      <c r="H2" s="2" t="inlineStr"/>
      <c r="I2" s="2" t="inlineStr">
        <is>
          <t>00000000</t>
        </is>
      </c>
      <c r="J2" s="2" t="inlineStr">
        <is>
          <t>Onesies Brand Baby Boy ' s 8 - Pack Short Sleeve Mix &amp; tdatch Bodysuits , Gre... (+6 more) (7 items)</t>
        </is>
      </c>
      <c r="K2" s="2" t="n">
        <v>7</v>
      </c>
      <c r="L2" s="2" t="n"/>
      <c r="M2" s="2" t="inlineStr"/>
      <c r="N2" s="2" t="inlineStr">
        <is>
          <t>USD</t>
        </is>
      </c>
      <c r="O2" s="3" t="n">
        <v>26.69857142857143</v>
      </c>
      <c r="P2" s="3" t="n">
        <v>186.89</v>
      </c>
      <c r="Q2" s="3">
        <f>O2*K2</f>
        <v/>
      </c>
      <c r="R2" s="3">
        <f>P2-Q2</f>
        <v/>
      </c>
      <c r="S2" s="3" t="n">
        <v>504.42</v>
      </c>
      <c r="T2" s="3" t="n">
        <v>0</v>
      </c>
      <c r="U2" s="3" t="n">
        <v>0</v>
      </c>
      <c r="V2" s="3" t="n">
        <v>1.68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61034290</t>
        </is>
      </c>
    </row>
    <row r="3">
      <c r="A3" s="4" t="n"/>
      <c r="B3" s="4" t="n"/>
      <c r="C3" s="4" t="n"/>
      <c r="D3" s="4" t="n"/>
      <c r="E3" s="4" t="n"/>
      <c r="F3" s="4" t="inlineStr">
        <is>
          <t>61034290</t>
        </is>
      </c>
      <c r="G3" s="4" t="n"/>
      <c r="H3" s="4" t="n"/>
      <c r="I3" s="4" t="inlineStr">
        <is>
          <t>AMZ-1</t>
        </is>
      </c>
      <c r="J3" s="4" t="inlineStr">
        <is>
          <t>Onesies Brand Baby Boy ' s 8 - Pack Short Sleeve Mix &amp; tdatch Bodysuits , Gre...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18.99</v>
      </c>
      <c r="P3" s="5" t="n">
        <v>18.99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inlineStr">
        <is>
          <t>61034290</t>
        </is>
      </c>
    </row>
    <row r="4">
      <c r="A4" s="4" t="n"/>
      <c r="B4" s="4" t="n"/>
      <c r="C4" s="4" t="n"/>
      <c r="D4" s="4" t="n"/>
      <c r="E4" s="4" t="n"/>
      <c r="F4" s="4" t="inlineStr">
        <is>
          <t>84137000</t>
        </is>
      </c>
      <c r="G4" s="4" t="n"/>
      <c r="H4" s="4" t="n"/>
      <c r="I4" s="4" t="inlineStr">
        <is>
          <t>AMZ-4</t>
        </is>
      </c>
      <c r="J4" s="4" t="inlineStr">
        <is>
          <t>Wearable Breast Pump Hands Free Breast Pump 12 Levels 3 Modes Electric Breast...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62.99</v>
      </c>
      <c r="P4" s="5" t="n">
        <v>62.99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inlineStr">
        <is>
          <t>84137000</t>
        </is>
      </c>
    </row>
    <row r="5">
      <c r="A5" s="4" t="n"/>
      <c r="B5" s="4" t="n"/>
      <c r="C5" s="4" t="n"/>
      <c r="D5" s="4" t="n"/>
      <c r="E5" s="4" t="n"/>
      <c r="F5" s="4" t="inlineStr">
        <is>
          <t>65050000</t>
        </is>
      </c>
      <c r="G5" s="4" t="n"/>
      <c r="H5" s="4" t="n"/>
      <c r="I5" s="4" t="inlineStr">
        <is>
          <t>AMZ-5</t>
        </is>
      </c>
      <c r="J5" s="4" t="inlineStr">
        <is>
          <t>Onesies Brand Unisex Baby 12 - Piece Cap and Mitten Set , Sayings Board , 0 -...</t>
        </is>
      </c>
      <c r="K5" s="4" t="n">
        <v>1</v>
      </c>
      <c r="L5" s="4" t="n"/>
      <c r="M5" s="4" t="inlineStr"/>
      <c r="N5" s="4" t="inlineStr">
        <is>
          <t>USD</t>
        </is>
      </c>
      <c r="O5" s="5" t="n">
        <v>17.99</v>
      </c>
      <c r="P5" s="5" t="n">
        <v>17.99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inlineStr">
        <is>
          <t>65050000</t>
        </is>
      </c>
    </row>
    <row r="6">
      <c r="A6" s="4" t="n"/>
      <c r="B6" s="4" t="n"/>
      <c r="C6" s="4" t="n"/>
      <c r="D6" s="4" t="n"/>
      <c r="E6" s="4" t="n"/>
      <c r="F6" s="4" t="inlineStr">
        <is>
          <t>63026000</t>
        </is>
      </c>
      <c r="G6" s="4" t="n"/>
      <c r="H6" s="4" t="n"/>
      <c r="I6" s="4" t="inlineStr">
        <is>
          <t>AMZ-7</t>
        </is>
      </c>
      <c r="J6" s="4" t="inlineStr">
        <is>
          <t>Cute Castle Ultra - Soft Baby Washcloths , 16 Pack - 9 " by 9 " , Gentle on S...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9.99</v>
      </c>
      <c r="P6" s="5" t="n">
        <v>9.99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inlineStr">
        <is>
          <t>63026000</t>
        </is>
      </c>
    </row>
    <row r="7">
      <c r="A7" s="4" t="n"/>
      <c r="B7" s="4" t="n"/>
      <c r="C7" s="4" t="n"/>
      <c r="D7" s="4" t="n"/>
      <c r="E7" s="4" t="n"/>
      <c r="F7" s="4" t="inlineStr">
        <is>
          <t>65050000</t>
        </is>
      </c>
      <c r="G7" s="4" t="n"/>
      <c r="H7" s="4" t="n"/>
      <c r="I7" s="4" t="inlineStr">
        <is>
          <t>AMZ-8</t>
        </is>
      </c>
      <c r="J7" s="4" t="inlineStr">
        <is>
          <t>Onesies Brand Unisex Baby 12 - Piece Cap and Mitten Set , stripe , 0 - 6 Months</t>
        </is>
      </c>
      <c r="K7" s="4" t="n">
        <v>1</v>
      </c>
      <c r="L7" s="4" t="n"/>
      <c r="M7" s="4" t="inlineStr"/>
      <c r="N7" s="4" t="inlineStr">
        <is>
          <t>USD</t>
        </is>
      </c>
      <c r="O7" s="5" t="n">
        <v>16.99</v>
      </c>
      <c r="P7" s="5" t="n">
        <v>16.99</v>
      </c>
      <c r="Q7" s="5">
        <f>O7*K7</f>
        <v/>
      </c>
      <c r="R7" s="5">
        <f>P7-Q7</f>
        <v/>
      </c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inlineStr">
        <is>
          <t>65050000</t>
        </is>
      </c>
    </row>
    <row r="8">
      <c r="A8" s="4" t="n"/>
      <c r="B8" s="4" t="n"/>
      <c r="C8" s="4" t="n"/>
      <c r="D8" s="4" t="n"/>
      <c r="E8" s="4" t="n"/>
      <c r="F8" s="4" t="inlineStr">
        <is>
          <t>84137000</t>
        </is>
      </c>
      <c r="G8" s="4" t="n"/>
      <c r="H8" s="4" t="n"/>
      <c r="I8" s="4" t="inlineStr">
        <is>
          <t>AMZ-9</t>
        </is>
      </c>
      <c r="J8" s="4" t="inlineStr">
        <is>
          <t>MUOCOBU Electric Breast Pump , Breast Pump Electric Breastfeeding Pump 3 Mode...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39.98</v>
      </c>
      <c r="P8" s="5" t="n">
        <v>39.98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inlineStr">
        <is>
          <t>84137000</t>
        </is>
      </c>
    </row>
    <row r="9">
      <c r="A9" s="4" t="n"/>
      <c r="B9" s="4" t="n"/>
      <c r="C9" s="4" t="n"/>
      <c r="D9" s="4" t="n"/>
      <c r="E9" s="4" t="n"/>
      <c r="F9" s="4" t="inlineStr">
        <is>
          <t>61034290</t>
        </is>
      </c>
      <c r="G9" s="4" t="n"/>
      <c r="H9" s="4" t="n"/>
      <c r="I9" s="4" t="inlineStr">
        <is>
          <t>AMZ-10</t>
        </is>
      </c>
      <c r="J9" s="4" t="inlineStr">
        <is>
          <t>Simple Joys Baby Boy ' s 6 piece Little Character sets Sleepwear , Green / Gr...</t>
        </is>
      </c>
      <c r="K9" s="4" t="n">
        <v>1</v>
      </c>
      <c r="L9" s="4" t="n"/>
      <c r="M9" s="4" t="inlineStr"/>
      <c r="N9" s="4" t="inlineStr">
        <is>
          <t>USD</t>
        </is>
      </c>
      <c r="O9" s="5" t="n">
        <v>19.96</v>
      </c>
      <c r="P9" s="5" t="n">
        <v>19.96</v>
      </c>
      <c r="Q9" s="5">
        <f>O9*K9</f>
        <v/>
      </c>
      <c r="R9" s="5">
        <f>P9-Q9</f>
        <v/>
      </c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inlineStr">
        <is>
          <t>61034290</t>
        </is>
      </c>
    </row>
    <row r="10">
      <c r="A10" s="2" t="n"/>
      <c r="B10" s="2" t="inlineStr"/>
      <c r="C10" s="2" t="inlineStr">
        <is>
          <t>112-8635667-8526641</t>
        </is>
      </c>
      <c r="D10" s="2" t="inlineStr"/>
      <c r="E10" s="2" t="inlineStr">
        <is>
          <t>CLOTHING</t>
        </is>
      </c>
      <c r="F10" s="2" t="inlineStr">
        <is>
          <t>61034290</t>
        </is>
      </c>
      <c r="G10" s="2" t="inlineStr"/>
      <c r="H10" s="2" t="inlineStr"/>
      <c r="I10" s="2" t="inlineStr">
        <is>
          <t>61034290</t>
        </is>
      </c>
      <c r="J10" s="2" t="inlineStr">
        <is>
          <t>Gerber Baby Boy ' s 8 - Pack Short Sleeve Onesies Bodysuits , Tiger Green , 3... (+1 more) (2 items)</t>
        </is>
      </c>
      <c r="K10" s="2" t="n">
        <v>2</v>
      </c>
      <c r="L10" s="2" t="n"/>
      <c r="M10" s="2" t="inlineStr"/>
      <c r="N10" s="2" t="inlineStr">
        <is>
          <t>USD</t>
        </is>
      </c>
      <c r="O10" s="3" t="n">
        <v>18.985</v>
      </c>
      <c r="P10" s="3" t="n">
        <v>37.97</v>
      </c>
      <c r="Q10" s="3">
        <f>O10*K10</f>
        <v/>
      </c>
      <c r="R10" s="3">
        <f>P10-Q10</f>
        <v/>
      </c>
      <c r="S10" s="3" t="n"/>
      <c r="T10" s="3" t="n"/>
      <c r="U10" s="3" t="n"/>
      <c r="V10" s="3" t="n"/>
      <c r="W10" s="3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inlineStr">
        <is>
          <t>61034290</t>
        </is>
      </c>
    </row>
    <row r="11">
      <c r="A11" s="4" t="n"/>
      <c r="B11" s="4" t="n"/>
      <c r="C11" s="4" t="n"/>
      <c r="D11" s="4" t="n"/>
      <c r="E11" s="4" t="n"/>
      <c r="F11" s="4" t="inlineStr">
        <is>
          <t>61034290</t>
        </is>
      </c>
      <c r="G11" s="4" t="n"/>
      <c r="H11" s="4" t="n"/>
      <c r="I11" s="4" t="inlineStr">
        <is>
          <t>AMZ-2</t>
        </is>
      </c>
      <c r="J11" s="4" t="inlineStr">
        <is>
          <t>Gerber Baby Boy ' s 8 - Pack Short Sleeve Onesies Bodysuits , Tiger Green , 3...</t>
        </is>
      </c>
      <c r="K11" s="4" t="n">
        <v>1</v>
      </c>
      <c r="L11" s="4" t="n"/>
      <c r="M11" s="4" t="inlineStr"/>
      <c r="N11" s="4" t="inlineStr">
        <is>
          <t>USD</t>
        </is>
      </c>
      <c r="O11" s="5" t="n">
        <v>21.99</v>
      </c>
      <c r="P11" s="5" t="n">
        <v>21.99</v>
      </c>
      <c r="Q11" s="5">
        <f>O11*K11</f>
        <v/>
      </c>
      <c r="R11" s="5">
        <f>P11-Q11</f>
        <v/>
      </c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</row>
    <row r="12">
      <c r="A12" s="4" t="n"/>
      <c r="B12" s="4" t="n"/>
      <c r="C12" s="4" t="n"/>
      <c r="D12" s="4" t="n"/>
      <c r="E12" s="4" t="n"/>
      <c r="F12" s="4" t="inlineStr">
        <is>
          <t>61034290</t>
        </is>
      </c>
      <c r="G12" s="4" t="n"/>
      <c r="H12" s="4" t="n"/>
      <c r="I12" s="4" t="inlineStr">
        <is>
          <t>AMZ-3</t>
        </is>
      </c>
      <c r="J12" s="4" t="inlineStr">
        <is>
          <t>Simple Joys by Carter ' s Baby Boys ’ 6 - Pack Short - Sleeve Bodysuit , Mult...</t>
        </is>
      </c>
      <c r="K12" s="4" t="n">
        <v>1</v>
      </c>
      <c r="L12" s="4" t="n"/>
      <c r="M12" s="4" t="inlineStr"/>
      <c r="N12" s="4" t="inlineStr">
        <is>
          <t>USD</t>
        </is>
      </c>
      <c r="O12" s="5" t="n">
        <v>15.98</v>
      </c>
      <c r="P12" s="5" t="n">
        <v>15.98</v>
      </c>
      <c r="Q12" s="5">
        <f>O12*K12</f>
        <v/>
      </c>
      <c r="R12" s="5">
        <f>P12-Q12</f>
        <v/>
      </c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</row>
    <row r="13">
      <c r="A13" s="2" t="n"/>
      <c r="B13" s="2" t="inlineStr"/>
      <c r="C13" s="2" t="inlineStr">
        <is>
          <t>112-8635667-8526641</t>
        </is>
      </c>
      <c r="D13" s="2" t="inlineStr"/>
      <c r="E13" s="2" t="inlineStr">
        <is>
          <t>SOAP &amp; BODY WASH</t>
        </is>
      </c>
      <c r="F13" s="2" t="inlineStr">
        <is>
          <t>34011910</t>
        </is>
      </c>
      <c r="G13" s="2" t="inlineStr"/>
      <c r="H13" s="2" t="inlineStr"/>
      <c r="I13" s="2" t="inlineStr">
        <is>
          <t>34011910</t>
        </is>
      </c>
      <c r="J13" s="2" t="inlineStr">
        <is>
          <t>Huggies Natural Care Sensitive Baby Wipes , Unscented , Hypoallergenic , 99 %... (1 items)</t>
        </is>
      </c>
      <c r="K13" s="2" t="n">
        <v>1</v>
      </c>
      <c r="L13" s="2" t="n"/>
      <c r="M13" s="2" t="inlineStr"/>
      <c r="N13" s="2" t="inlineStr">
        <is>
          <t>USD</t>
        </is>
      </c>
      <c r="O13" s="3" t="n">
        <v>13.7</v>
      </c>
      <c r="P13" s="3" t="n">
        <v>13.7</v>
      </c>
      <c r="Q13" s="3">
        <f>O13*K13</f>
        <v/>
      </c>
      <c r="R13" s="3">
        <f>P13-Q13</f>
        <v/>
      </c>
      <c r="S13" s="3" t="n"/>
      <c r="T13" s="3" t="n"/>
      <c r="U13" s="3" t="n"/>
      <c r="V13" s="3" t="n"/>
      <c r="W13" s="3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inlineStr">
        <is>
          <t>34011910</t>
        </is>
      </c>
    </row>
    <row r="14">
      <c r="A14" s="4" t="n"/>
      <c r="B14" s="4" t="n"/>
      <c r="C14" s="4" t="n"/>
      <c r="D14" s="4" t="n"/>
      <c r="E14" s="4" t="n"/>
      <c r="F14" s="4" t="inlineStr">
        <is>
          <t>34011910</t>
        </is>
      </c>
      <c r="G14" s="4" t="n"/>
      <c r="H14" s="4" t="n"/>
      <c r="I14" s="4" t="inlineStr">
        <is>
          <t>AMZ-6</t>
        </is>
      </c>
      <c r="J14" s="4" t="inlineStr">
        <is>
          <t>Huggies Natural Care Sensitive Baby Wipes , Unscented , Hypoallergenic , 99 %...</t>
        </is>
      </c>
      <c r="K14" s="4" t="n">
        <v>1</v>
      </c>
      <c r="L14" s="4" t="n"/>
      <c r="M14" s="4" t="inlineStr"/>
      <c r="N14" s="4" t="inlineStr">
        <is>
          <t>USD</t>
        </is>
      </c>
      <c r="O14" s="5" t="n">
        <v>13.7</v>
      </c>
      <c r="P14" s="5" t="n">
        <v>13.7</v>
      </c>
      <c r="Q14" s="5">
        <f>O14*K14</f>
        <v/>
      </c>
      <c r="R14" s="5">
        <f>P14-Q14</f>
        <v/>
      </c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</row>
    <row r="15">
      <c r="A15" s="2" t="n"/>
      <c r="B15" s="2" t="inlineStr"/>
      <c r="C15" s="2" t="inlineStr">
        <is>
          <t>112-8635667-8526641</t>
        </is>
      </c>
      <c r="D15" s="2" t="inlineStr"/>
      <c r="E15" s="2" t="inlineStr">
        <is>
          <t>BAGS &amp; LUGGAGE</t>
        </is>
      </c>
      <c r="F15" s="2" t="inlineStr">
        <is>
          <t>42029200</t>
        </is>
      </c>
      <c r="G15" s="2" t="inlineStr"/>
      <c r="H15" s="2" t="inlineStr"/>
      <c r="I15" s="2" t="inlineStr">
        <is>
          <t>42029200</t>
        </is>
      </c>
      <c r="J15" s="2" t="inlineStr">
        <is>
          <t>strom Large Diaper Bag , 29 L - 45 L Expandable Diaper Bag Backpack for 2 Kid... (1 items)</t>
        </is>
      </c>
      <c r="K15" s="2" t="n">
        <v>1</v>
      </c>
      <c r="L15" s="2" t="n"/>
      <c r="M15" s="2" t="inlineStr"/>
      <c r="N15" s="2" t="inlineStr">
        <is>
          <t>USD</t>
        </is>
      </c>
      <c r="O15" s="3" t="n">
        <v>48.04</v>
      </c>
      <c r="P15" s="3" t="n">
        <v>48.04</v>
      </c>
      <c r="Q15" s="3">
        <f>O15*K15</f>
        <v/>
      </c>
      <c r="R15" s="3">
        <f>P15-Q15</f>
        <v/>
      </c>
      <c r="S15" s="3" t="n"/>
      <c r="T15" s="3" t="n"/>
      <c r="U15" s="3" t="n"/>
      <c r="V15" s="3" t="n"/>
      <c r="W15" s="3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inlineStr">
        <is>
          <t>42029200</t>
        </is>
      </c>
    </row>
    <row r="16">
      <c r="A16" s="4" t="n"/>
      <c r="B16" s="4" t="n"/>
      <c r="C16" s="4" t="n"/>
      <c r="D16" s="4" t="n"/>
      <c r="E16" s="4" t="n"/>
      <c r="F16" s="4" t="inlineStr">
        <is>
          <t>42029200</t>
        </is>
      </c>
      <c r="G16" s="4" t="n"/>
      <c r="H16" s="4" t="n"/>
      <c r="I16" s="4" t="inlineStr">
        <is>
          <t>AMZ-11</t>
        </is>
      </c>
      <c r="J16" s="4" t="inlineStr">
        <is>
          <t>strom Large Diaper Bag , 29 L - 45 L Expandable Diaper Bag Backpack for 2 Kid...</t>
        </is>
      </c>
      <c r="K16" s="4" t="n">
        <v>1</v>
      </c>
      <c r="L16" s="4" t="n"/>
      <c r="M16" s="4" t="inlineStr"/>
      <c r="N16" s="4" t="inlineStr">
        <is>
          <t>USD</t>
        </is>
      </c>
      <c r="O16" s="5" t="n">
        <v>48.04</v>
      </c>
      <c r="P16" s="5" t="n">
        <v>48.04</v>
      </c>
      <c r="Q16" s="5">
        <f>O16*K16</f>
        <v/>
      </c>
      <c r="R16" s="5">
        <f>P16-Q16</f>
        <v/>
      </c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</row>
    <row r="17">
      <c r="A17" s="2" t="n"/>
      <c r="B17" s="2" t="inlineStr"/>
      <c r="C17" s="2" t="inlineStr">
        <is>
          <t>112-8635667-8526641</t>
        </is>
      </c>
      <c r="D17" s="2" t="inlineStr"/>
      <c r="E17" s="2" t="inlineStr">
        <is>
          <t>BABY CARE</t>
        </is>
      </c>
      <c r="F17" s="2" t="inlineStr">
        <is>
          <t>96190029</t>
        </is>
      </c>
      <c r="G17" s="2" t="inlineStr"/>
      <c r="H17" s="2" t="inlineStr"/>
      <c r="I17" s="2" t="inlineStr">
        <is>
          <t>96190029</t>
        </is>
      </c>
      <c r="J17" s="2" t="inlineStr">
        <is>
          <t>Huggies Size 1 Diapers , Snug &amp; Dry Newborn Diapers , Size 1 ( 8 - 14 Ibs, 25... (1 items)</t>
        </is>
      </c>
      <c r="K17" s="2" t="n">
        <v>1</v>
      </c>
      <c r="L17" s="2" t="n"/>
      <c r="M17" s="2" t="inlineStr"/>
      <c r="N17" s="2" t="inlineStr">
        <is>
          <t>USD</t>
        </is>
      </c>
      <c r="O17" s="3" t="n">
        <v>216.14</v>
      </c>
      <c r="P17" s="3" t="n">
        <v>216.14</v>
      </c>
      <c r="Q17" s="3">
        <f>O17*K17</f>
        <v/>
      </c>
      <c r="R17" s="3">
        <f>P17-Q17</f>
        <v/>
      </c>
      <c r="S17" s="3" t="n"/>
      <c r="T17" s="3" t="n"/>
      <c r="U17" s="3" t="n"/>
      <c r="V17" s="3" t="n"/>
      <c r="W17" s="3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inlineStr">
        <is>
          <t>96190029</t>
        </is>
      </c>
    </row>
    <row r="18">
      <c r="A18" s="4" t="n"/>
      <c r="B18" s="4" t="n"/>
      <c r="C18" s="4" t="n"/>
      <c r="D18" s="4" t="n"/>
      <c r="E18" s="4" t="n"/>
      <c r="F18" s="4" t="inlineStr">
        <is>
          <t>96190029</t>
        </is>
      </c>
      <c r="G18" s="4" t="n"/>
      <c r="H18" s="4" t="n"/>
      <c r="I18" s="4" t="inlineStr">
        <is>
          <t>AMZ-12</t>
        </is>
      </c>
      <c r="J18" s="4" t="inlineStr">
        <is>
          <t>Huggies Size 1 Diapers , Snug &amp; Dry Newborn Diapers , Size 1 ( 8 - 14 Ibs, 25...</t>
        </is>
      </c>
      <c r="K18" s="4" t="n">
        <v>1</v>
      </c>
      <c r="L18" s="4" t="n"/>
      <c r="M18" s="4" t="inlineStr"/>
      <c r="N18" s="4" t="inlineStr">
        <is>
          <t>USD</t>
        </is>
      </c>
      <c r="O18" s="5" t="n">
        <v>216.14</v>
      </c>
      <c r="P18" s="5" t="n">
        <v>216.14</v>
      </c>
      <c r="Q18" s="5">
        <f>O18*K18</f>
        <v/>
      </c>
      <c r="R18" s="5">
        <f>P18-Q18</f>
        <v/>
      </c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SUBTOTAL (GROUPED)</t>
        </is>
      </c>
      <c r="K19" s="6" t="n"/>
      <c r="L19" s="6" t="n"/>
      <c r="M19" s="6" t="n"/>
      <c r="N19" s="6" t="n"/>
      <c r="O19" s="6" t="n"/>
      <c r="P19" s="7">
        <f>P2+P10+P13+P15+P17</f>
        <v/>
      </c>
      <c r="Q19" s="7">
        <f>Q2+Q10+Q13+Q15+Q17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inlineStr">
        <is>
          <t>SUBTOTAL (DETAILS)</t>
        </is>
      </c>
      <c r="K20" s="6" t="n"/>
      <c r="L20" s="6" t="n"/>
      <c r="M20" s="6" t="n"/>
      <c r="N20" s="6" t="n"/>
      <c r="O20" s="6" t="n"/>
      <c r="P20" s="7">
        <f>SUM(P2:P18)-P19</f>
        <v/>
      </c>
      <c r="Q20" s="7">
        <f>SUM(Q2:Q18)-Q19</f>
        <v/>
      </c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inlineStr">
        <is>
          <t>GROUP VERIFICATION</t>
        </is>
      </c>
      <c r="K21" s="8" t="n"/>
      <c r="L21" s="8" t="n"/>
      <c r="M21" s="8" t="n"/>
      <c r="N21" s="8" t="n"/>
      <c r="O21" s="8" t="n"/>
      <c r="P21" s="9">
        <f>P19-P20</f>
        <v/>
      </c>
      <c r="Q21" s="9">
        <f>Q19-Q20</f>
        <v/>
      </c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inlineStr">
        <is>
          <t>TOTAL INTERNAL FREIGHT</t>
        </is>
      </c>
      <c r="K23" s="6" t="n"/>
      <c r="L23" s="6" t="n"/>
      <c r="M23" s="6" t="n"/>
      <c r="N23" s="6" t="n"/>
      <c r="O23" s="6" t="n"/>
      <c r="P23" s="7" t="n">
        <v>0</v>
      </c>
      <c r="Q23" s="7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TOTAL INSURANCE</t>
        </is>
      </c>
      <c r="K24" s="6" t="n"/>
      <c r="L24" s="6" t="n"/>
      <c r="M24" s="6" t="n"/>
      <c r="N24" s="6" t="n"/>
      <c r="O24" s="6" t="n"/>
      <c r="P24" s="7" t="n">
        <v>0</v>
      </c>
      <c r="Q24" s="7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TOTAL OTHER COST</t>
        </is>
      </c>
      <c r="K25" s="6" t="n"/>
      <c r="L25" s="6" t="n"/>
      <c r="M25" s="6" t="n"/>
      <c r="N25" s="6" t="n"/>
      <c r="O25" s="6" t="n"/>
      <c r="P25" s="7" t="n">
        <v>1.68</v>
      </c>
      <c r="Q25" s="7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inlineStr">
        <is>
          <t>TOTAL DEDUCTION</t>
        </is>
      </c>
      <c r="K26" s="6" t="n"/>
      <c r="L26" s="6" t="n"/>
      <c r="M26" s="6" t="n"/>
      <c r="N26" s="6" t="n"/>
      <c r="O26" s="6" t="n"/>
      <c r="P26" s="7" t="n">
        <v>0</v>
      </c>
      <c r="Q26" s="7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inlineStr">
        <is>
          <t>ADJUSTMENTS</t>
        </is>
      </c>
      <c r="K27" s="6" t="n"/>
      <c r="L27" s="6" t="n"/>
      <c r="M27" s="6" t="n"/>
      <c r="N27" s="6" t="n"/>
      <c r="O27" s="6" t="n"/>
      <c r="P27" s="7">
        <f>(T2+U2+V2-W2)</f>
        <v/>
      </c>
      <c r="Q27" s="7">
        <f>(T2+U2+V2-W2)</f>
        <v/>
      </c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inlineStr">
        <is>
          <t>NET TOTAL</t>
        </is>
      </c>
      <c r="K29" s="6" t="n"/>
      <c r="L29" s="6" t="n"/>
      <c r="M29" s="6" t="n"/>
      <c r="N29" s="6" t="n"/>
      <c r="O29" s="6" t="n"/>
      <c r="P29" s="7">
        <f>P19+P27</f>
        <v/>
      </c>
      <c r="Q29" s="7">
        <f>Q19+Q27</f>
        <v/>
      </c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inlineStr">
        <is>
          <t>INVOICE TOTAL</t>
        </is>
      </c>
      <c r="K30" s="6" t="n"/>
      <c r="L30" s="6" t="n"/>
      <c r="M30" s="6" t="n"/>
      <c r="N30" s="6" t="n"/>
      <c r="O30" s="6" t="n"/>
      <c r="P30" s="7">
        <f>S2</f>
        <v/>
      </c>
      <c r="Q30" s="7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inlineStr">
        <is>
          <t>VARIANCE CHECK</t>
        </is>
      </c>
      <c r="K32" s="10" t="n"/>
      <c r="L32" s="10" t="n"/>
      <c r="M32" s="10" t="n"/>
      <c r="N32" s="10" t="n"/>
      <c r="O32" s="10" t="n"/>
      <c r="P32" s="11">
        <f>S2-P29</f>
        <v/>
      </c>
      <c r="Q32" s="11">
        <f>S2-Q29</f>
        <v/>
      </c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3" t="inlineStr">
        <is>
          <t>INVOICE NOTES: Structural item count mismatch: 20 price lines found between section markers but 12 items extracted</t>
        </is>
      </c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inlineStr">
        <is>
          <t>DUTY ESTIMATION (Classification Cross-Check)</t>
        </is>
      </c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6" t="inlineStr">
        <is>
          <t>CIF (USD) = InvTotal + Freight + Insurance</t>
        </is>
      </c>
      <c r="K37" s="15" t="n"/>
      <c r="L37" s="15" t="n"/>
      <c r="M37" s="15" t="n"/>
      <c r="N37" s="15" t="n"/>
      <c r="O37" s="15" t="n"/>
      <c r="P37" s="17" t="n">
        <v>504.42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6" t="inlineStr">
        <is>
          <t>CIF (XCD) = CIF × 2.7169</t>
        </is>
      </c>
      <c r="K38" s="15" t="n"/>
      <c r="L38" s="15" t="n"/>
      <c r="M38" s="15" t="n"/>
      <c r="N38" s="15" t="n"/>
      <c r="O38" s="15" t="n"/>
      <c r="P38" s="17" t="n">
        <v>1370.46</v>
      </c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6" t="inlineStr">
        <is>
          <t>CET (weighted avg 20.0%)</t>
        </is>
      </c>
      <c r="K39" s="15" t="n"/>
      <c r="L39" s="15" t="n"/>
      <c r="M39" s="15" t="n"/>
      <c r="N39" s="15" t="n"/>
      <c r="O39" s="15" t="n"/>
      <c r="P39" s="17" t="n">
        <v>274.09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6" t="inlineStr">
        <is>
          <t xml:space="preserve">  └ 00000000: 20% CET (37% of value)</t>
        </is>
      </c>
      <c r="K40" s="15" t="n"/>
      <c r="L40" s="15" t="n"/>
      <c r="M40" s="15" t="n"/>
      <c r="N40" s="15" t="n"/>
      <c r="O40" s="15" t="n"/>
      <c r="P40" s="17" t="n">
        <v>101.89</v>
      </c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6" t="inlineStr">
        <is>
          <t xml:space="preserve">  └ 34011910: 20% CET (3% of value)</t>
        </is>
      </c>
      <c r="K41" s="15" t="n"/>
      <c r="L41" s="15" t="n"/>
      <c r="M41" s="15" t="n"/>
      <c r="N41" s="15" t="n"/>
      <c r="O41" s="15" t="n"/>
      <c r="P41" s="17" t="n">
        <v>7.47</v>
      </c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6" t="inlineStr">
        <is>
          <t xml:space="preserve">  └ 42029200: 20% CET (10% of value)</t>
        </is>
      </c>
      <c r="K42" s="15" t="n"/>
      <c r="L42" s="15" t="n"/>
      <c r="M42" s="15" t="n"/>
      <c r="N42" s="15" t="n"/>
      <c r="O42" s="15" t="n"/>
      <c r="P42" s="17" t="n">
        <v>26.19</v>
      </c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6" t="inlineStr">
        <is>
          <t xml:space="preserve">  └ 61034290: 20% CET (8% of value)</t>
        </is>
      </c>
      <c r="K43" s="15" t="n"/>
      <c r="L43" s="15" t="n"/>
      <c r="M43" s="15" t="n"/>
      <c r="N43" s="15" t="n"/>
      <c r="O43" s="15" t="n"/>
      <c r="P43" s="17" t="n">
        <v>20.7</v>
      </c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6" t="inlineStr">
        <is>
          <t xml:space="preserve">  └ 96190029: 20% CET (43% of value)</t>
        </is>
      </c>
      <c r="K44" s="15" t="n"/>
      <c r="L44" s="15" t="n"/>
      <c r="M44" s="15" t="n"/>
      <c r="N44" s="15" t="n"/>
      <c r="O44" s="15" t="n"/>
      <c r="P44" s="17" t="n">
        <v>117.84</v>
      </c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6" t="inlineStr">
        <is>
          <t>CSC (6%)</t>
        </is>
      </c>
      <c r="K45" s="15" t="n"/>
      <c r="L45" s="15" t="n"/>
      <c r="M45" s="15" t="n"/>
      <c r="N45" s="15" t="n"/>
      <c r="O45" s="15" t="n"/>
      <c r="P45" s="17" t="n">
        <v>82.23</v>
      </c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6" t="inlineStr">
        <is>
          <t>VAT (15%) on CIF+CET+CSC</t>
        </is>
      </c>
      <c r="K46" s="15" t="n"/>
      <c r="L46" s="15" t="n"/>
      <c r="M46" s="15" t="n"/>
      <c r="N46" s="15" t="n"/>
      <c r="O46" s="15" t="n"/>
      <c r="P46" s="17" t="n">
        <v>259.02</v>
      </c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</row>
    <row r="47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4" t="inlineStr">
        <is>
          <t>ESTIMATED TOTAL DUTIES</t>
        </is>
      </c>
      <c r="K47" s="18" t="n"/>
      <c r="L47" s="18" t="n"/>
      <c r="M47" s="18" t="n"/>
      <c r="N47" s="18" t="n"/>
      <c r="O47" s="18" t="n"/>
      <c r="P47" s="19" t="n">
        <v>615.34</v>
      </c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6" t="inlineStr">
        <is>
          <t>Effective Duty Rate</t>
        </is>
      </c>
      <c r="K48" s="15" t="n"/>
      <c r="L48" s="15" t="n"/>
      <c r="M48" s="15" t="n"/>
      <c r="N48" s="15" t="n"/>
      <c r="O48" s="15" t="n"/>
      <c r="P48" s="20" t="n">
        <v>0.4490025246997358</v>
      </c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2026-04-25T23:16:16Z</dcterms:created>
  <dcterms:modified xmlns:dcterms="http://purl.org/dc/terms/" xmlns:xsi="http://www.w3.org/2001/XMLSchema-instance" xsi:type="dcterms:W3CDTF">2026-04-25T23:17:27Z</dcterms:modified>
</cp:coreProperties>
</file>