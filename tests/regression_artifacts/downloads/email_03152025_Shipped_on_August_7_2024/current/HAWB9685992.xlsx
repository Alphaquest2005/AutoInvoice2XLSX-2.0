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0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0" fontId="0" fillId="4" borderId="1" pivotButton="0" quotePrefix="0" xfId="0"/>
    <xf numFmtId="164" fontId="5" fillId="4" borderId="1" pivotButton="0" quotePrefix="0" xfId="0"/>
    <xf numFmtId="165" fontId="5" fillId="0" borderId="1" pivotButton="0" quotePrefix="0" xfId="0"/>
    <xf numFmtId="0" fontId="7" fillId="5" borderId="1" pivotButton="0" quotePrefix="0" xfId="0"/>
    <xf numFmtId="4" fontId="7" fillId="5" borderId="1" pivotButton="0" quotePrefix="0" xfId="0"/>
    <xf numFmtId="0" fontId="8" fillId="0" borderId="1" pivotButton="0" quotePrefix="0" xfId="0"/>
    <xf numFmtId="4" fontId="8" fillId="0" borderId="1" pivotButton="0" quotePrefix="0" xfId="0"/>
    <xf numFmtId="0" fontId="7" fillId="0" borderId="1" pivotButton="0" quotePrefix="0" xfId="0"/>
    <xf numFmtId="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112-8635667-8526641</t>
        </is>
      </c>
      <c r="D2" s="2" t="inlineStr"/>
      <c r="E2" s="2" t="inlineStr">
        <is>
          <t>BAGS &amp; LUGGAGE</t>
        </is>
      </c>
      <c r="F2" s="2" t="inlineStr">
        <is>
          <t>42029200</t>
        </is>
      </c>
      <c r="G2" s="2" t="inlineStr"/>
      <c r="H2" s="2" t="inlineStr"/>
      <c r="I2" s="2" t="inlineStr">
        <is>
          <t>AMZ-11</t>
        </is>
      </c>
      <c r="J2" s="2" t="inlineStr">
        <is>
          <t>strom Large Diaper Bag , 29 L - 45 L Expandable Diaper Bag Backpack for 2 Kid...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48.04</v>
      </c>
      <c r="P2" s="3" t="n">
        <v>48.04</v>
      </c>
      <c r="Q2" s="3">
        <f>O2*K2</f>
        <v/>
      </c>
      <c r="R2" s="3">
        <f>P2-Q2</f>
        <v/>
      </c>
      <c r="S2" s="3" t="n">
        <v>55.12</v>
      </c>
      <c r="T2" s="3" t="n">
        <v>7</v>
      </c>
      <c r="U2" s="3" t="n">
        <v>0</v>
      </c>
      <c r="V2" s="3" t="n">
        <v>0.08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42029200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7" t="inlineStr">
        <is>
          <t>INVOICE NOTES: Structural item count mismatch: 20 price lines found between section markers but 12 items extracted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/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DUTY ESTIMATION (Classification Cross-Check)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 t="inlineStr">
        <is>
          <t>CIF (USD) = InvTotal + Freight + Insurance</t>
        </is>
      </c>
      <c r="K11" s="9" t="n"/>
      <c r="L11" s="9" t="n"/>
      <c r="M11" s="9" t="n"/>
      <c r="N11" s="9" t="n"/>
      <c r="O11" s="9" t="n"/>
      <c r="P11" s="11" t="n">
        <v>62.12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 t="inlineStr">
        <is>
          <t>CIF (XCD) = CIF × 2.7169</t>
        </is>
      </c>
      <c r="K12" s="9" t="n"/>
      <c r="L12" s="9" t="n"/>
      <c r="M12" s="9" t="n"/>
      <c r="N12" s="9" t="n"/>
      <c r="O12" s="9" t="n"/>
      <c r="P12" s="11" t="n">
        <v>168.77</v>
      </c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 t="inlineStr">
        <is>
          <t>CET (20%) — Tariff 42029200</t>
        </is>
      </c>
      <c r="K13" s="9" t="n"/>
      <c r="L13" s="9" t="n"/>
      <c r="M13" s="9" t="n"/>
      <c r="N13" s="9" t="n"/>
      <c r="O13" s="9" t="n"/>
      <c r="P13" s="11" t="n">
        <v>33.75</v>
      </c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 t="inlineStr">
        <is>
          <t>CSC (6%)</t>
        </is>
      </c>
      <c r="K14" s="9" t="n"/>
      <c r="L14" s="9" t="n"/>
      <c r="M14" s="9" t="n"/>
      <c r="N14" s="9" t="n"/>
      <c r="O14" s="9" t="n"/>
      <c r="P14" s="11" t="n">
        <v>10.13</v>
      </c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 t="inlineStr">
        <is>
          <t>VAT (15%) on CIF+CET+CSC</t>
        </is>
      </c>
      <c r="K15" s="9" t="n"/>
      <c r="L15" s="9" t="n"/>
      <c r="M15" s="9" t="n"/>
      <c r="N15" s="9" t="n"/>
      <c r="O15" s="9" t="n"/>
      <c r="P15" s="11" t="n">
        <v>31.9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8" t="inlineStr">
        <is>
          <t>ESTIMATED TOTAL DUTIES</t>
        </is>
      </c>
      <c r="K16" s="12" t="n"/>
      <c r="L16" s="12" t="n"/>
      <c r="M16" s="12" t="n"/>
      <c r="N16" s="12" t="n"/>
      <c r="O16" s="12" t="n"/>
      <c r="P16" s="13" t="n">
        <v>75.78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 t="inlineStr">
        <is>
          <t>Effective Duty Rate</t>
        </is>
      </c>
      <c r="K17" s="9" t="n"/>
      <c r="L17" s="9" t="n"/>
      <c r="M17" s="9" t="n"/>
      <c r="N17" s="9" t="n"/>
      <c r="O17" s="9" t="n"/>
      <c r="P17" s="14" t="n">
        <v>0.4490134502577472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</row>
    <row r="18"/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inlineStr">
        <is>
          <t>Items on other declaration(s) (23 items)</t>
        </is>
      </c>
      <c r="K19" s="15" t="n"/>
      <c r="L19" s="15" t="n"/>
      <c r="M19" s="15" t="n"/>
      <c r="N19" s="15" t="n"/>
      <c r="O19" s="15" t="n"/>
      <c r="P19" s="16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</row>
    <row r="20">
      <c r="A20" s="15" t="n"/>
      <c r="B20" s="15" t="n"/>
      <c r="C20" s="15" t="n"/>
      <c r="D20" s="15" t="n"/>
      <c r="E20" s="15" t="inlineStr">
        <is>
          <t>CLOTHING</t>
        </is>
      </c>
      <c r="F20" s="15" t="inlineStr">
        <is>
          <t>61034290</t>
        </is>
      </c>
      <c r="G20" s="15" t="n"/>
      <c r="H20" s="15" t="n"/>
      <c r="I20" s="15" t="n"/>
      <c r="J20" s="15" t="inlineStr">
        <is>
          <t>Gerber Baby Boy ' s 8 - Pack Short Sleeve Onesies Bodysuits , Tiger Green , 3... (+3 more) (4 items)</t>
        </is>
      </c>
      <c r="K20" s="15" t="n">
        <v>4</v>
      </c>
      <c r="L20" s="15" t="n"/>
      <c r="M20" s="15" t="n"/>
      <c r="N20" s="15" t="inlineStr">
        <is>
          <t>USD</t>
        </is>
      </c>
      <c r="O20" s="16" t="n">
        <v>18.985</v>
      </c>
      <c r="P20" s="16" t="n">
        <v>75.94</v>
      </c>
      <c r="Q20" s="16" t="n"/>
      <c r="R20" s="16" t="n"/>
      <c r="S20" s="16" t="n"/>
      <c r="T20" s="16" t="n"/>
      <c r="U20" s="16" t="n"/>
      <c r="V20" s="16" t="n"/>
      <c r="W20" s="16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inlineStr">
        <is>
          <t>AMZ-2</t>
        </is>
      </c>
      <c r="J21" s="17" t="inlineStr">
        <is>
          <t>Gerber Baby Boy ' s 8 - Pack Short Sleeve Onesies Bodysuits , Tiger Green , 3...</t>
        </is>
      </c>
      <c r="K21" s="17" t="n">
        <v>1</v>
      </c>
      <c r="L21" s="17" t="n"/>
      <c r="M21" s="17" t="n"/>
      <c r="N21" s="17" t="inlineStr">
        <is>
          <t>USD</t>
        </is>
      </c>
      <c r="O21" s="18" t="n">
        <v>21.99</v>
      </c>
      <c r="P21" s="18" t="n">
        <v>21.99</v>
      </c>
      <c r="Q21" s="18" t="n"/>
      <c r="R21" s="18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inlineStr">
        <is>
          <t>AMZ-2</t>
        </is>
      </c>
      <c r="J22" s="17" t="inlineStr">
        <is>
          <t>Gerber Baby Boy ' s 8 - Pack Short Sleeve Onesies Bodysuits , Tiger Green , 3...</t>
        </is>
      </c>
      <c r="K22" s="17" t="n">
        <v>1</v>
      </c>
      <c r="L22" s="17" t="n"/>
      <c r="M22" s="17" t="n"/>
      <c r="N22" s="17" t="inlineStr">
        <is>
          <t>USD</t>
        </is>
      </c>
      <c r="O22" s="18" t="n">
        <v>21.99</v>
      </c>
      <c r="P22" s="18" t="n">
        <v>21.99</v>
      </c>
      <c r="Q22" s="18" t="n"/>
      <c r="R22" s="18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inlineStr">
        <is>
          <t>AMZ-3</t>
        </is>
      </c>
      <c r="J23" s="17" t="inlineStr">
        <is>
          <t>Simple Joys by Carter ' s Baby Boys ’ 6 - Pack Short - Sleeve Bodysuit , Mult...</t>
        </is>
      </c>
      <c r="K23" s="17" t="n">
        <v>1</v>
      </c>
      <c r="L23" s="17" t="n"/>
      <c r="M23" s="17" t="n"/>
      <c r="N23" s="17" t="inlineStr">
        <is>
          <t>USD</t>
        </is>
      </c>
      <c r="O23" s="18" t="n">
        <v>15.98</v>
      </c>
      <c r="P23" s="18" t="n">
        <v>15.98</v>
      </c>
      <c r="Q23" s="18" t="n"/>
      <c r="R23" s="18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inlineStr">
        <is>
          <t>AMZ-3</t>
        </is>
      </c>
      <c r="J24" s="17" t="inlineStr">
        <is>
          <t>Simple Joys by Carter ' s Baby Boys ’ 6 - Pack Short - Sleeve Bodysuit , Mult...</t>
        </is>
      </c>
      <c r="K24" s="17" t="n">
        <v>1</v>
      </c>
      <c r="L24" s="17" t="n"/>
      <c r="M24" s="17" t="n"/>
      <c r="N24" s="17" t="inlineStr">
        <is>
          <t>USD</t>
        </is>
      </c>
      <c r="O24" s="18" t="n">
        <v>15.98</v>
      </c>
      <c r="P24" s="18" t="n">
        <v>15.98</v>
      </c>
      <c r="Q24" s="18" t="n"/>
      <c r="R24" s="18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</row>
    <row r="25">
      <c r="A25" s="15" t="n"/>
      <c r="B25" s="15" t="n"/>
      <c r="C25" s="15" t="n"/>
      <c r="D25" s="15" t="n"/>
      <c r="E25" s="15" t="inlineStr">
        <is>
          <t>PRODUCTS</t>
        </is>
      </c>
      <c r="F25" s="15" t="inlineStr">
        <is>
          <t>00000000</t>
        </is>
      </c>
      <c r="G25" s="15" t="n"/>
      <c r="H25" s="15" t="n"/>
      <c r="I25" s="15" t="n"/>
      <c r="J25" s="15" t="inlineStr">
        <is>
          <t>Cute Castle Ultra - Soft Baby Washcloths , 16 Pack - 9 " by 9 " , Gentle on S... (+13 more) (14 items)</t>
        </is>
      </c>
      <c r="K25" s="15" t="n">
        <v>14</v>
      </c>
      <c r="L25" s="15" t="n"/>
      <c r="M25" s="15" t="n"/>
      <c r="N25" s="15" t="inlineStr">
        <is>
          <t>USD</t>
        </is>
      </c>
      <c r="O25" s="16" t="n">
        <v>26.69857142857143</v>
      </c>
      <c r="P25" s="16" t="n">
        <v>373.78</v>
      </c>
      <c r="Q25" s="16" t="n"/>
      <c r="R25" s="16" t="n"/>
      <c r="S25" s="16" t="n"/>
      <c r="T25" s="16" t="n"/>
      <c r="U25" s="16" t="n"/>
      <c r="V25" s="16" t="n"/>
      <c r="W25" s="16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inlineStr">
        <is>
          <t>AMZ-7</t>
        </is>
      </c>
      <c r="J26" s="17" t="inlineStr">
        <is>
          <t>Cute Castle Ultra - Soft Baby Washcloths , 16 Pack - 9 " by 9 " , Gentle on S...</t>
        </is>
      </c>
      <c r="K26" s="17" t="n">
        <v>1</v>
      </c>
      <c r="L26" s="17" t="n"/>
      <c r="M26" s="17" t="n"/>
      <c r="N26" s="17" t="inlineStr">
        <is>
          <t>USD</t>
        </is>
      </c>
      <c r="O26" s="18" t="n">
        <v>9.99</v>
      </c>
      <c r="P26" s="18" t="n">
        <v>9.99</v>
      </c>
      <c r="Q26" s="18" t="n"/>
      <c r="R26" s="18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inlineStr">
        <is>
          <t>AMZ-4</t>
        </is>
      </c>
      <c r="J27" s="17" t="inlineStr">
        <is>
          <t>Wearable Breast Pump Hands Free Breast Pump 12 Levels 3 Modes Electric Breast...</t>
        </is>
      </c>
      <c r="K27" s="17" t="n">
        <v>1</v>
      </c>
      <c r="L27" s="17" t="n"/>
      <c r="M27" s="17" t="n"/>
      <c r="N27" s="17" t="inlineStr">
        <is>
          <t>USD</t>
        </is>
      </c>
      <c r="O27" s="18" t="n">
        <v>62.99</v>
      </c>
      <c r="P27" s="18" t="n">
        <v>62.99</v>
      </c>
      <c r="Q27" s="18" t="n"/>
      <c r="R27" s="18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inlineStr">
        <is>
          <t>AMZ-1</t>
        </is>
      </c>
      <c r="J28" s="17" t="inlineStr">
        <is>
          <t>Onesies Brand Baby Boy ' s 8 - Pack Short Sleeve Mix &amp; tdatch Bodysuits , Gre...</t>
        </is>
      </c>
      <c r="K28" s="17" t="n">
        <v>1</v>
      </c>
      <c r="L28" s="17" t="n"/>
      <c r="M28" s="17" t="n"/>
      <c r="N28" s="17" t="inlineStr">
        <is>
          <t>USD</t>
        </is>
      </c>
      <c r="O28" s="18" t="n">
        <v>18.99</v>
      </c>
      <c r="P28" s="18" t="n">
        <v>18.99</v>
      </c>
      <c r="Q28" s="18" t="n"/>
      <c r="R28" s="18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inlineStr">
        <is>
          <t>AMZ-4</t>
        </is>
      </c>
      <c r="J29" s="17" t="inlineStr">
        <is>
          <t>Wearable Breast Pump Hands Free Breast Pump 12 Levels 3 Modes Electric Breast...</t>
        </is>
      </c>
      <c r="K29" s="17" t="n">
        <v>1</v>
      </c>
      <c r="L29" s="17" t="n"/>
      <c r="M29" s="17" t="n"/>
      <c r="N29" s="17" t="inlineStr">
        <is>
          <t>USD</t>
        </is>
      </c>
      <c r="O29" s="18" t="n">
        <v>62.99</v>
      </c>
      <c r="P29" s="18" t="n">
        <v>62.99</v>
      </c>
      <c r="Q29" s="18" t="n"/>
      <c r="R29" s="18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inlineStr">
        <is>
          <t>AMZ-5</t>
        </is>
      </c>
      <c r="J30" s="17" t="inlineStr">
        <is>
          <t>Onesies Brand Unisex Baby 12 - Piece Cap and Mitten Set , Sayings Board , 0 -...</t>
        </is>
      </c>
      <c r="K30" s="17" t="n">
        <v>1</v>
      </c>
      <c r="L30" s="17" t="n"/>
      <c r="M30" s="17" t="n"/>
      <c r="N30" s="17" t="inlineStr">
        <is>
          <t>USD</t>
        </is>
      </c>
      <c r="O30" s="18" t="n">
        <v>17.99</v>
      </c>
      <c r="P30" s="18" t="n">
        <v>17.99</v>
      </c>
      <c r="Q30" s="18" t="n"/>
      <c r="R30" s="18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inlineStr">
        <is>
          <t>AMZ-8</t>
        </is>
      </c>
      <c r="J31" s="17" t="inlineStr">
        <is>
          <t>Onesies Brand Unisex Baby 12 - Piece Cap and Mitten Set , stripe , 0 - 6 Months</t>
        </is>
      </c>
      <c r="K31" s="17" t="n">
        <v>1</v>
      </c>
      <c r="L31" s="17" t="n"/>
      <c r="M31" s="17" t="n"/>
      <c r="N31" s="17" t="inlineStr">
        <is>
          <t>USD</t>
        </is>
      </c>
      <c r="O31" s="18" t="n">
        <v>16.99</v>
      </c>
      <c r="P31" s="18" t="n">
        <v>16.99</v>
      </c>
      <c r="Q31" s="18" t="n"/>
      <c r="R31" s="18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inlineStr">
        <is>
          <t>AMZ-9</t>
        </is>
      </c>
      <c r="J32" s="17" t="inlineStr">
        <is>
          <t>MUOCOBU Electric Breast Pump , Breast Pump Electric Breastfeeding Pump 3 Mode...</t>
        </is>
      </c>
      <c r="K32" s="17" t="n">
        <v>1</v>
      </c>
      <c r="L32" s="17" t="n"/>
      <c r="M32" s="17" t="n"/>
      <c r="N32" s="17" t="inlineStr">
        <is>
          <t>USD</t>
        </is>
      </c>
      <c r="O32" s="18" t="n">
        <v>39.98</v>
      </c>
      <c r="P32" s="18" t="n">
        <v>39.98</v>
      </c>
      <c r="Q32" s="18" t="n"/>
      <c r="R32" s="18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inlineStr">
        <is>
          <t>AMZ-10</t>
        </is>
      </c>
      <c r="J33" s="17" t="inlineStr">
        <is>
          <t>Simple Joys Baby Boy ' s 6 piece Little Character sets Sleepwear , Green / Gr...</t>
        </is>
      </c>
      <c r="K33" s="17" t="n">
        <v>1</v>
      </c>
      <c r="L33" s="17" t="n"/>
      <c r="M33" s="17" t="n"/>
      <c r="N33" s="17" t="inlineStr">
        <is>
          <t>USD</t>
        </is>
      </c>
      <c r="O33" s="18" t="n">
        <v>19.96</v>
      </c>
      <c r="P33" s="18" t="n">
        <v>19.96</v>
      </c>
      <c r="Q33" s="18" t="n"/>
      <c r="R33" s="18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inlineStr">
        <is>
          <t>AMZ-1</t>
        </is>
      </c>
      <c r="J34" s="17" t="inlineStr">
        <is>
          <t>Onesies Brand Baby Boy ' s 8 - Pack Short Sleeve Mix &amp; tdatch Bodysuits , Gre...</t>
        </is>
      </c>
      <c r="K34" s="17" t="n">
        <v>1</v>
      </c>
      <c r="L34" s="17" t="n"/>
      <c r="M34" s="17" t="n"/>
      <c r="N34" s="17" t="inlineStr">
        <is>
          <t>USD</t>
        </is>
      </c>
      <c r="O34" s="18" t="n">
        <v>18.99</v>
      </c>
      <c r="P34" s="18" t="n">
        <v>18.99</v>
      </c>
      <c r="Q34" s="18" t="n"/>
      <c r="R34" s="18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inlineStr">
        <is>
          <t>AMZ-5</t>
        </is>
      </c>
      <c r="J35" s="17" t="inlineStr">
        <is>
          <t>Onesies Brand Unisex Baby 12 - Piece Cap and Mitten Set , Sayings Board , 0 -...</t>
        </is>
      </c>
      <c r="K35" s="17" t="n">
        <v>1</v>
      </c>
      <c r="L35" s="17" t="n"/>
      <c r="M35" s="17" t="n"/>
      <c r="N35" s="17" t="inlineStr">
        <is>
          <t>USD</t>
        </is>
      </c>
      <c r="O35" s="18" t="n">
        <v>17.99</v>
      </c>
      <c r="P35" s="18" t="n">
        <v>17.99</v>
      </c>
      <c r="Q35" s="18" t="n"/>
      <c r="R35" s="18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inlineStr">
        <is>
          <t>AMZ-7</t>
        </is>
      </c>
      <c r="J36" s="17" t="inlineStr">
        <is>
          <t>Cute Castle Ultra - Soft Baby Washcloths , 16 Pack - 9 " by 9 " , Gentle on S...</t>
        </is>
      </c>
      <c r="K36" s="17" t="n">
        <v>1</v>
      </c>
      <c r="L36" s="17" t="n"/>
      <c r="M36" s="17" t="n"/>
      <c r="N36" s="17" t="inlineStr">
        <is>
          <t>USD</t>
        </is>
      </c>
      <c r="O36" s="18" t="n">
        <v>9.99</v>
      </c>
      <c r="P36" s="18" t="n">
        <v>9.99</v>
      </c>
      <c r="Q36" s="18" t="n"/>
      <c r="R36" s="18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inlineStr">
        <is>
          <t>AMZ-9</t>
        </is>
      </c>
      <c r="J37" s="17" t="inlineStr">
        <is>
          <t>MUOCOBU Electric Breast Pump , Breast Pump Electric Breastfeeding Pump 3 Mode...</t>
        </is>
      </c>
      <c r="K37" s="17" t="n">
        <v>1</v>
      </c>
      <c r="L37" s="17" t="n"/>
      <c r="M37" s="17" t="n"/>
      <c r="N37" s="17" t="inlineStr">
        <is>
          <t>USD</t>
        </is>
      </c>
      <c r="O37" s="18" t="n">
        <v>39.98</v>
      </c>
      <c r="P37" s="18" t="n">
        <v>39.98</v>
      </c>
      <c r="Q37" s="18" t="n"/>
      <c r="R37" s="18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inlineStr">
        <is>
          <t>AMZ-10</t>
        </is>
      </c>
      <c r="J38" s="17" t="inlineStr">
        <is>
          <t>Simple Joys Baby Boy ' s 6 piece Little Character sets Sleepwear , Green / Gr...</t>
        </is>
      </c>
      <c r="K38" s="17" t="n">
        <v>1</v>
      </c>
      <c r="L38" s="17" t="n"/>
      <c r="M38" s="17" t="n"/>
      <c r="N38" s="17" t="inlineStr">
        <is>
          <t>USD</t>
        </is>
      </c>
      <c r="O38" s="18" t="n">
        <v>19.96</v>
      </c>
      <c r="P38" s="18" t="n">
        <v>19.96</v>
      </c>
      <c r="Q38" s="18" t="n"/>
      <c r="R38" s="18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inlineStr">
        <is>
          <t>AMZ-8</t>
        </is>
      </c>
      <c r="J39" s="17" t="inlineStr">
        <is>
          <t>Onesies Brand Unisex Baby 12 - Piece Cap and Mitten Set , stripe , 0 - 6 Months</t>
        </is>
      </c>
      <c r="K39" s="17" t="n">
        <v>1</v>
      </c>
      <c r="L39" s="17" t="n"/>
      <c r="M39" s="17" t="n"/>
      <c r="N39" s="17" t="inlineStr">
        <is>
          <t>USD</t>
        </is>
      </c>
      <c r="O39" s="18" t="n">
        <v>16.99</v>
      </c>
      <c r="P39" s="18" t="n">
        <v>16.99</v>
      </c>
      <c r="Q39" s="18" t="n"/>
      <c r="R39" s="18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</row>
    <row r="40">
      <c r="A40" s="15" t="n"/>
      <c r="B40" s="15" t="n"/>
      <c r="C40" s="15" t="n"/>
      <c r="D40" s="15" t="n"/>
      <c r="E40" s="15" t="inlineStr">
        <is>
          <t>In the form of bars, cakes, moulded pieces or shapes, for laundry and othe</t>
        </is>
      </c>
      <c r="F40" s="15" t="inlineStr">
        <is>
          <t>34011910</t>
        </is>
      </c>
      <c r="G40" s="15" t="n"/>
      <c r="H40" s="15" t="n"/>
      <c r="I40" s="15" t="n"/>
      <c r="J40" s="15" t="inlineStr">
        <is>
          <t>Huggies Natural Care Sensitive Baby Wipes , Unscented , Hypoallergenic , 99 %... (+1 more) (2 items)</t>
        </is>
      </c>
      <c r="K40" s="15" t="n">
        <v>2</v>
      </c>
      <c r="L40" s="15" t="n"/>
      <c r="M40" s="15" t="n"/>
      <c r="N40" s="15" t="inlineStr">
        <is>
          <t>USD</t>
        </is>
      </c>
      <c r="O40" s="16" t="n">
        <v>13.7</v>
      </c>
      <c r="P40" s="16" t="n">
        <v>27.4</v>
      </c>
      <c r="Q40" s="16" t="n"/>
      <c r="R40" s="16" t="n"/>
      <c r="S40" s="16" t="n"/>
      <c r="T40" s="16" t="n"/>
      <c r="U40" s="16" t="n"/>
      <c r="V40" s="16" t="n"/>
      <c r="W40" s="16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inlineStr">
        <is>
          <t>AMZ-6</t>
        </is>
      </c>
      <c r="J41" s="17" t="inlineStr">
        <is>
          <t>Huggies Natural Care Sensitive Baby Wipes , Unscented , Hypoallergenic , 99 %...</t>
        </is>
      </c>
      <c r="K41" s="17" t="n">
        <v>1</v>
      </c>
      <c r="L41" s="17" t="n"/>
      <c r="M41" s="17" t="n"/>
      <c r="N41" s="17" t="inlineStr">
        <is>
          <t>USD</t>
        </is>
      </c>
      <c r="O41" s="18" t="n">
        <v>13.7</v>
      </c>
      <c r="P41" s="18" t="n">
        <v>13.7</v>
      </c>
      <c r="Q41" s="18" t="n"/>
      <c r="R41" s="18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inlineStr">
        <is>
          <t>AMZ-6</t>
        </is>
      </c>
      <c r="J42" s="17" t="inlineStr">
        <is>
          <t>Huggies Natural Care Sensitive Baby Wipes , Unscented , Hypoallergenic , 99 %...</t>
        </is>
      </c>
      <c r="K42" s="17" t="n">
        <v>1</v>
      </c>
      <c r="L42" s="17" t="n"/>
      <c r="M42" s="17" t="n"/>
      <c r="N42" s="17" t="inlineStr">
        <is>
          <t>USD</t>
        </is>
      </c>
      <c r="O42" s="18" t="n">
        <v>13.7</v>
      </c>
      <c r="P42" s="18" t="n">
        <v>13.7</v>
      </c>
      <c r="Q42" s="18" t="n"/>
      <c r="R42" s="18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</row>
    <row r="43">
      <c r="A43" s="15" t="n"/>
      <c r="B43" s="15" t="n"/>
      <c r="C43" s="15" t="n"/>
      <c r="D43" s="15" t="n"/>
      <c r="E43" s="15" t="inlineStr">
        <is>
          <t>BABY CARE</t>
        </is>
      </c>
      <c r="F43" s="15" t="inlineStr">
        <is>
          <t>96190029</t>
        </is>
      </c>
      <c r="G43" s="15" t="n"/>
      <c r="H43" s="15" t="n"/>
      <c r="I43" s="15" t="n"/>
      <c r="J43" s="15" t="inlineStr">
        <is>
          <t>Huggies Size 1 Diapers , Snug &amp; Dry Newborn Diapers , Size 1 ( 8 - 14 Ibs, 25... (+1 more) (2 items)</t>
        </is>
      </c>
      <c r="K43" s="15" t="n">
        <v>2</v>
      </c>
      <c r="L43" s="15" t="n"/>
      <c r="M43" s="15" t="n"/>
      <c r="N43" s="15" t="inlineStr">
        <is>
          <t>USD</t>
        </is>
      </c>
      <c r="O43" s="16" t="n">
        <v>216.14</v>
      </c>
      <c r="P43" s="16" t="n">
        <v>432.28</v>
      </c>
      <c r="Q43" s="16" t="n"/>
      <c r="R43" s="16" t="n"/>
      <c r="S43" s="16" t="n"/>
      <c r="T43" s="16" t="n"/>
      <c r="U43" s="16" t="n"/>
      <c r="V43" s="16" t="n"/>
      <c r="W43" s="16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inlineStr">
        <is>
          <t>AMZ-12</t>
        </is>
      </c>
      <c r="J44" s="17" t="inlineStr">
        <is>
          <t>Huggies Size 1 Diapers , Snug &amp; Dry Newborn Diapers , Size 1 ( 8 - 14 Ibs, 25...</t>
        </is>
      </c>
      <c r="K44" s="17" t="n">
        <v>1</v>
      </c>
      <c r="L44" s="17" t="n"/>
      <c r="M44" s="17" t="n"/>
      <c r="N44" s="17" t="inlineStr">
        <is>
          <t>USD</t>
        </is>
      </c>
      <c r="O44" s="18" t="n">
        <v>216.14</v>
      </c>
      <c r="P44" s="18" t="n">
        <v>216.14</v>
      </c>
      <c r="Q44" s="18" t="n"/>
      <c r="R44" s="18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inlineStr">
        <is>
          <t>AMZ-12</t>
        </is>
      </c>
      <c r="J45" s="17" t="inlineStr">
        <is>
          <t>Huggies Size 1 Diapers , Snug &amp; Dry Newborn Diapers , Size 1 ( 8 - 14 Ibs, 25...</t>
        </is>
      </c>
      <c r="K45" s="17" t="n">
        <v>1</v>
      </c>
      <c r="L45" s="17" t="n"/>
      <c r="M45" s="17" t="n"/>
      <c r="N45" s="17" t="inlineStr">
        <is>
          <t>USD</t>
        </is>
      </c>
      <c r="O45" s="18" t="n">
        <v>216.14</v>
      </c>
      <c r="P45" s="18" t="n">
        <v>216.14</v>
      </c>
      <c r="Q45" s="18" t="n"/>
      <c r="R45" s="18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</row>
    <row r="46">
      <c r="A46" s="15" t="n"/>
      <c r="B46" s="15" t="n"/>
      <c r="C46" s="15" t="n"/>
      <c r="D46" s="15" t="n"/>
      <c r="E46" s="15" t="inlineStr">
        <is>
          <t>BAGS &amp; LUGGAGE</t>
        </is>
      </c>
      <c r="F46" s="15" t="inlineStr">
        <is>
          <t>42029200</t>
        </is>
      </c>
      <c r="G46" s="15" t="n"/>
      <c r="H46" s="15" t="n"/>
      <c r="I46" s="15" t="n"/>
      <c r="J46" s="15" t="inlineStr">
        <is>
          <t>strom Large Diaper Bag , 29 L - 45 L Expandable Diaper Bag Backpack for 2 Kid... (1 items)</t>
        </is>
      </c>
      <c r="K46" s="15" t="n">
        <v>1</v>
      </c>
      <c r="L46" s="15" t="n"/>
      <c r="M46" s="15" t="n"/>
      <c r="N46" s="15" t="inlineStr">
        <is>
          <t>USD</t>
        </is>
      </c>
      <c r="O46" s="16" t="n">
        <v>48.04</v>
      </c>
      <c r="P46" s="16" t="n">
        <v>48.04</v>
      </c>
      <c r="Q46" s="16" t="n"/>
      <c r="R46" s="16" t="n"/>
      <c r="S46" s="16" t="n"/>
      <c r="T46" s="16" t="n"/>
      <c r="U46" s="16" t="n"/>
      <c r="V46" s="16" t="n"/>
      <c r="W46" s="16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inlineStr">
        <is>
          <t>AMZ-11</t>
        </is>
      </c>
      <c r="J47" s="17" t="inlineStr">
        <is>
          <t>strom Large Diaper Bag , 29 L - 45 L Expandable Diaper Bag Backpack for 2 Kid...</t>
        </is>
      </c>
      <c r="K47" s="17" t="n">
        <v>1</v>
      </c>
      <c r="L47" s="17" t="n"/>
      <c r="M47" s="17" t="n"/>
      <c r="N47" s="17" t="inlineStr">
        <is>
          <t>USD</t>
        </is>
      </c>
      <c r="O47" s="18" t="n">
        <v>48.04</v>
      </c>
      <c r="P47" s="18" t="n">
        <v>48.04</v>
      </c>
      <c r="Q47" s="18" t="n"/>
      <c r="R47" s="18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inlineStr">
        <is>
          <t>REFERENCE SUBTOTAL</t>
        </is>
      </c>
      <c r="K48" s="19" t="n"/>
      <c r="L48" s="19" t="n"/>
      <c r="M48" s="19" t="n"/>
      <c r="N48" s="19" t="n"/>
      <c r="O48" s="19" t="n"/>
      <c r="P48" s="20" t="n">
        <v>957.4400000000001</v>
      </c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inlineStr">
        <is>
          <t>REFERENCE FREIGHT</t>
        </is>
      </c>
      <c r="K49" s="19" t="n"/>
      <c r="L49" s="19" t="n"/>
      <c r="M49" s="19" t="n"/>
      <c r="N49" s="19" t="n"/>
      <c r="O49" s="19" t="n"/>
      <c r="P49" s="20" t="n">
        <v>107</v>
      </c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inlineStr">
        <is>
          <t>REFERENCE INSURANCE</t>
        </is>
      </c>
      <c r="K50" s="19" t="n"/>
      <c r="L50" s="19" t="n"/>
      <c r="M50" s="19" t="n"/>
      <c r="N50" s="19" t="n"/>
      <c r="O50" s="19" t="n"/>
      <c r="P50" s="20" t="n">
        <v>0</v>
      </c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inlineStr">
        <is>
          <t>REFERENCE OTHER COST</t>
        </is>
      </c>
      <c r="K51" s="19" t="n"/>
      <c r="L51" s="19" t="n"/>
      <c r="M51" s="19" t="n"/>
      <c r="N51" s="19" t="n"/>
      <c r="O51" s="19" t="n"/>
      <c r="P51" s="20" t="n">
        <v>1.6</v>
      </c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inlineStr">
        <is>
          <t>REFERENCE DEDUCTION</t>
        </is>
      </c>
      <c r="K52" s="19" t="n"/>
      <c r="L52" s="19" t="n"/>
      <c r="M52" s="19" t="n"/>
      <c r="N52" s="19" t="n"/>
      <c r="O52" s="19" t="n"/>
      <c r="P52" s="20" t="n">
        <v>0</v>
      </c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inlineStr">
        <is>
          <t>REFERENCE ADJUSTMENTS</t>
        </is>
      </c>
      <c r="K53" s="19" t="n"/>
      <c r="L53" s="19" t="n"/>
      <c r="M53" s="19" t="n"/>
      <c r="N53" s="19" t="n"/>
      <c r="O53" s="19" t="n"/>
      <c r="P53" s="20">
        <f>P49+P50+P51-P52</f>
        <v/>
      </c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inlineStr">
        <is>
          <t>REFERENCE NET TOTAL</t>
        </is>
      </c>
      <c r="K54" s="19" t="n"/>
      <c r="L54" s="19" t="n"/>
      <c r="M54" s="19" t="n"/>
      <c r="N54" s="19" t="n"/>
      <c r="O54" s="19" t="n"/>
      <c r="P54" s="20">
        <f>P48+P53</f>
        <v/>
      </c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inlineStr">
        <is>
          <t>COMBINED ITEMS TOTAL</t>
        </is>
      </c>
      <c r="K56" s="19" t="n"/>
      <c r="L56" s="19" t="n"/>
      <c r="M56" s="19" t="n"/>
      <c r="N56" s="19" t="n"/>
      <c r="O56" s="19" t="n"/>
      <c r="P56" s="20">
        <f>P3+P48</f>
        <v/>
      </c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inlineStr">
        <is>
          <t>FULL INVOICE FREIGHT</t>
        </is>
      </c>
      <c r="K57" s="19" t="n"/>
      <c r="L57" s="19" t="n"/>
      <c r="M57" s="19" t="n"/>
      <c r="N57" s="19" t="n"/>
      <c r="O57" s="19" t="n"/>
      <c r="P57" s="20">
        <f>T2+P49</f>
        <v/>
      </c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inlineStr">
        <is>
          <t>FULL INVOICE INSURANCE</t>
        </is>
      </c>
      <c r="K58" s="19" t="n"/>
      <c r="L58" s="19" t="n"/>
      <c r="M58" s="19" t="n"/>
      <c r="N58" s="19" t="n"/>
      <c r="O58" s="19" t="n"/>
      <c r="P58" s="20">
        <f>U2+P50</f>
        <v/>
      </c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inlineStr">
        <is>
          <t>FULL INVOICE OTHER COST</t>
        </is>
      </c>
      <c r="K59" s="19" t="n"/>
      <c r="L59" s="19" t="n"/>
      <c r="M59" s="19" t="n"/>
      <c r="N59" s="19" t="n"/>
      <c r="O59" s="19" t="n"/>
      <c r="P59" s="20">
        <f>V2+P51</f>
        <v/>
      </c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inlineStr">
        <is>
          <t>FULL INVOICE DEDUCTION</t>
        </is>
      </c>
      <c r="K60" s="19" t="n"/>
      <c r="L60" s="19" t="n"/>
      <c r="M60" s="19" t="n"/>
      <c r="N60" s="19" t="n"/>
      <c r="O60" s="19" t="n"/>
      <c r="P60" s="20">
        <f>W2+P52</f>
        <v/>
      </c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inlineStr">
        <is>
          <t>FULL ADJUSTMENTS</t>
        </is>
      </c>
      <c r="K61" s="19" t="n"/>
      <c r="L61" s="19" t="n"/>
      <c r="M61" s="19" t="n"/>
      <c r="N61" s="19" t="n"/>
      <c r="O61" s="19" t="n"/>
      <c r="P61" s="20">
        <f>P57+P58+P59-P60</f>
        <v/>
      </c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9" t="n"/>
      <c r="AI61" s="19" t="n"/>
      <c r="AJ61" s="19" t="n"/>
      <c r="AK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inlineStr">
        <is>
          <t>COMBINED NET TOTAL</t>
        </is>
      </c>
      <c r="K62" s="19" t="n"/>
      <c r="L62" s="19" t="n"/>
      <c r="M62" s="19" t="n"/>
      <c r="N62" s="19" t="n"/>
      <c r="O62" s="19" t="n"/>
      <c r="P62" s="20">
        <f>P56+P61</f>
        <v/>
      </c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inlineStr">
        <is>
          <t>FULL INVOICE TOTAL</t>
        </is>
      </c>
      <c r="K63" s="19" t="n"/>
      <c r="L63" s="19" t="n"/>
      <c r="M63" s="19" t="n"/>
      <c r="N63" s="19" t="n"/>
      <c r="O63" s="19" t="n"/>
      <c r="P63" s="20" t="n">
        <v>1121.16</v>
      </c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inlineStr">
        <is>
          <t>COMBINED VARIANCE CHECK</t>
        </is>
      </c>
      <c r="K64" s="19" t="n"/>
      <c r="L64" s="19" t="n"/>
      <c r="M64" s="19" t="n"/>
      <c r="N64" s="19" t="n"/>
      <c r="O64" s="19" t="n"/>
      <c r="P64" s="20">
        <f>P63-P62</f>
        <v/>
      </c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2026-04-25T23:17:46Z</dcterms:created>
  <dcterms:modified xmlns:dcterms="http://purl.org/dc/terms/" xmlns:xsi="http://www.w3.org/2001/XMLSchema-instance" xsi:type="dcterms:W3CDTF">2026-04-25T23:17:46Z</dcterms:modified>
</cp:coreProperties>
</file>