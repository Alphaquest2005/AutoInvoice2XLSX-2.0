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112-8635667-8526641</t>
        </is>
      </c>
      <c r="D2" s="2" t="inlineStr"/>
      <c r="E2" s="2" t="inlineStr">
        <is>
          <t>CLOTHING</t>
        </is>
      </c>
      <c r="F2" s="2" t="inlineStr">
        <is>
          <t>61034290</t>
        </is>
      </c>
      <c r="G2" s="2" t="inlineStr"/>
      <c r="H2" s="2" t="inlineStr"/>
      <c r="I2" s="2" t="inlineStr">
        <is>
          <t>61034290</t>
        </is>
      </c>
      <c r="J2" s="2" t="inlineStr">
        <is>
          <t>Gerber Baby Boy ' s 8 - Pack Short Sleeve Onesies Bodysuits , Tiger Green , 3...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21.99</v>
      </c>
      <c r="P2" s="3" t="n">
        <v>21.99</v>
      </c>
      <c r="Q2" s="3">
        <f>O2*K2</f>
        <v/>
      </c>
      <c r="R2" s="3">
        <f>P2-Q2</f>
        <v/>
      </c>
      <c r="S2" s="3" t="n">
        <v>138.13</v>
      </c>
      <c r="T2" s="3" t="n">
        <v>43</v>
      </c>
      <c r="U2" s="3" t="n">
        <v>0</v>
      </c>
      <c r="V2" s="3" t="n">
        <v>0.16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61034290</t>
        </is>
      </c>
    </row>
    <row r="3">
      <c r="A3" s="4" t="n"/>
      <c r="B3" s="4" t="n"/>
      <c r="C3" s="4" t="n"/>
      <c r="D3" s="4" t="n"/>
      <c r="E3" s="4" t="n"/>
      <c r="F3" s="4" t="inlineStr">
        <is>
          <t>61034290</t>
        </is>
      </c>
      <c r="G3" s="4" t="n"/>
      <c r="H3" s="4" t="n"/>
      <c r="I3" s="4" t="inlineStr">
        <is>
          <t>AMZ-2</t>
        </is>
      </c>
      <c r="J3" s="4" t="inlineStr">
        <is>
          <t>Gerber Baby Boy ' s 8 - Pack Short Sleeve Onesies Bodysuits , Tiger Green , 3...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21.99</v>
      </c>
      <c r="P3" s="5" t="n">
        <v>21.99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112-8635667-8526641</t>
        </is>
      </c>
      <c r="D4" s="2" t="inlineStr"/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00000000</t>
        </is>
      </c>
      <c r="J4" s="2" t="inlineStr">
        <is>
          <t>Cute Castle Ultra - Soft Baby Washcloths , 16 Pack - 9 " by 9 " , Gentle on S...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36.49</v>
      </c>
      <c r="P4" s="3" t="n">
        <v>72.98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AMZ-7</t>
        </is>
      </c>
      <c r="J5" s="4" t="inlineStr">
        <is>
          <t>Cute Castle Ultra - Soft Baby Washcloths , 16 Pack - 9 " by 9 " , Gentle on S...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9.99</v>
      </c>
      <c r="P5" s="5" t="n">
        <v>9.99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00000000</t>
        </is>
      </c>
      <c r="G6" s="4" t="n"/>
      <c r="H6" s="4" t="n"/>
      <c r="I6" s="4" t="inlineStr">
        <is>
          <t>AMZ-4</t>
        </is>
      </c>
      <c r="J6" s="4" t="inlineStr">
        <is>
          <t>Wearable Breast Pump Hands Free Breast Pump 12 Levels 3 Modes Electric Breast...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62.99</v>
      </c>
      <c r="P6" s="5" t="n">
        <v>62.99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P2+P4</f>
        <v/>
      </c>
      <c r="Q7" s="7">
        <f>Q2+Q4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43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0.16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inlineStr">
        <is>
          <t>INVOICE NOTES: Structural item count mismatch: 20 price lines found between section markers but 12 items extracted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/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inlineStr">
        <is>
          <t>DUTY ESTIMATION (Classification Cross-Check)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(USD) = InvTotal + Freight + Insurance</t>
        </is>
      </c>
      <c r="K25" s="15" t="n"/>
      <c r="L25" s="15" t="n"/>
      <c r="M25" s="15" t="n"/>
      <c r="N25" s="15" t="n"/>
      <c r="O25" s="15" t="n"/>
      <c r="P25" s="17" t="n">
        <v>181.13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(XCD) = CIF × 2.7169</t>
        </is>
      </c>
      <c r="K26" s="15" t="n"/>
      <c r="L26" s="15" t="n"/>
      <c r="M26" s="15" t="n"/>
      <c r="N26" s="15" t="n"/>
      <c r="O26" s="15" t="n"/>
      <c r="P26" s="17" t="n">
        <v>492.11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CET (weighted avg 20.0%)</t>
        </is>
      </c>
      <c r="K27" s="15" t="n"/>
      <c r="L27" s="15" t="n"/>
      <c r="M27" s="15" t="n"/>
      <c r="N27" s="15" t="n"/>
      <c r="O27" s="15" t="n"/>
      <c r="P27" s="17" t="n">
        <v>98.42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 xml:space="preserve">  └ 00000000: 20% CET (77% of value)</t>
        </is>
      </c>
      <c r="K28" s="15" t="n"/>
      <c r="L28" s="15" t="n"/>
      <c r="M28" s="15" t="n"/>
      <c r="N28" s="15" t="n"/>
      <c r="O28" s="15" t="n"/>
      <c r="P28" s="17" t="n">
        <v>75.63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 xml:space="preserve">  └ 61034290: 20% CET (23% of value)</t>
        </is>
      </c>
      <c r="K29" s="15" t="n"/>
      <c r="L29" s="15" t="n"/>
      <c r="M29" s="15" t="n"/>
      <c r="N29" s="15" t="n"/>
      <c r="O29" s="15" t="n"/>
      <c r="P29" s="17" t="n">
        <v>22.79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CSC (6%)</t>
        </is>
      </c>
      <c r="K30" s="15" t="n"/>
      <c r="L30" s="15" t="n"/>
      <c r="M30" s="15" t="n"/>
      <c r="N30" s="15" t="n"/>
      <c r="O30" s="15" t="n"/>
      <c r="P30" s="17" t="n">
        <v>29.53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VAT (15%) on CIF+CET+CSC</t>
        </is>
      </c>
      <c r="K31" s="15" t="n"/>
      <c r="L31" s="15" t="n"/>
      <c r="M31" s="15" t="n"/>
      <c r="N31" s="15" t="n"/>
      <c r="O31" s="15" t="n"/>
      <c r="P31" s="17" t="n">
        <v>93.01000000000001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4" t="inlineStr">
        <is>
          <t>ESTIMATED TOTAL DUTIES</t>
        </is>
      </c>
      <c r="K32" s="18" t="n"/>
      <c r="L32" s="18" t="n"/>
      <c r="M32" s="18" t="n"/>
      <c r="N32" s="18" t="n"/>
      <c r="O32" s="18" t="n"/>
      <c r="P32" s="19" t="n">
        <v>220.96</v>
      </c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Effective Duty Rate</t>
        </is>
      </c>
      <c r="K33" s="15" t="n"/>
      <c r="L33" s="15" t="n"/>
      <c r="M33" s="15" t="n"/>
      <c r="N33" s="15" t="n"/>
      <c r="O33" s="15" t="n"/>
      <c r="P33" s="20" t="n">
        <v>0.4490053036922639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>CLIENT DECLARED DUTIES</t>
        </is>
      </c>
      <c r="K34" s="15" t="n"/>
      <c r="L34" s="15" t="n"/>
      <c r="M34" s="15" t="n"/>
      <c r="N34" s="15" t="n"/>
      <c r="O34" s="15" t="n"/>
      <c r="P34" s="17" t="n">
        <v>1426.22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21" t="inlineStr">
        <is>
          <t>DUTY VARIANCE (Client − Estimated)</t>
        </is>
      </c>
      <c r="K35" s="15" t="n"/>
      <c r="L35" s="15" t="n"/>
      <c r="M35" s="15" t="n"/>
      <c r="N35" s="15" t="n"/>
      <c r="O35" s="15" t="n"/>
      <c r="P35" s="22" t="n">
        <v>1205.26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IMPLIED CIF (from declared duty @ 20% CET, XCD)</t>
        </is>
      </c>
      <c r="K36" s="15" t="n"/>
      <c r="L36" s="15" t="n"/>
      <c r="M36" s="15" t="n"/>
      <c r="N36" s="15" t="n"/>
      <c r="O36" s="15" t="n"/>
      <c r="P36" s="17" t="n">
        <v>3176.44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IMPLIED ITEMS VALUE (USD, net of freight/insurance)</t>
        </is>
      </c>
      <c r="K37" s="15" t="n"/>
      <c r="L37" s="15" t="n"/>
      <c r="M37" s="15" t="n"/>
      <c r="N37" s="15" t="n"/>
      <c r="O37" s="15" t="n"/>
      <c r="P37" s="17" t="n">
        <v>1126.14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21" t="inlineStr">
        <is>
          <t>⚠ ITEM ALLOCATION CHECK: actual $94.97 USD vs implied $1,126.14 USD — UNDER-ALLOCATED (items from another waybill may belong here)</t>
        </is>
      </c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/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inlineStr">
        <is>
          <t>Items on other declaration(s) (21 items)</t>
        </is>
      </c>
      <c r="K40" s="23" t="n"/>
      <c r="L40" s="23" t="n"/>
      <c r="M40" s="23" t="n"/>
      <c r="N40" s="23" t="n"/>
      <c r="O40" s="23" t="n"/>
      <c r="P40" s="24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3" t="n"/>
      <c r="B41" s="23" t="n"/>
      <c r="C41" s="23" t="n"/>
      <c r="D41" s="23" t="n"/>
      <c r="E41" s="23" t="inlineStr">
        <is>
          <t>BAGS &amp; LUGGAGE</t>
        </is>
      </c>
      <c r="F41" s="23" t="inlineStr">
        <is>
          <t>42029200</t>
        </is>
      </c>
      <c r="G41" s="23" t="n"/>
      <c r="H41" s="23" t="n"/>
      <c r="I41" s="23" t="n"/>
      <c r="J41" s="23" t="inlineStr">
        <is>
          <t>strom Large Diaper Bag , 29 L - 45 L Expandable Diaper Bag Backpack for 2 Kid... (+1 more) (2 items)</t>
        </is>
      </c>
      <c r="K41" s="23" t="n">
        <v>2</v>
      </c>
      <c r="L41" s="23" t="n"/>
      <c r="M41" s="23" t="n"/>
      <c r="N41" s="23" t="inlineStr">
        <is>
          <t>USD</t>
        </is>
      </c>
      <c r="O41" s="24" t="n">
        <v>48.04</v>
      </c>
      <c r="P41" s="24" t="n">
        <v>96.08</v>
      </c>
      <c r="Q41" s="24" t="n"/>
      <c r="R41" s="24" t="n"/>
      <c r="S41" s="24" t="n"/>
      <c r="T41" s="24" t="n"/>
      <c r="U41" s="24" t="n"/>
      <c r="V41" s="24" t="n"/>
      <c r="W41" s="24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inlineStr">
        <is>
          <t>AMZ-11</t>
        </is>
      </c>
      <c r="J42" s="25" t="inlineStr">
        <is>
          <t>strom Large Diaper Bag , 29 L - 45 L Expandable Diaper Bag Backpack for 2 Kid...</t>
        </is>
      </c>
      <c r="K42" s="25" t="n">
        <v>1</v>
      </c>
      <c r="L42" s="25" t="n"/>
      <c r="M42" s="25" t="n"/>
      <c r="N42" s="25" t="inlineStr">
        <is>
          <t>USD</t>
        </is>
      </c>
      <c r="O42" s="26" t="n">
        <v>48.04</v>
      </c>
      <c r="P42" s="26" t="n">
        <v>48.04</v>
      </c>
      <c r="Q42" s="26" t="n"/>
      <c r="R42" s="26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inlineStr">
        <is>
          <t>AMZ-11</t>
        </is>
      </c>
      <c r="J43" s="25" t="inlineStr">
        <is>
          <t>strom Large Diaper Bag , 29 L - 45 L Expandable Diaper Bag Backpack for 2 Kid...</t>
        </is>
      </c>
      <c r="K43" s="25" t="n">
        <v>1</v>
      </c>
      <c r="L43" s="25" t="n"/>
      <c r="M43" s="25" t="n"/>
      <c r="N43" s="25" t="inlineStr">
        <is>
          <t>USD</t>
        </is>
      </c>
      <c r="O43" s="26" t="n">
        <v>48.04</v>
      </c>
      <c r="P43" s="26" t="n">
        <v>48.04</v>
      </c>
      <c r="Q43" s="26" t="n"/>
      <c r="R43" s="26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3" t="n"/>
      <c r="B44" s="23" t="n"/>
      <c r="C44" s="23" t="n"/>
      <c r="D44" s="23" t="n"/>
      <c r="E44" s="23" t="inlineStr">
        <is>
          <t>PRODUCTS</t>
        </is>
      </c>
      <c r="F44" s="23" t="inlineStr">
        <is>
          <t>00000000</t>
        </is>
      </c>
      <c r="G44" s="23" t="n"/>
      <c r="H44" s="23" t="n"/>
      <c r="I44" s="23" t="n"/>
      <c r="J44" s="23" t="inlineStr">
        <is>
          <t>Onesies Brand Baby Boy ' s 8 - Pack Short Sleeve Mix &amp; tdatch Bodysuits , Gre... (+11 more) (12 items)</t>
        </is>
      </c>
      <c r="K44" s="23" t="n">
        <v>12</v>
      </c>
      <c r="L44" s="23" t="n"/>
      <c r="M44" s="23" t="n"/>
      <c r="N44" s="23" t="inlineStr">
        <is>
          <t>USD</t>
        </is>
      </c>
      <c r="O44" s="24" t="n">
        <v>25.06666666666667</v>
      </c>
      <c r="P44" s="24" t="n">
        <v>300.8</v>
      </c>
      <c r="Q44" s="24" t="n"/>
      <c r="R44" s="24" t="n"/>
      <c r="S44" s="24" t="n"/>
      <c r="T44" s="24" t="n"/>
      <c r="U44" s="24" t="n"/>
      <c r="V44" s="24" t="n"/>
      <c r="W44" s="24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inlineStr">
        <is>
          <t>AMZ-1</t>
        </is>
      </c>
      <c r="J45" s="25" t="inlineStr">
        <is>
          <t>Onesies Brand Baby Boy ' s 8 - Pack Short Sleeve Mix &amp; tdatch Bodysuits , Gre...</t>
        </is>
      </c>
      <c r="K45" s="25" t="n">
        <v>1</v>
      </c>
      <c r="L45" s="25" t="n"/>
      <c r="M45" s="25" t="n"/>
      <c r="N45" s="25" t="inlineStr">
        <is>
          <t>USD</t>
        </is>
      </c>
      <c r="O45" s="26" t="n">
        <v>18.99</v>
      </c>
      <c r="P45" s="26" t="n">
        <v>18.99</v>
      </c>
      <c r="Q45" s="26" t="n"/>
      <c r="R45" s="26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inlineStr">
        <is>
          <t>AMZ-4</t>
        </is>
      </c>
      <c r="J46" s="25" t="inlineStr">
        <is>
          <t>Wearable Breast Pump Hands Free Breast Pump 12 Levels 3 Modes Electric Breast...</t>
        </is>
      </c>
      <c r="K46" s="25" t="n">
        <v>1</v>
      </c>
      <c r="L46" s="25" t="n"/>
      <c r="M46" s="25" t="n"/>
      <c r="N46" s="25" t="inlineStr">
        <is>
          <t>USD</t>
        </is>
      </c>
      <c r="O46" s="26" t="n">
        <v>62.99</v>
      </c>
      <c r="P46" s="26" t="n">
        <v>62.99</v>
      </c>
      <c r="Q46" s="26" t="n"/>
      <c r="R46" s="26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inlineStr">
        <is>
          <t>AMZ-5</t>
        </is>
      </c>
      <c r="J47" s="25" t="inlineStr">
        <is>
          <t>Onesies Brand Unisex Baby 12 - Piece Cap and Mitten Set , Sayings Board , 0 -...</t>
        </is>
      </c>
      <c r="K47" s="25" t="n">
        <v>1</v>
      </c>
      <c r="L47" s="25" t="n"/>
      <c r="M47" s="25" t="n"/>
      <c r="N47" s="25" t="inlineStr">
        <is>
          <t>USD</t>
        </is>
      </c>
      <c r="O47" s="26" t="n">
        <v>17.99</v>
      </c>
      <c r="P47" s="26" t="n">
        <v>17.99</v>
      </c>
      <c r="Q47" s="26" t="n"/>
      <c r="R47" s="26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inlineStr">
        <is>
          <t>AMZ-8</t>
        </is>
      </c>
      <c r="J48" s="25" t="inlineStr">
        <is>
          <t>Onesies Brand Unisex Baby 12 - Piece Cap and Mitten Set , stripe , 0 - 6 Months</t>
        </is>
      </c>
      <c r="K48" s="25" t="n">
        <v>1</v>
      </c>
      <c r="L48" s="25" t="n"/>
      <c r="M48" s="25" t="n"/>
      <c r="N48" s="25" t="inlineStr">
        <is>
          <t>USD</t>
        </is>
      </c>
      <c r="O48" s="26" t="n">
        <v>16.99</v>
      </c>
      <c r="P48" s="26" t="n">
        <v>16.99</v>
      </c>
      <c r="Q48" s="26" t="n"/>
      <c r="R48" s="26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inlineStr">
        <is>
          <t>AMZ-9</t>
        </is>
      </c>
      <c r="J49" s="25" t="inlineStr">
        <is>
          <t>MUOCOBU Electric Breast Pump , Breast Pump Electric Breastfeeding Pump 3 Mode...</t>
        </is>
      </c>
      <c r="K49" s="25" t="n">
        <v>1</v>
      </c>
      <c r="L49" s="25" t="n"/>
      <c r="M49" s="25" t="n"/>
      <c r="N49" s="25" t="inlineStr">
        <is>
          <t>USD</t>
        </is>
      </c>
      <c r="O49" s="26" t="n">
        <v>39.98</v>
      </c>
      <c r="P49" s="26" t="n">
        <v>39.98</v>
      </c>
      <c r="Q49" s="26" t="n"/>
      <c r="R49" s="26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inlineStr">
        <is>
          <t>AMZ-10</t>
        </is>
      </c>
      <c r="J50" s="25" t="inlineStr">
        <is>
          <t>Simple Joys Baby Boy ' s 6 piece Little Character sets Sleepwear , Green / Gr...</t>
        </is>
      </c>
      <c r="K50" s="25" t="n">
        <v>1</v>
      </c>
      <c r="L50" s="25" t="n"/>
      <c r="M50" s="25" t="n"/>
      <c r="N50" s="25" t="inlineStr">
        <is>
          <t>USD</t>
        </is>
      </c>
      <c r="O50" s="26" t="n">
        <v>19.96</v>
      </c>
      <c r="P50" s="26" t="n">
        <v>19.96</v>
      </c>
      <c r="Q50" s="26" t="n"/>
      <c r="R50" s="26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inlineStr">
        <is>
          <t>AMZ-1</t>
        </is>
      </c>
      <c r="J51" s="25" t="inlineStr">
        <is>
          <t>Onesies Brand Baby Boy ' s 8 - Pack Short Sleeve Mix &amp; tdatch Bodysuits , Gre...</t>
        </is>
      </c>
      <c r="K51" s="25" t="n">
        <v>1</v>
      </c>
      <c r="L51" s="25" t="n"/>
      <c r="M51" s="25" t="n"/>
      <c r="N51" s="25" t="inlineStr">
        <is>
          <t>USD</t>
        </is>
      </c>
      <c r="O51" s="26" t="n">
        <v>18.99</v>
      </c>
      <c r="P51" s="26" t="n">
        <v>18.99</v>
      </c>
      <c r="Q51" s="26" t="n"/>
      <c r="R51" s="26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inlineStr">
        <is>
          <t>AMZ-5</t>
        </is>
      </c>
      <c r="J52" s="25" t="inlineStr">
        <is>
          <t>Onesies Brand Unisex Baby 12 - Piece Cap and Mitten Set , Sayings Board , 0 -...</t>
        </is>
      </c>
      <c r="K52" s="25" t="n">
        <v>1</v>
      </c>
      <c r="L52" s="25" t="n"/>
      <c r="M52" s="25" t="n"/>
      <c r="N52" s="25" t="inlineStr">
        <is>
          <t>USD</t>
        </is>
      </c>
      <c r="O52" s="26" t="n">
        <v>17.99</v>
      </c>
      <c r="P52" s="26" t="n">
        <v>17.99</v>
      </c>
      <c r="Q52" s="26" t="n"/>
      <c r="R52" s="26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inlineStr">
        <is>
          <t>AMZ-7</t>
        </is>
      </c>
      <c r="J53" s="25" t="inlineStr">
        <is>
          <t>Cute Castle Ultra - Soft Baby Washcloths , 16 Pack - 9 " by 9 " , Gentle on S...</t>
        </is>
      </c>
      <c r="K53" s="25" t="n">
        <v>1</v>
      </c>
      <c r="L53" s="25" t="n"/>
      <c r="M53" s="25" t="n"/>
      <c r="N53" s="25" t="inlineStr">
        <is>
          <t>USD</t>
        </is>
      </c>
      <c r="O53" s="26" t="n">
        <v>9.99</v>
      </c>
      <c r="P53" s="26" t="n">
        <v>9.99</v>
      </c>
      <c r="Q53" s="26" t="n"/>
      <c r="R53" s="26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inlineStr">
        <is>
          <t>AMZ-9</t>
        </is>
      </c>
      <c r="J54" s="25" t="inlineStr">
        <is>
          <t>MUOCOBU Electric Breast Pump , Breast Pump Electric Breastfeeding Pump 3 Mode...</t>
        </is>
      </c>
      <c r="K54" s="25" t="n">
        <v>1</v>
      </c>
      <c r="L54" s="25" t="n"/>
      <c r="M54" s="25" t="n"/>
      <c r="N54" s="25" t="inlineStr">
        <is>
          <t>USD</t>
        </is>
      </c>
      <c r="O54" s="26" t="n">
        <v>39.98</v>
      </c>
      <c r="P54" s="26" t="n">
        <v>39.98</v>
      </c>
      <c r="Q54" s="26" t="n"/>
      <c r="R54" s="26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inlineStr">
        <is>
          <t>AMZ-10</t>
        </is>
      </c>
      <c r="J55" s="25" t="inlineStr">
        <is>
          <t>Simple Joys Baby Boy ' s 6 piece Little Character sets Sleepwear , Green / Gr...</t>
        </is>
      </c>
      <c r="K55" s="25" t="n">
        <v>1</v>
      </c>
      <c r="L55" s="25" t="n"/>
      <c r="M55" s="25" t="n"/>
      <c r="N55" s="25" t="inlineStr">
        <is>
          <t>USD</t>
        </is>
      </c>
      <c r="O55" s="26" t="n">
        <v>19.96</v>
      </c>
      <c r="P55" s="26" t="n">
        <v>19.96</v>
      </c>
      <c r="Q55" s="26" t="n"/>
      <c r="R55" s="26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inlineStr">
        <is>
          <t>AMZ-8</t>
        </is>
      </c>
      <c r="J56" s="25" t="inlineStr">
        <is>
          <t>Onesies Brand Unisex Baby 12 - Piece Cap and Mitten Set , stripe , 0 - 6 Months</t>
        </is>
      </c>
      <c r="K56" s="25" t="n">
        <v>1</v>
      </c>
      <c r="L56" s="25" t="n"/>
      <c r="M56" s="25" t="n"/>
      <c r="N56" s="25" t="inlineStr">
        <is>
          <t>USD</t>
        </is>
      </c>
      <c r="O56" s="26" t="n">
        <v>16.99</v>
      </c>
      <c r="P56" s="26" t="n">
        <v>16.99</v>
      </c>
      <c r="Q56" s="26" t="n"/>
      <c r="R56" s="26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3" t="n"/>
      <c r="B57" s="23" t="n"/>
      <c r="C57" s="23" t="n"/>
      <c r="D57" s="23" t="n"/>
      <c r="E57" s="23" t="inlineStr">
        <is>
          <t>In the form of bars, cakes, moulded pieces or shapes, for laundry and othe</t>
        </is>
      </c>
      <c r="F57" s="23" t="inlineStr">
        <is>
          <t>34011910</t>
        </is>
      </c>
      <c r="G57" s="23" t="n"/>
      <c r="H57" s="23" t="n"/>
      <c r="I57" s="23" t="n"/>
      <c r="J57" s="23" t="inlineStr">
        <is>
          <t>Huggies Natural Care Sensitive Baby Wipes , Unscented , Hypoallergenic , 99 %... (+1 more) (2 items)</t>
        </is>
      </c>
      <c r="K57" s="23" t="n">
        <v>2</v>
      </c>
      <c r="L57" s="23" t="n"/>
      <c r="M57" s="23" t="n"/>
      <c r="N57" s="23" t="inlineStr">
        <is>
          <t>USD</t>
        </is>
      </c>
      <c r="O57" s="24" t="n">
        <v>13.7</v>
      </c>
      <c r="P57" s="24" t="n">
        <v>27.4</v>
      </c>
      <c r="Q57" s="24" t="n"/>
      <c r="R57" s="24" t="n"/>
      <c r="S57" s="24" t="n"/>
      <c r="T57" s="24" t="n"/>
      <c r="U57" s="24" t="n"/>
      <c r="V57" s="24" t="n"/>
      <c r="W57" s="24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inlineStr">
        <is>
          <t>AMZ-6</t>
        </is>
      </c>
      <c r="J58" s="25" t="inlineStr">
        <is>
          <t>Huggies Natural Care Sensitive Baby Wipes , Unscented , Hypoallergenic , 99 %...</t>
        </is>
      </c>
      <c r="K58" s="25" t="n">
        <v>1</v>
      </c>
      <c r="L58" s="25" t="n"/>
      <c r="M58" s="25" t="n"/>
      <c r="N58" s="25" t="inlineStr">
        <is>
          <t>USD</t>
        </is>
      </c>
      <c r="O58" s="26" t="n">
        <v>13.7</v>
      </c>
      <c r="P58" s="26" t="n">
        <v>13.7</v>
      </c>
      <c r="Q58" s="26" t="n"/>
      <c r="R58" s="26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inlineStr">
        <is>
          <t>AMZ-6</t>
        </is>
      </c>
      <c r="J59" s="25" t="inlineStr">
        <is>
          <t>Huggies Natural Care Sensitive Baby Wipes , Unscented , Hypoallergenic , 99 %...</t>
        </is>
      </c>
      <c r="K59" s="25" t="n">
        <v>1</v>
      </c>
      <c r="L59" s="25" t="n"/>
      <c r="M59" s="25" t="n"/>
      <c r="N59" s="25" t="inlineStr">
        <is>
          <t>USD</t>
        </is>
      </c>
      <c r="O59" s="26" t="n">
        <v>13.7</v>
      </c>
      <c r="P59" s="26" t="n">
        <v>13.7</v>
      </c>
      <c r="Q59" s="26" t="n"/>
      <c r="R59" s="26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  <row r="60">
      <c r="A60" s="23" t="n"/>
      <c r="B60" s="23" t="n"/>
      <c r="C60" s="23" t="n"/>
      <c r="D60" s="23" t="n"/>
      <c r="E60" s="23" t="inlineStr">
        <is>
          <t>BABY CARE</t>
        </is>
      </c>
      <c r="F60" s="23" t="inlineStr">
        <is>
          <t>96190029</t>
        </is>
      </c>
      <c r="G60" s="23" t="n"/>
      <c r="H60" s="23" t="n"/>
      <c r="I60" s="23" t="n"/>
      <c r="J60" s="23" t="inlineStr">
        <is>
          <t>Huggies Size 1 Diapers , Snug &amp; Dry Newborn Diapers , Size 1 ( 8 - 14 Ibs, 25... (+1 more) (2 items)</t>
        </is>
      </c>
      <c r="K60" s="23" t="n">
        <v>2</v>
      </c>
      <c r="L60" s="23" t="n"/>
      <c r="M60" s="23" t="n"/>
      <c r="N60" s="23" t="inlineStr">
        <is>
          <t>USD</t>
        </is>
      </c>
      <c r="O60" s="24" t="n">
        <v>216.14</v>
      </c>
      <c r="P60" s="24" t="n">
        <v>432.28</v>
      </c>
      <c r="Q60" s="24" t="n"/>
      <c r="R60" s="24" t="n"/>
      <c r="S60" s="24" t="n"/>
      <c r="T60" s="24" t="n"/>
      <c r="U60" s="24" t="n"/>
      <c r="V60" s="24" t="n"/>
      <c r="W60" s="24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inlineStr">
        <is>
          <t>AMZ-12</t>
        </is>
      </c>
      <c r="J61" s="25" t="inlineStr">
        <is>
          <t>Huggies Size 1 Diapers , Snug &amp; Dry Newborn Diapers , Size 1 ( 8 - 14 Ibs, 25...</t>
        </is>
      </c>
      <c r="K61" s="25" t="n">
        <v>1</v>
      </c>
      <c r="L61" s="25" t="n"/>
      <c r="M61" s="25" t="n"/>
      <c r="N61" s="25" t="inlineStr">
        <is>
          <t>USD</t>
        </is>
      </c>
      <c r="O61" s="26" t="n">
        <v>216.14</v>
      </c>
      <c r="P61" s="26" t="n">
        <v>216.14</v>
      </c>
      <c r="Q61" s="26" t="n"/>
      <c r="R61" s="26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inlineStr">
        <is>
          <t>AMZ-12</t>
        </is>
      </c>
      <c r="J62" s="25" t="inlineStr">
        <is>
          <t>Huggies Size 1 Diapers , Snug &amp; Dry Newborn Diapers , Size 1 ( 8 - 14 Ibs, 25...</t>
        </is>
      </c>
      <c r="K62" s="25" t="n">
        <v>1</v>
      </c>
      <c r="L62" s="25" t="n"/>
      <c r="M62" s="25" t="n"/>
      <c r="N62" s="25" t="inlineStr">
        <is>
          <t>USD</t>
        </is>
      </c>
      <c r="O62" s="26" t="n">
        <v>216.14</v>
      </c>
      <c r="P62" s="26" t="n">
        <v>216.14</v>
      </c>
      <c r="Q62" s="26" t="n"/>
      <c r="R62" s="26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</row>
    <row r="63">
      <c r="A63" s="23" t="n"/>
      <c r="B63" s="23" t="n"/>
      <c r="C63" s="23" t="n"/>
      <c r="D63" s="23" t="n"/>
      <c r="E63" s="23" t="inlineStr">
        <is>
          <t>CLOTHING</t>
        </is>
      </c>
      <c r="F63" s="23" t="inlineStr">
        <is>
          <t>61034290</t>
        </is>
      </c>
      <c r="G63" s="23" t="n"/>
      <c r="H63" s="23" t="n"/>
      <c r="I63" s="23" t="n"/>
      <c r="J63" s="23" t="inlineStr">
        <is>
          <t>Gerber Baby Boy ' s 8 - Pack Short Sleeve Onesies Bodysuits , Tiger Green , 3... (+2 more) (3 items)</t>
        </is>
      </c>
      <c r="K63" s="23" t="n">
        <v>3</v>
      </c>
      <c r="L63" s="23" t="n"/>
      <c r="M63" s="23" t="n"/>
      <c r="N63" s="23" t="inlineStr">
        <is>
          <t>USD</t>
        </is>
      </c>
      <c r="O63" s="24" t="n">
        <v>17.98333333333333</v>
      </c>
      <c r="P63" s="24" t="n">
        <v>53.95</v>
      </c>
      <c r="Q63" s="24" t="n"/>
      <c r="R63" s="24" t="n"/>
      <c r="S63" s="24" t="n"/>
      <c r="T63" s="24" t="n"/>
      <c r="U63" s="24" t="n"/>
      <c r="V63" s="24" t="n"/>
      <c r="W63" s="24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inlineStr">
        <is>
          <t>AMZ-2</t>
        </is>
      </c>
      <c r="J64" s="25" t="inlineStr">
        <is>
          <t>Gerber Baby Boy ' s 8 - Pack Short Sleeve Onesies Bodysuits , Tiger Green , 3...</t>
        </is>
      </c>
      <c r="K64" s="25" t="n">
        <v>1</v>
      </c>
      <c r="L64" s="25" t="n"/>
      <c r="M64" s="25" t="n"/>
      <c r="N64" s="25" t="inlineStr">
        <is>
          <t>USD</t>
        </is>
      </c>
      <c r="O64" s="26" t="n">
        <v>21.99</v>
      </c>
      <c r="P64" s="26" t="n">
        <v>21.99</v>
      </c>
      <c r="Q64" s="26" t="n"/>
      <c r="R64" s="26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inlineStr">
        <is>
          <t>AMZ-3</t>
        </is>
      </c>
      <c r="J65" s="25" t="inlineStr">
        <is>
          <t>Simple Joys by Carter ' s Baby Boys ’ 6 - Pack Short - Sleeve Bodysuit , Mult...</t>
        </is>
      </c>
      <c r="K65" s="25" t="n">
        <v>1</v>
      </c>
      <c r="L65" s="25" t="n"/>
      <c r="M65" s="25" t="n"/>
      <c r="N65" s="25" t="inlineStr">
        <is>
          <t>USD</t>
        </is>
      </c>
      <c r="O65" s="26" t="n">
        <v>15.98</v>
      </c>
      <c r="P65" s="26" t="n">
        <v>15.98</v>
      </c>
      <c r="Q65" s="26" t="n"/>
      <c r="R65" s="26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inlineStr">
        <is>
          <t>AMZ-3</t>
        </is>
      </c>
      <c r="J66" s="25" t="inlineStr">
        <is>
          <t>Simple Joys by Carter ' s Baby Boys ’ 6 - Pack Short - Sleeve Bodysuit , Mult...</t>
        </is>
      </c>
      <c r="K66" s="25" t="n">
        <v>1</v>
      </c>
      <c r="L66" s="25" t="n"/>
      <c r="M66" s="25" t="n"/>
      <c r="N66" s="25" t="inlineStr">
        <is>
          <t>USD</t>
        </is>
      </c>
      <c r="O66" s="26" t="n">
        <v>15.98</v>
      </c>
      <c r="P66" s="26" t="n">
        <v>15.98</v>
      </c>
      <c r="Q66" s="26" t="n"/>
      <c r="R66" s="26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inlineStr">
        <is>
          <t>REFERENCE SUBTOTAL</t>
        </is>
      </c>
      <c r="K67" s="27" t="n"/>
      <c r="L67" s="27" t="n"/>
      <c r="M67" s="27" t="n"/>
      <c r="N67" s="27" t="n"/>
      <c r="O67" s="27" t="n"/>
      <c r="P67" s="28" t="n">
        <v>910.5100000000001</v>
      </c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inlineStr">
        <is>
          <t>REFERENCE FREIGHT</t>
        </is>
      </c>
      <c r="K68" s="27" t="n"/>
      <c r="L68" s="27" t="n"/>
      <c r="M68" s="27" t="n"/>
      <c r="N68" s="27" t="n"/>
      <c r="O68" s="27" t="n"/>
      <c r="P68" s="28" t="n">
        <v>71</v>
      </c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inlineStr">
        <is>
          <t>REFERENCE INSURANCE</t>
        </is>
      </c>
      <c r="K69" s="27" t="n"/>
      <c r="L69" s="27" t="n"/>
      <c r="M69" s="27" t="n"/>
      <c r="N69" s="27" t="n"/>
      <c r="O69" s="27" t="n"/>
      <c r="P69" s="28" t="n">
        <v>0</v>
      </c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inlineStr">
        <is>
          <t>REFERENCE OTHER COST</t>
        </is>
      </c>
      <c r="K70" s="27" t="n"/>
      <c r="L70" s="27" t="n"/>
      <c r="M70" s="27" t="n"/>
      <c r="N70" s="27" t="n"/>
      <c r="O70" s="27" t="n"/>
      <c r="P70" s="28" t="n">
        <v>1.52</v>
      </c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inlineStr">
        <is>
          <t>REFERENCE DEDUCTION</t>
        </is>
      </c>
      <c r="K71" s="27" t="n"/>
      <c r="L71" s="27" t="n"/>
      <c r="M71" s="27" t="n"/>
      <c r="N71" s="27" t="n"/>
      <c r="O71" s="27" t="n"/>
      <c r="P71" s="28" t="n">
        <v>0</v>
      </c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inlineStr">
        <is>
          <t>REFERENCE ADJUSTMENTS</t>
        </is>
      </c>
      <c r="K72" s="27" t="n"/>
      <c r="L72" s="27" t="n"/>
      <c r="M72" s="27" t="n"/>
      <c r="N72" s="27" t="n"/>
      <c r="O72" s="27" t="n"/>
      <c r="P72" s="28">
        <f>P68+P69+P70-P71</f>
        <v/>
      </c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inlineStr">
        <is>
          <t>REFERENCE NET TOTAL</t>
        </is>
      </c>
      <c r="K73" s="27" t="n"/>
      <c r="L73" s="27" t="n"/>
      <c r="M73" s="27" t="n"/>
      <c r="N73" s="27" t="n"/>
      <c r="O73" s="27" t="n"/>
      <c r="P73" s="28">
        <f>P67+P72</f>
        <v/>
      </c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inlineStr">
        <is>
          <t>COMBINED ITEMS TOTAL</t>
        </is>
      </c>
      <c r="K75" s="27" t="n"/>
      <c r="L75" s="27" t="n"/>
      <c r="M75" s="27" t="n"/>
      <c r="N75" s="27" t="n"/>
      <c r="O75" s="27" t="n"/>
      <c r="P75" s="28">
        <f>P7+P67</f>
        <v/>
      </c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inlineStr">
        <is>
          <t>FULL INVOICE FREIGHT</t>
        </is>
      </c>
      <c r="K76" s="27" t="n"/>
      <c r="L76" s="27" t="n"/>
      <c r="M76" s="27" t="n"/>
      <c r="N76" s="27" t="n"/>
      <c r="O76" s="27" t="n"/>
      <c r="P76" s="28">
        <f>P11+P68</f>
        <v/>
      </c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inlineStr">
        <is>
          <t>FULL INVOICE INSURANCE</t>
        </is>
      </c>
      <c r="K77" s="27" t="n"/>
      <c r="L77" s="27" t="n"/>
      <c r="M77" s="27" t="n"/>
      <c r="N77" s="27" t="n"/>
      <c r="O77" s="27" t="n"/>
      <c r="P77" s="28">
        <f>P12+P69</f>
        <v/>
      </c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inlineStr">
        <is>
          <t>FULL INVOICE OTHER COST</t>
        </is>
      </c>
      <c r="K78" s="27" t="n"/>
      <c r="L78" s="27" t="n"/>
      <c r="M78" s="27" t="n"/>
      <c r="N78" s="27" t="n"/>
      <c r="O78" s="27" t="n"/>
      <c r="P78" s="28">
        <f>P13+P70</f>
        <v/>
      </c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inlineStr">
        <is>
          <t>FULL INVOICE DEDUCTION</t>
        </is>
      </c>
      <c r="K79" s="27" t="n"/>
      <c r="L79" s="27" t="n"/>
      <c r="M79" s="27" t="n"/>
      <c r="N79" s="27" t="n"/>
      <c r="O79" s="27" t="n"/>
      <c r="P79" s="28">
        <f>P14+P71</f>
        <v/>
      </c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inlineStr">
        <is>
          <t>FULL ADJUSTMENTS</t>
        </is>
      </c>
      <c r="K80" s="27" t="n"/>
      <c r="L80" s="27" t="n"/>
      <c r="M80" s="27" t="n"/>
      <c r="N80" s="27" t="n"/>
      <c r="O80" s="27" t="n"/>
      <c r="P80" s="28">
        <f>P76+P77+P78-P79</f>
        <v/>
      </c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inlineStr">
        <is>
          <t>COMBINED NET TOTAL</t>
        </is>
      </c>
      <c r="K81" s="27" t="n"/>
      <c r="L81" s="27" t="n"/>
      <c r="M81" s="27" t="n"/>
      <c r="N81" s="27" t="n"/>
      <c r="O81" s="27" t="n"/>
      <c r="P81" s="28">
        <f>P75+P80</f>
        <v/>
      </c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inlineStr">
        <is>
          <t>FULL INVOICE TOTAL</t>
        </is>
      </c>
      <c r="K82" s="27" t="n"/>
      <c r="L82" s="27" t="n"/>
      <c r="M82" s="27" t="n"/>
      <c r="N82" s="27" t="n"/>
      <c r="O82" s="27" t="n"/>
      <c r="P82" s="28" t="n">
        <v>1121.16</v>
      </c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inlineStr">
        <is>
          <t>COMBINED VARIANCE CHECK</t>
        </is>
      </c>
      <c r="K83" s="27" t="n"/>
      <c r="L83" s="27" t="n"/>
      <c r="M83" s="27" t="n"/>
      <c r="N83" s="27" t="n"/>
      <c r="O83" s="27" t="n"/>
      <c r="P83" s="28">
        <f>P82-P81</f>
        <v/>
      </c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2026-04-25T23:17:46Z</dcterms:created>
  <dcterms:modified xmlns:dcterms="http://purl.org/dc/terms/" xmlns:xsi="http://www.w3.org/2001/XMLSchema-instance" xsi:type="dcterms:W3CDTF">2026-04-25T23:17:46Z</dcterms:modified>
</cp:coreProperties>
</file>