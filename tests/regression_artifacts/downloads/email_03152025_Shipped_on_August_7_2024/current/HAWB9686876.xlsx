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112-8635667-8526641</t>
        </is>
      </c>
      <c r="D2" s="2" t="inlineStr"/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Onesies Brand Baby Boy ' s 8 - Pack Short Sleeve Mix &amp; tdatch Bodysuits , Gre... (+10 more) (11 items)</t>
        </is>
      </c>
      <c r="K2" s="2" t="n">
        <v>11</v>
      </c>
      <c r="L2" s="2" t="n"/>
      <c r="M2" s="2" t="inlineStr"/>
      <c r="N2" s="2" t="inlineStr">
        <is>
          <t>USD</t>
        </is>
      </c>
      <c r="O2" s="3" t="n">
        <v>25.80090909090909</v>
      </c>
      <c r="P2" s="3" t="n">
        <v>283.81</v>
      </c>
      <c r="Q2" s="3">
        <f>O2*K2</f>
        <v/>
      </c>
      <c r="R2" s="3">
        <f>P2-Q2</f>
        <v/>
      </c>
      <c r="S2" s="3" t="n">
        <v>641.66</v>
      </c>
      <c r="T2" s="3" t="n">
        <v>57</v>
      </c>
      <c r="U2" s="3" t="n">
        <v>0</v>
      </c>
      <c r="V2" s="3" t="n">
        <v>0.98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AMZ-1</t>
        </is>
      </c>
      <c r="J3" s="4" t="inlineStr">
        <is>
          <t>Onesies Brand Baby Boy ' s 8 - Pack Short Sleeve Mix &amp; tdatch Bodysuits , Gre...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18.99</v>
      </c>
      <c r="P3" s="5" t="n">
        <v>18.99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AMZ-4</t>
        </is>
      </c>
      <c r="J4" s="4" t="inlineStr">
        <is>
          <t>Wearable Breast Pump Hands Free Breast Pump 12 Levels 3 Modes Electric Breast...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62.99</v>
      </c>
      <c r="P4" s="5" t="n">
        <v>62.99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AMZ-5</t>
        </is>
      </c>
      <c r="J5" s="4" t="inlineStr">
        <is>
          <t>Onesies Brand Unisex Baby 12 - Piece Cap and Mitten Set , Sayings Board , 0 -...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17.99</v>
      </c>
      <c r="P5" s="5" t="n">
        <v>17.99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00000000</t>
        </is>
      </c>
      <c r="G6" s="4" t="n"/>
      <c r="H6" s="4" t="n"/>
      <c r="I6" s="4" t="inlineStr">
        <is>
          <t>AMZ-8</t>
        </is>
      </c>
      <c r="J6" s="4" t="inlineStr">
        <is>
          <t>Onesies Brand Unisex Baby 12 - Piece Cap and Mitten Set , stripe , 0 - 6 Months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16.99</v>
      </c>
      <c r="P6" s="5" t="n">
        <v>16.99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inlineStr">
        <is>
          <t>00000000</t>
        </is>
      </c>
      <c r="G7" s="4" t="n"/>
      <c r="H7" s="4" t="n"/>
      <c r="I7" s="4" t="inlineStr">
        <is>
          <t>AMZ-9</t>
        </is>
      </c>
      <c r="J7" s="4" t="inlineStr">
        <is>
          <t>MUOCOBU Electric Breast Pump , Breast Pump Electric Breastfeeding Pump 3 Mode...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39.98</v>
      </c>
      <c r="P7" s="5" t="n">
        <v>39.98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inlineStr">
        <is>
          <t>00000000</t>
        </is>
      </c>
      <c r="G8" s="4" t="n"/>
      <c r="H8" s="4" t="n"/>
      <c r="I8" s="4" t="inlineStr">
        <is>
          <t>AMZ-10</t>
        </is>
      </c>
      <c r="J8" s="4" t="inlineStr">
        <is>
          <t>Simple Joys Baby Boy ' s 6 piece Little Character sets Sleepwear , Green / Gr...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19.96</v>
      </c>
      <c r="P8" s="5" t="n">
        <v>19.96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n"/>
      <c r="B9" s="4" t="n"/>
      <c r="C9" s="4" t="n"/>
      <c r="D9" s="4" t="n"/>
      <c r="E9" s="4" t="n"/>
      <c r="F9" s="4" t="inlineStr">
        <is>
          <t>00000000</t>
        </is>
      </c>
      <c r="G9" s="4" t="n"/>
      <c r="H9" s="4" t="n"/>
      <c r="I9" s="4" t="inlineStr">
        <is>
          <t>AMZ-1</t>
        </is>
      </c>
      <c r="J9" s="4" t="inlineStr">
        <is>
          <t>Onesies Brand Baby Boy ' s 8 - Pack Short Sleeve Mix &amp; tdatch Bodysuits , Gre...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18.99</v>
      </c>
      <c r="P9" s="5" t="n">
        <v>18.99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4" t="n"/>
      <c r="B10" s="4" t="n"/>
      <c r="C10" s="4" t="n"/>
      <c r="D10" s="4" t="n"/>
      <c r="E10" s="4" t="n"/>
      <c r="F10" s="4" t="inlineStr">
        <is>
          <t>00000000</t>
        </is>
      </c>
      <c r="G10" s="4" t="n"/>
      <c r="H10" s="4" t="n"/>
      <c r="I10" s="4" t="inlineStr">
        <is>
          <t>AMZ-5</t>
        </is>
      </c>
      <c r="J10" s="4" t="inlineStr">
        <is>
          <t>Onesies Brand Unisex Baby 12 - Piece Cap and Mitten Set , Sayings Board , 0 -...</t>
        </is>
      </c>
      <c r="K10" s="4" t="n">
        <v>1</v>
      </c>
      <c r="L10" s="4" t="n"/>
      <c r="M10" s="4" t="inlineStr"/>
      <c r="N10" s="4" t="inlineStr">
        <is>
          <t>USD</t>
        </is>
      </c>
      <c r="O10" s="5" t="n">
        <v>17.99</v>
      </c>
      <c r="P10" s="5" t="n">
        <v>17.99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4" t="n"/>
      <c r="B11" s="4" t="n"/>
      <c r="C11" s="4" t="n"/>
      <c r="D11" s="4" t="n"/>
      <c r="E11" s="4" t="n"/>
      <c r="F11" s="4" t="inlineStr">
        <is>
          <t>00000000</t>
        </is>
      </c>
      <c r="G11" s="4" t="n"/>
      <c r="H11" s="4" t="n"/>
      <c r="I11" s="4" t="inlineStr">
        <is>
          <t>AMZ-7</t>
        </is>
      </c>
      <c r="J11" s="4" t="inlineStr">
        <is>
          <t>Cute Castle Ultra - Soft Baby Washcloths , 16 Pack - 9 " by 9 " , Gentle on S...</t>
        </is>
      </c>
      <c r="K11" s="4" t="n">
        <v>1</v>
      </c>
      <c r="L11" s="4" t="n"/>
      <c r="M11" s="4" t="inlineStr"/>
      <c r="N11" s="4" t="inlineStr">
        <is>
          <t>USD</t>
        </is>
      </c>
      <c r="O11" s="5" t="n">
        <v>9.99</v>
      </c>
      <c r="P11" s="5" t="n">
        <v>9.99</v>
      </c>
      <c r="Q11" s="5">
        <f>O11*K11</f>
        <v/>
      </c>
      <c r="R11" s="5">
        <f>P11-Q11</f>
        <v/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s="4" t="n"/>
      <c r="B12" s="4" t="n"/>
      <c r="C12" s="4" t="n"/>
      <c r="D12" s="4" t="n"/>
      <c r="E12" s="4" t="n"/>
      <c r="F12" s="4" t="inlineStr">
        <is>
          <t>00000000</t>
        </is>
      </c>
      <c r="G12" s="4" t="n"/>
      <c r="H12" s="4" t="n"/>
      <c r="I12" s="4" t="inlineStr">
        <is>
          <t>AMZ-9</t>
        </is>
      </c>
      <c r="J12" s="4" t="inlineStr">
        <is>
          <t>MUOCOBU Electric Breast Pump , Breast Pump Electric Breastfeeding Pump 3 Mode...</t>
        </is>
      </c>
      <c r="K12" s="4" t="n">
        <v>1</v>
      </c>
      <c r="L12" s="4" t="n"/>
      <c r="M12" s="4" t="inlineStr"/>
      <c r="N12" s="4" t="inlineStr">
        <is>
          <t>USD</t>
        </is>
      </c>
      <c r="O12" s="5" t="n">
        <v>39.98</v>
      </c>
      <c r="P12" s="5" t="n">
        <v>39.98</v>
      </c>
      <c r="Q12" s="5">
        <f>O12*K12</f>
        <v/>
      </c>
      <c r="R12" s="5">
        <f>P12-Q12</f>
        <v/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4" t="n"/>
      <c r="B13" s="4" t="n"/>
      <c r="C13" s="4" t="n"/>
      <c r="D13" s="4" t="n"/>
      <c r="E13" s="4" t="n"/>
      <c r="F13" s="4" t="inlineStr">
        <is>
          <t>00000000</t>
        </is>
      </c>
      <c r="G13" s="4" t="n"/>
      <c r="H13" s="4" t="n"/>
      <c r="I13" s="4" t="inlineStr">
        <is>
          <t>AMZ-10</t>
        </is>
      </c>
      <c r="J13" s="4" t="inlineStr">
        <is>
          <t>Simple Joys Baby Boy ' s 6 piece Little Character sets Sleepwear , Green / Gr...</t>
        </is>
      </c>
      <c r="K13" s="4" t="n">
        <v>1</v>
      </c>
      <c r="L13" s="4" t="n"/>
      <c r="M13" s="4" t="inlineStr"/>
      <c r="N13" s="4" t="inlineStr">
        <is>
          <t>USD</t>
        </is>
      </c>
      <c r="O13" s="5" t="n">
        <v>19.96</v>
      </c>
      <c r="P13" s="5" t="n">
        <v>19.96</v>
      </c>
      <c r="Q13" s="5">
        <f>O13*K13</f>
        <v/>
      </c>
      <c r="R13" s="5">
        <f>P13-Q13</f>
        <v/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>
      <c r="A14" s="2" t="n"/>
      <c r="B14" s="2" t="inlineStr"/>
      <c r="C14" s="2" t="inlineStr">
        <is>
          <t>112-8635667-8526641</t>
        </is>
      </c>
      <c r="D14" s="2" t="inlineStr"/>
      <c r="E14" s="2" t="inlineStr">
        <is>
          <t>SOAP &amp; BODY WASH</t>
        </is>
      </c>
      <c r="F14" s="2" t="inlineStr">
        <is>
          <t>34011910</t>
        </is>
      </c>
      <c r="G14" s="2" t="inlineStr"/>
      <c r="H14" s="2" t="inlineStr"/>
      <c r="I14" s="2" t="inlineStr">
        <is>
          <t>34011910</t>
        </is>
      </c>
      <c r="J14" s="2" t="inlineStr">
        <is>
          <t>Huggies Natural Care Sensitive Baby Wipes , Unscented , Hypoallergenic , 99 %... (1 items)</t>
        </is>
      </c>
      <c r="K14" s="2" t="n">
        <v>1</v>
      </c>
      <c r="L14" s="2" t="n"/>
      <c r="M14" s="2" t="inlineStr"/>
      <c r="N14" s="2" t="inlineStr">
        <is>
          <t>USD</t>
        </is>
      </c>
      <c r="O14" s="3" t="n">
        <v>13.7</v>
      </c>
      <c r="P14" s="3" t="n">
        <v>13.7</v>
      </c>
      <c r="Q14" s="3">
        <f>O14*K14</f>
        <v/>
      </c>
      <c r="R14" s="3">
        <f>P14-Q14</f>
        <v/>
      </c>
      <c r="S14" s="3" t="n"/>
      <c r="T14" s="3" t="n"/>
      <c r="U14" s="3" t="n"/>
      <c r="V14" s="3" t="n"/>
      <c r="W14" s="3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inlineStr">
        <is>
          <t>34011910</t>
        </is>
      </c>
    </row>
    <row r="15">
      <c r="A15" s="4" t="n"/>
      <c r="B15" s="4" t="n"/>
      <c r="C15" s="4" t="n"/>
      <c r="D15" s="4" t="n"/>
      <c r="E15" s="4" t="n"/>
      <c r="F15" s="4" t="inlineStr">
        <is>
          <t>34011910</t>
        </is>
      </c>
      <c r="G15" s="4" t="n"/>
      <c r="H15" s="4" t="n"/>
      <c r="I15" s="4" t="inlineStr">
        <is>
          <t>AMZ-6</t>
        </is>
      </c>
      <c r="J15" s="4" t="inlineStr">
        <is>
          <t>Huggies Natural Care Sensitive Baby Wipes , Unscented , Hypoallergenic , 99 %...</t>
        </is>
      </c>
      <c r="K15" s="4" t="n">
        <v>1</v>
      </c>
      <c r="L15" s="4" t="n"/>
      <c r="M15" s="4" t="inlineStr"/>
      <c r="N15" s="4" t="inlineStr">
        <is>
          <t>USD</t>
        </is>
      </c>
      <c r="O15" s="5" t="n">
        <v>13.7</v>
      </c>
      <c r="P15" s="5" t="n">
        <v>13.7</v>
      </c>
      <c r="Q15" s="5">
        <f>O15*K15</f>
        <v/>
      </c>
      <c r="R15" s="5">
        <f>P15-Q15</f>
        <v/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s="2" t="n"/>
      <c r="B16" s="2" t="inlineStr"/>
      <c r="C16" s="2" t="inlineStr">
        <is>
          <t>112-8635667-8526641</t>
        </is>
      </c>
      <c r="D16" s="2" t="inlineStr"/>
      <c r="E16" s="2" t="inlineStr">
        <is>
          <t>BABY CARE</t>
        </is>
      </c>
      <c r="F16" s="2" t="inlineStr">
        <is>
          <t>96190029</t>
        </is>
      </c>
      <c r="G16" s="2" t="inlineStr"/>
      <c r="H16" s="2" t="inlineStr"/>
      <c r="I16" s="2" t="inlineStr">
        <is>
          <t>96190029</t>
        </is>
      </c>
      <c r="J16" s="2" t="inlineStr">
        <is>
          <t>Huggies Size 1 Diapers , Snug &amp; Dry Newborn Diapers , Size 1 ( 8 - 14 Ibs, 25... (1 items)</t>
        </is>
      </c>
      <c r="K16" s="2" t="n">
        <v>1</v>
      </c>
      <c r="L16" s="2" t="n"/>
      <c r="M16" s="2" t="inlineStr"/>
      <c r="N16" s="2" t="inlineStr">
        <is>
          <t>USD</t>
        </is>
      </c>
      <c r="O16" s="3" t="n">
        <v>216.14</v>
      </c>
      <c r="P16" s="3" t="n">
        <v>216.14</v>
      </c>
      <c r="Q16" s="3">
        <f>O16*K16</f>
        <v/>
      </c>
      <c r="R16" s="3">
        <f>P16-Q16</f>
        <v/>
      </c>
      <c r="S16" s="3" t="n"/>
      <c r="T16" s="3" t="n"/>
      <c r="U16" s="3" t="n"/>
      <c r="V16" s="3" t="n"/>
      <c r="W16" s="3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inlineStr">
        <is>
          <t>96190029</t>
        </is>
      </c>
    </row>
    <row r="17">
      <c r="A17" s="4" t="n"/>
      <c r="B17" s="4" t="n"/>
      <c r="C17" s="4" t="n"/>
      <c r="D17" s="4" t="n"/>
      <c r="E17" s="4" t="n"/>
      <c r="F17" s="4" t="inlineStr">
        <is>
          <t>96190029</t>
        </is>
      </c>
      <c r="G17" s="4" t="n"/>
      <c r="H17" s="4" t="n"/>
      <c r="I17" s="4" t="inlineStr">
        <is>
          <t>AMZ-12</t>
        </is>
      </c>
      <c r="J17" s="4" t="inlineStr">
        <is>
          <t>Huggies Size 1 Diapers , Snug &amp; Dry Newborn Diapers , Size 1 ( 8 - 14 Ibs, 25...</t>
        </is>
      </c>
      <c r="K17" s="4" t="n">
        <v>1</v>
      </c>
      <c r="L17" s="4" t="n"/>
      <c r="M17" s="4" t="inlineStr"/>
      <c r="N17" s="4" t="inlineStr">
        <is>
          <t>USD</t>
        </is>
      </c>
      <c r="O17" s="5" t="n">
        <v>216.14</v>
      </c>
      <c r="P17" s="5" t="n">
        <v>216.14</v>
      </c>
      <c r="Q17" s="5">
        <f>O17*K17</f>
        <v/>
      </c>
      <c r="R17" s="5">
        <f>P17-Q17</f>
        <v/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s="2" t="n"/>
      <c r="B18" s="2" t="inlineStr"/>
      <c r="C18" s="2" t="inlineStr">
        <is>
          <t>112-8635667-8526641</t>
        </is>
      </c>
      <c r="D18" s="2" t="inlineStr"/>
      <c r="E18" s="2" t="inlineStr">
        <is>
          <t>CLOTHING</t>
        </is>
      </c>
      <c r="F18" s="2" t="inlineStr">
        <is>
          <t>61034290</t>
        </is>
      </c>
      <c r="G18" s="2" t="inlineStr"/>
      <c r="H18" s="2" t="inlineStr"/>
      <c r="I18" s="2" t="inlineStr">
        <is>
          <t>61034290</t>
        </is>
      </c>
      <c r="J18" s="2" t="inlineStr">
        <is>
          <t>Gerber Baby Boy ' s 8 - Pack Short Sleeve Onesies Bodysuits , Tiger Green , 3... (1 items)</t>
        </is>
      </c>
      <c r="K18" s="2" t="n">
        <v>1</v>
      </c>
      <c r="L18" s="2" t="n"/>
      <c r="M18" s="2" t="inlineStr"/>
      <c r="N18" s="2" t="inlineStr">
        <is>
          <t>USD</t>
        </is>
      </c>
      <c r="O18" s="3" t="n">
        <v>21.99</v>
      </c>
      <c r="P18" s="3" t="n">
        <v>21.99</v>
      </c>
      <c r="Q18" s="3">
        <f>O18*K18</f>
        <v/>
      </c>
      <c r="R18" s="3">
        <f>P18-Q18</f>
        <v/>
      </c>
      <c r="S18" s="3" t="n"/>
      <c r="T18" s="3" t="n"/>
      <c r="U18" s="3" t="n"/>
      <c r="V18" s="3" t="n"/>
      <c r="W18" s="3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inlineStr">
        <is>
          <t>61034290</t>
        </is>
      </c>
    </row>
    <row r="19">
      <c r="A19" s="4" t="n"/>
      <c r="B19" s="4" t="n"/>
      <c r="C19" s="4" t="n"/>
      <c r="D19" s="4" t="n"/>
      <c r="E19" s="4" t="n"/>
      <c r="F19" s="4" t="inlineStr">
        <is>
          <t>61034290</t>
        </is>
      </c>
      <c r="G19" s="4" t="n"/>
      <c r="H19" s="4" t="n"/>
      <c r="I19" s="4" t="inlineStr">
        <is>
          <t>AMZ-2</t>
        </is>
      </c>
      <c r="J19" s="4" t="inlineStr">
        <is>
          <t>Gerber Baby Boy ' s 8 - Pack Short Sleeve Onesies Bodysuits , Tiger Green , 3...</t>
        </is>
      </c>
      <c r="K19" s="4" t="n">
        <v>1</v>
      </c>
      <c r="L19" s="4" t="n"/>
      <c r="M19" s="4" t="inlineStr"/>
      <c r="N19" s="4" t="inlineStr">
        <is>
          <t>USD</t>
        </is>
      </c>
      <c r="O19" s="5" t="n">
        <v>21.99</v>
      </c>
      <c r="P19" s="5" t="n">
        <v>21.99</v>
      </c>
      <c r="Q19" s="5">
        <f>O19*K19</f>
        <v/>
      </c>
      <c r="R19" s="5">
        <f>P19-Q19</f>
        <v/>
      </c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2" t="n"/>
      <c r="B20" s="2" t="inlineStr"/>
      <c r="C20" s="2" t="inlineStr">
        <is>
          <t>112-8635667-8526641</t>
        </is>
      </c>
      <c r="D20" s="2" t="inlineStr"/>
      <c r="E20" s="2" t="inlineStr">
        <is>
          <t>BAGS &amp; LUGGAGE</t>
        </is>
      </c>
      <c r="F20" s="2" t="inlineStr">
        <is>
          <t>42029200</t>
        </is>
      </c>
      <c r="G20" s="2" t="inlineStr"/>
      <c r="H20" s="2" t="inlineStr"/>
      <c r="I20" s="2" t="inlineStr">
        <is>
          <t>42029200</t>
        </is>
      </c>
      <c r="J20" s="2" t="inlineStr">
        <is>
          <t>strom Large Diaper Bag , 29 L - 45 L Expandable Diaper Bag Backpack for 2 Kid... (1 items)</t>
        </is>
      </c>
      <c r="K20" s="2" t="n">
        <v>1</v>
      </c>
      <c r="L20" s="2" t="n"/>
      <c r="M20" s="2" t="inlineStr"/>
      <c r="N20" s="2" t="inlineStr">
        <is>
          <t>USD</t>
        </is>
      </c>
      <c r="O20" s="3" t="n">
        <v>48.04</v>
      </c>
      <c r="P20" s="3" t="n">
        <v>48.04</v>
      </c>
      <c r="Q20" s="3">
        <f>O20*K20</f>
        <v/>
      </c>
      <c r="R20" s="3">
        <f>P20-Q20</f>
        <v/>
      </c>
      <c r="S20" s="3" t="n"/>
      <c r="T20" s="3" t="n"/>
      <c r="U20" s="3" t="n"/>
      <c r="V20" s="3" t="n"/>
      <c r="W20" s="3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inlineStr">
        <is>
          <t>42029200</t>
        </is>
      </c>
    </row>
    <row r="21">
      <c r="A21" s="4" t="n"/>
      <c r="B21" s="4" t="n"/>
      <c r="C21" s="4" t="n"/>
      <c r="D21" s="4" t="n"/>
      <c r="E21" s="4" t="n"/>
      <c r="F21" s="4" t="inlineStr">
        <is>
          <t>42029200</t>
        </is>
      </c>
      <c r="G21" s="4" t="n"/>
      <c r="H21" s="4" t="n"/>
      <c r="I21" s="4" t="inlineStr">
        <is>
          <t>AMZ-11</t>
        </is>
      </c>
      <c r="J21" s="4" t="inlineStr">
        <is>
          <t>strom Large Diaper Bag , 29 L - 45 L Expandable Diaper Bag Backpack for 2 Kid...</t>
        </is>
      </c>
      <c r="K21" s="4" t="n">
        <v>1</v>
      </c>
      <c r="L21" s="4" t="n"/>
      <c r="M21" s="4" t="inlineStr"/>
      <c r="N21" s="4" t="inlineStr">
        <is>
          <t>USD</t>
        </is>
      </c>
      <c r="O21" s="5" t="n">
        <v>48.04</v>
      </c>
      <c r="P21" s="5" t="n">
        <v>48.04</v>
      </c>
      <c r="Q21" s="5">
        <f>O21*K21</f>
        <v/>
      </c>
      <c r="R21" s="5">
        <f>P21-Q21</f>
        <v/>
      </c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SUBTOTAL (GROUPED)</t>
        </is>
      </c>
      <c r="K22" s="6" t="n"/>
      <c r="L22" s="6" t="n"/>
      <c r="M22" s="6" t="n"/>
      <c r="N22" s="6" t="n"/>
      <c r="O22" s="6" t="n"/>
      <c r="P22" s="7">
        <f>P2+P14+P16+P18+P20</f>
        <v/>
      </c>
      <c r="Q22" s="7">
        <f>Q2+Q14+Q16+Q18+Q20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SUBTOTAL (DETAILS)</t>
        </is>
      </c>
      <c r="K23" s="6" t="n"/>
      <c r="L23" s="6" t="n"/>
      <c r="M23" s="6" t="n"/>
      <c r="N23" s="6" t="n"/>
      <c r="O23" s="6" t="n"/>
      <c r="P23" s="7">
        <f>SUM(P2:P21)-P22</f>
        <v/>
      </c>
      <c r="Q23" s="7">
        <f>SUM(Q2:Q21)-Q22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inlineStr">
        <is>
          <t>GROUP VERIFICATION</t>
        </is>
      </c>
      <c r="K24" s="8" t="n"/>
      <c r="L24" s="8" t="n"/>
      <c r="M24" s="8" t="n"/>
      <c r="N24" s="8" t="n"/>
      <c r="O24" s="8" t="n"/>
      <c r="P24" s="9">
        <f>P22-P23</f>
        <v/>
      </c>
      <c r="Q24" s="9">
        <f>Q22-Q23</f>
        <v/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</row>
    <row r="25"/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inlineStr">
        <is>
          <t>TOTAL INTERNAL FREIGHT</t>
        </is>
      </c>
      <c r="K26" s="6" t="n"/>
      <c r="L26" s="6" t="n"/>
      <c r="M26" s="6" t="n"/>
      <c r="N26" s="6" t="n"/>
      <c r="O26" s="6" t="n"/>
      <c r="P26" s="7" t="n">
        <v>57</v>
      </c>
      <c r="Q26" s="7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inlineStr">
        <is>
          <t>TOTAL INSURANCE</t>
        </is>
      </c>
      <c r="K27" s="6" t="n"/>
      <c r="L27" s="6" t="n"/>
      <c r="M27" s="6" t="n"/>
      <c r="N27" s="6" t="n"/>
      <c r="O27" s="6" t="n"/>
      <c r="P27" s="7" t="n">
        <v>0</v>
      </c>
      <c r="Q27" s="7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inlineStr">
        <is>
          <t>TOTAL OTHER COST</t>
        </is>
      </c>
      <c r="K28" s="6" t="n"/>
      <c r="L28" s="6" t="n"/>
      <c r="M28" s="6" t="n"/>
      <c r="N28" s="6" t="n"/>
      <c r="O28" s="6" t="n"/>
      <c r="P28" s="7" t="n">
        <v>0.98</v>
      </c>
      <c r="Q28" s="7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inlineStr">
        <is>
          <t>TOTAL DEDUCTION</t>
        </is>
      </c>
      <c r="K29" s="6" t="n"/>
      <c r="L29" s="6" t="n"/>
      <c r="M29" s="6" t="n"/>
      <c r="N29" s="6" t="n"/>
      <c r="O29" s="6" t="n"/>
      <c r="P29" s="7" t="n">
        <v>0</v>
      </c>
      <c r="Q29" s="7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inlineStr">
        <is>
          <t>ADJUSTMENTS</t>
        </is>
      </c>
      <c r="K30" s="6" t="n"/>
      <c r="L30" s="6" t="n"/>
      <c r="M30" s="6" t="n"/>
      <c r="N30" s="6" t="n"/>
      <c r="O30" s="6" t="n"/>
      <c r="P30" s="7">
        <f>(T2+U2+V2-W2)</f>
        <v/>
      </c>
      <c r="Q30" s="7">
        <f>(T2+U2+V2-W2)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/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NET TOTAL</t>
        </is>
      </c>
      <c r="K32" s="6" t="n"/>
      <c r="L32" s="6" t="n"/>
      <c r="M32" s="6" t="n"/>
      <c r="N32" s="6" t="n"/>
      <c r="O32" s="6" t="n"/>
      <c r="P32" s="7">
        <f>P22+P30</f>
        <v/>
      </c>
      <c r="Q32" s="7">
        <f>Q22+Q30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inlineStr">
        <is>
          <t>INVOICE TOTAL</t>
        </is>
      </c>
      <c r="K33" s="6" t="n"/>
      <c r="L33" s="6" t="n"/>
      <c r="M33" s="6" t="n"/>
      <c r="N33" s="6" t="n"/>
      <c r="O33" s="6" t="n"/>
      <c r="P33" s="7">
        <f>S2</f>
        <v/>
      </c>
      <c r="Q33" s="7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/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inlineStr">
        <is>
          <t>VARIANCE CHECK</t>
        </is>
      </c>
      <c r="K35" s="10" t="n"/>
      <c r="L35" s="10" t="n"/>
      <c r="M35" s="10" t="n"/>
      <c r="N35" s="10" t="n"/>
      <c r="O35" s="10" t="n"/>
      <c r="P35" s="11">
        <f>S2-P32</f>
        <v/>
      </c>
      <c r="Q35" s="11">
        <f>S2-Q32</f>
        <v/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</row>
    <row r="36"/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3" t="inlineStr">
        <is>
          <t>INVOICE NOTES: Structural item count mismatch: 20 price lines found between section markers but 12 items extracted</t>
        </is>
      </c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</row>
    <row r="38"/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inlineStr">
        <is>
          <t>DUTY ESTIMATION (Classification Cross-Check)</t>
        </is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inlineStr">
        <is>
          <t>CIF (USD) = InvTotal + Freight + Insurance</t>
        </is>
      </c>
      <c r="K40" s="15" t="n"/>
      <c r="L40" s="15" t="n"/>
      <c r="M40" s="15" t="n"/>
      <c r="N40" s="15" t="n"/>
      <c r="O40" s="15" t="n"/>
      <c r="P40" s="17" t="n">
        <v>698.66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inlineStr">
        <is>
          <t>CIF (XCD) = CIF × 2.7169</t>
        </is>
      </c>
      <c r="K41" s="15" t="n"/>
      <c r="L41" s="15" t="n"/>
      <c r="M41" s="15" t="n"/>
      <c r="N41" s="15" t="n"/>
      <c r="O41" s="15" t="n"/>
      <c r="P41" s="17" t="n">
        <v>1898.19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inlineStr">
        <is>
          <t>CET (weighted avg 20.0%)</t>
        </is>
      </c>
      <c r="K42" s="15" t="n"/>
      <c r="L42" s="15" t="n"/>
      <c r="M42" s="15" t="n"/>
      <c r="N42" s="15" t="n"/>
      <c r="O42" s="15" t="n"/>
      <c r="P42" s="17" t="n">
        <v>379.64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6" t="inlineStr">
        <is>
          <t xml:space="preserve">  └ 00000000: 20% CET (49% of value)</t>
        </is>
      </c>
      <c r="K43" s="15" t="n"/>
      <c r="L43" s="15" t="n"/>
      <c r="M43" s="15" t="n"/>
      <c r="N43" s="15" t="n"/>
      <c r="O43" s="15" t="n"/>
      <c r="P43" s="17" t="n">
        <v>184.6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6" t="inlineStr">
        <is>
          <t xml:space="preserve">  └ 34011910: 20% CET (2% of value)</t>
        </is>
      </c>
      <c r="K44" s="15" t="n"/>
      <c r="L44" s="15" t="n"/>
      <c r="M44" s="15" t="n"/>
      <c r="N44" s="15" t="n"/>
      <c r="O44" s="15" t="n"/>
      <c r="P44" s="17" t="n">
        <v>8.91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6" t="inlineStr">
        <is>
          <t xml:space="preserve">  └ 42029200: 20% CET (8% of value)</t>
        </is>
      </c>
      <c r="K45" s="15" t="n"/>
      <c r="L45" s="15" t="n"/>
      <c r="M45" s="15" t="n"/>
      <c r="N45" s="15" t="n"/>
      <c r="O45" s="15" t="n"/>
      <c r="P45" s="17" t="n">
        <v>31.25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6" t="inlineStr">
        <is>
          <t xml:space="preserve">  └ 61034290: 20% CET (4% of value)</t>
        </is>
      </c>
      <c r="K46" s="15" t="n"/>
      <c r="L46" s="15" t="n"/>
      <c r="M46" s="15" t="n"/>
      <c r="N46" s="15" t="n"/>
      <c r="O46" s="15" t="n"/>
      <c r="P46" s="17" t="n">
        <v>14.3</v>
      </c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6" t="inlineStr">
        <is>
          <t xml:space="preserve">  └ 96190029: 20% CET (37% of value)</t>
        </is>
      </c>
      <c r="K47" s="15" t="n"/>
      <c r="L47" s="15" t="n"/>
      <c r="M47" s="15" t="n"/>
      <c r="N47" s="15" t="n"/>
      <c r="O47" s="15" t="n"/>
      <c r="P47" s="17" t="n">
        <v>140.58</v>
      </c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6" t="inlineStr">
        <is>
          <t>CSC (6%)</t>
        </is>
      </c>
      <c r="K48" s="15" t="n"/>
      <c r="L48" s="15" t="n"/>
      <c r="M48" s="15" t="n"/>
      <c r="N48" s="15" t="n"/>
      <c r="O48" s="15" t="n"/>
      <c r="P48" s="17" t="n">
        <v>113.89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6" t="inlineStr">
        <is>
          <t>VAT (15%) on CIF+CET+CSC</t>
        </is>
      </c>
      <c r="K49" s="15" t="n"/>
      <c r="L49" s="15" t="n"/>
      <c r="M49" s="15" t="n"/>
      <c r="N49" s="15" t="n"/>
      <c r="O49" s="15" t="n"/>
      <c r="P49" s="17" t="n">
        <v>358.76</v>
      </c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4" t="inlineStr">
        <is>
          <t>ESTIMATED TOTAL DUTIES</t>
        </is>
      </c>
      <c r="K50" s="18" t="n"/>
      <c r="L50" s="18" t="n"/>
      <c r="M50" s="18" t="n"/>
      <c r="N50" s="18" t="n"/>
      <c r="O50" s="18" t="n"/>
      <c r="P50" s="19" t="n">
        <v>852.29</v>
      </c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6" t="inlineStr">
        <is>
          <t>Effective Duty Rate</t>
        </is>
      </c>
      <c r="K51" s="15" t="n"/>
      <c r="L51" s="15" t="n"/>
      <c r="M51" s="15" t="n"/>
      <c r="N51" s="15" t="n"/>
      <c r="O51" s="15" t="n"/>
      <c r="P51" s="20" t="n">
        <v>0.4490014171394855</v>
      </c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6" t="inlineStr">
        <is>
          <t>CLIENT DECLARED DUTIES</t>
        </is>
      </c>
      <c r="K52" s="15" t="n"/>
      <c r="L52" s="15" t="n"/>
      <c r="M52" s="15" t="n"/>
      <c r="N52" s="15" t="n"/>
      <c r="O52" s="15" t="n"/>
      <c r="P52" s="17" t="n">
        <v>249.33</v>
      </c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21" t="inlineStr">
        <is>
          <t>DUTY VARIANCE (Client − Estimated)</t>
        </is>
      </c>
      <c r="K53" s="15" t="n"/>
      <c r="L53" s="15" t="n"/>
      <c r="M53" s="15" t="n"/>
      <c r="N53" s="15" t="n"/>
      <c r="O53" s="15" t="n"/>
      <c r="P53" s="22" t="n">
        <v>-602.96</v>
      </c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6" t="inlineStr">
        <is>
          <t>IMPLIED CIF (from declared duty @ 20% CET, XCD)</t>
        </is>
      </c>
      <c r="K54" s="15" t="n"/>
      <c r="L54" s="15" t="n"/>
      <c r="M54" s="15" t="n"/>
      <c r="N54" s="15" t="n"/>
      <c r="O54" s="15" t="n"/>
      <c r="P54" s="17" t="n">
        <v>555.3</v>
      </c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6" t="inlineStr">
        <is>
          <t>IMPLIED ITEMS VALUE (USD, net of freight/insurance)</t>
        </is>
      </c>
      <c r="K55" s="15" t="n"/>
      <c r="L55" s="15" t="n"/>
      <c r="M55" s="15" t="n"/>
      <c r="N55" s="15" t="n"/>
      <c r="O55" s="15" t="n"/>
      <c r="P55" s="17" t="n">
        <v>147.39</v>
      </c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21" t="inlineStr">
        <is>
          <t>⚠ ITEM ALLOCATION CHECK: actual $583.68 USD vs implied $147.39 USD — OVER-ALLOCATED (items should move to another waybill)</t>
        </is>
      </c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/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inlineStr">
        <is>
          <t>Items on other declaration(s) (9 items)</t>
        </is>
      </c>
      <c r="K58" s="23" t="n"/>
      <c r="L58" s="23" t="n"/>
      <c r="M58" s="23" t="n"/>
      <c r="N58" s="23" t="n"/>
      <c r="O58" s="23" t="n"/>
      <c r="P58" s="24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>
      <c r="A59" s="23" t="n"/>
      <c r="B59" s="23" t="n"/>
      <c r="C59" s="23" t="n"/>
      <c r="D59" s="23" t="n"/>
      <c r="E59" s="23" t="inlineStr">
        <is>
          <t>BAGS &amp; LUGGAGE</t>
        </is>
      </c>
      <c r="F59" s="23" t="inlineStr">
        <is>
          <t>42029200</t>
        </is>
      </c>
      <c r="G59" s="23" t="n"/>
      <c r="H59" s="23" t="n"/>
      <c r="I59" s="23" t="n"/>
      <c r="J59" s="23" t="inlineStr">
        <is>
          <t>strom Large Diaper Bag , 29 L - 45 L Expandable Diaper Bag Backpack for 2 Kid... (1 items)</t>
        </is>
      </c>
      <c r="K59" s="23" t="n">
        <v>1</v>
      </c>
      <c r="L59" s="23" t="n"/>
      <c r="M59" s="23" t="n"/>
      <c r="N59" s="23" t="inlineStr">
        <is>
          <t>USD</t>
        </is>
      </c>
      <c r="O59" s="24" t="n">
        <v>48.04</v>
      </c>
      <c r="P59" s="24" t="n">
        <v>48.04</v>
      </c>
      <c r="Q59" s="24" t="n"/>
      <c r="R59" s="24" t="n"/>
      <c r="S59" s="24" t="n"/>
      <c r="T59" s="24" t="n"/>
      <c r="U59" s="24" t="n"/>
      <c r="V59" s="24" t="n"/>
      <c r="W59" s="24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inlineStr">
        <is>
          <t>AMZ-11</t>
        </is>
      </c>
      <c r="J60" s="25" t="inlineStr">
        <is>
          <t>strom Large Diaper Bag , 29 L - 45 L Expandable Diaper Bag Backpack for 2 Kid...</t>
        </is>
      </c>
      <c r="K60" s="25" t="n">
        <v>1</v>
      </c>
      <c r="L60" s="25" t="n"/>
      <c r="M60" s="25" t="n"/>
      <c r="N60" s="25" t="inlineStr">
        <is>
          <t>USD</t>
        </is>
      </c>
      <c r="O60" s="26" t="n">
        <v>48.04</v>
      </c>
      <c r="P60" s="26" t="n">
        <v>48.04</v>
      </c>
      <c r="Q60" s="26" t="n"/>
      <c r="R60" s="26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</row>
    <row r="61">
      <c r="A61" s="23" t="n"/>
      <c r="B61" s="23" t="n"/>
      <c r="C61" s="23" t="n"/>
      <c r="D61" s="23" t="n"/>
      <c r="E61" s="23" t="inlineStr">
        <is>
          <t>CLOTHING</t>
        </is>
      </c>
      <c r="F61" s="23" t="inlineStr">
        <is>
          <t>61034290</t>
        </is>
      </c>
      <c r="G61" s="23" t="n"/>
      <c r="H61" s="23" t="n"/>
      <c r="I61" s="23" t="n"/>
      <c r="J61" s="23" t="inlineStr">
        <is>
          <t>Gerber Baby Boy ' s 8 - Pack Short Sleeve Onesies Bodysuits , Tiger Green , 3... (+2 more) (3 items)</t>
        </is>
      </c>
      <c r="K61" s="23" t="n">
        <v>3</v>
      </c>
      <c r="L61" s="23" t="n"/>
      <c r="M61" s="23" t="n"/>
      <c r="N61" s="23" t="inlineStr">
        <is>
          <t>USD</t>
        </is>
      </c>
      <c r="O61" s="24" t="n">
        <v>17.98333333333333</v>
      </c>
      <c r="P61" s="24" t="n">
        <v>53.95</v>
      </c>
      <c r="Q61" s="24" t="n"/>
      <c r="R61" s="24" t="n"/>
      <c r="S61" s="24" t="n"/>
      <c r="T61" s="24" t="n"/>
      <c r="U61" s="24" t="n"/>
      <c r="V61" s="24" t="n"/>
      <c r="W61" s="24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inlineStr">
        <is>
          <t>AMZ-2</t>
        </is>
      </c>
      <c r="J62" s="25" t="inlineStr">
        <is>
          <t>Gerber Baby Boy ' s 8 - Pack Short Sleeve Onesies Bodysuits , Tiger Green , 3...</t>
        </is>
      </c>
      <c r="K62" s="25" t="n">
        <v>1</v>
      </c>
      <c r="L62" s="25" t="n"/>
      <c r="M62" s="25" t="n"/>
      <c r="N62" s="25" t="inlineStr">
        <is>
          <t>USD</t>
        </is>
      </c>
      <c r="O62" s="26" t="n">
        <v>21.99</v>
      </c>
      <c r="P62" s="26" t="n">
        <v>21.99</v>
      </c>
      <c r="Q62" s="26" t="n"/>
      <c r="R62" s="26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inlineStr">
        <is>
          <t>AMZ-3</t>
        </is>
      </c>
      <c r="J63" s="25" t="inlineStr">
        <is>
          <t>Simple Joys by Carter ' s Baby Boys ’ 6 - Pack Short - Sleeve Bodysuit , Mult...</t>
        </is>
      </c>
      <c r="K63" s="25" t="n">
        <v>1</v>
      </c>
      <c r="L63" s="25" t="n"/>
      <c r="M63" s="25" t="n"/>
      <c r="N63" s="25" t="inlineStr">
        <is>
          <t>USD</t>
        </is>
      </c>
      <c r="O63" s="26" t="n">
        <v>15.98</v>
      </c>
      <c r="P63" s="26" t="n">
        <v>15.98</v>
      </c>
      <c r="Q63" s="26" t="n"/>
      <c r="R63" s="26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inlineStr">
        <is>
          <t>AMZ-3</t>
        </is>
      </c>
      <c r="J64" s="25" t="inlineStr">
        <is>
          <t>Simple Joys by Carter ' s Baby Boys ’ 6 - Pack Short - Sleeve Bodysuit , Mult...</t>
        </is>
      </c>
      <c r="K64" s="25" t="n">
        <v>1</v>
      </c>
      <c r="L64" s="25" t="n"/>
      <c r="M64" s="25" t="n"/>
      <c r="N64" s="25" t="inlineStr">
        <is>
          <t>USD</t>
        </is>
      </c>
      <c r="O64" s="26" t="n">
        <v>15.98</v>
      </c>
      <c r="P64" s="26" t="n">
        <v>15.98</v>
      </c>
      <c r="Q64" s="26" t="n"/>
      <c r="R64" s="26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</row>
    <row r="65">
      <c r="A65" s="23" t="n"/>
      <c r="B65" s="23" t="n"/>
      <c r="C65" s="23" t="n"/>
      <c r="D65" s="23" t="n"/>
      <c r="E65" s="23" t="inlineStr">
        <is>
          <t>PRODUCTS</t>
        </is>
      </c>
      <c r="F65" s="23" t="inlineStr">
        <is>
          <t>00000000</t>
        </is>
      </c>
      <c r="G65" s="23" t="n"/>
      <c r="H65" s="23" t="n"/>
      <c r="I65" s="23" t="n"/>
      <c r="J65" s="23" t="inlineStr">
        <is>
          <t>Cute Castle Ultra - Soft Baby Washcloths , 16 Pack - 9 " by 9 " , Gentle on S... (+2 more) (3 items)</t>
        </is>
      </c>
      <c r="K65" s="23" t="n">
        <v>3</v>
      </c>
      <c r="L65" s="23" t="n"/>
      <c r="M65" s="23" t="n"/>
      <c r="N65" s="23" t="inlineStr">
        <is>
          <t>USD</t>
        </is>
      </c>
      <c r="O65" s="24" t="n">
        <v>29.99</v>
      </c>
      <c r="P65" s="24" t="n">
        <v>89.97</v>
      </c>
      <c r="Q65" s="24" t="n"/>
      <c r="R65" s="24" t="n"/>
      <c r="S65" s="24" t="n"/>
      <c r="T65" s="24" t="n"/>
      <c r="U65" s="24" t="n"/>
      <c r="V65" s="24" t="n"/>
      <c r="W65" s="24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inlineStr">
        <is>
          <t>AMZ-7</t>
        </is>
      </c>
      <c r="J66" s="25" t="inlineStr">
        <is>
          <t>Cute Castle Ultra - Soft Baby Washcloths , 16 Pack - 9 " by 9 " , Gentle on S...</t>
        </is>
      </c>
      <c r="K66" s="25" t="n">
        <v>1</v>
      </c>
      <c r="L66" s="25" t="n"/>
      <c r="M66" s="25" t="n"/>
      <c r="N66" s="25" t="inlineStr">
        <is>
          <t>USD</t>
        </is>
      </c>
      <c r="O66" s="26" t="n">
        <v>9.99</v>
      </c>
      <c r="P66" s="26" t="n">
        <v>9.99</v>
      </c>
      <c r="Q66" s="26" t="n"/>
      <c r="R66" s="26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inlineStr">
        <is>
          <t>AMZ-4</t>
        </is>
      </c>
      <c r="J67" s="25" t="inlineStr">
        <is>
          <t>Wearable Breast Pump Hands Free Breast Pump 12 Levels 3 Modes Electric Breast...</t>
        </is>
      </c>
      <c r="K67" s="25" t="n">
        <v>1</v>
      </c>
      <c r="L67" s="25" t="n"/>
      <c r="M67" s="25" t="n"/>
      <c r="N67" s="25" t="inlineStr">
        <is>
          <t>USD</t>
        </is>
      </c>
      <c r="O67" s="26" t="n">
        <v>62.99</v>
      </c>
      <c r="P67" s="26" t="n">
        <v>62.99</v>
      </c>
      <c r="Q67" s="26" t="n"/>
      <c r="R67" s="26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inlineStr">
        <is>
          <t>AMZ-8</t>
        </is>
      </c>
      <c r="J68" s="25" t="inlineStr">
        <is>
          <t>Onesies Brand Unisex Baby 12 - Piece Cap and Mitten Set , stripe , 0 - 6 Months</t>
        </is>
      </c>
      <c r="K68" s="25" t="n">
        <v>1</v>
      </c>
      <c r="L68" s="25" t="n"/>
      <c r="M68" s="25" t="n"/>
      <c r="N68" s="25" t="inlineStr">
        <is>
          <t>USD</t>
        </is>
      </c>
      <c r="O68" s="26" t="n">
        <v>16.99</v>
      </c>
      <c r="P68" s="26" t="n">
        <v>16.99</v>
      </c>
      <c r="Q68" s="26" t="n"/>
      <c r="R68" s="26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</row>
    <row r="69">
      <c r="A69" s="23" t="n"/>
      <c r="B69" s="23" t="n"/>
      <c r="C69" s="23" t="n"/>
      <c r="D69" s="23" t="n"/>
      <c r="E69" s="23" t="inlineStr">
        <is>
          <t>In the form of bars, cakes, moulded pieces or shapes, for laundry and othe</t>
        </is>
      </c>
      <c r="F69" s="23" t="inlineStr">
        <is>
          <t>34011910</t>
        </is>
      </c>
      <c r="G69" s="23" t="n"/>
      <c r="H69" s="23" t="n"/>
      <c r="I69" s="23" t="n"/>
      <c r="J69" s="23" t="inlineStr">
        <is>
          <t>Huggies Natural Care Sensitive Baby Wipes , Unscented , Hypoallergenic , 99 %... (1 items)</t>
        </is>
      </c>
      <c r="K69" s="23" t="n">
        <v>1</v>
      </c>
      <c r="L69" s="23" t="n"/>
      <c r="M69" s="23" t="n"/>
      <c r="N69" s="23" t="inlineStr">
        <is>
          <t>USD</t>
        </is>
      </c>
      <c r="O69" s="24" t="n">
        <v>13.7</v>
      </c>
      <c r="P69" s="24" t="n">
        <v>13.7</v>
      </c>
      <c r="Q69" s="24" t="n"/>
      <c r="R69" s="24" t="n"/>
      <c r="S69" s="24" t="n"/>
      <c r="T69" s="24" t="n"/>
      <c r="U69" s="24" t="n"/>
      <c r="V69" s="24" t="n"/>
      <c r="W69" s="24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inlineStr">
        <is>
          <t>AMZ-6</t>
        </is>
      </c>
      <c r="J70" s="25" t="inlineStr">
        <is>
          <t>Huggies Natural Care Sensitive Baby Wipes , Unscented , Hypoallergenic , 99 %...</t>
        </is>
      </c>
      <c r="K70" s="25" t="n">
        <v>1</v>
      </c>
      <c r="L70" s="25" t="n"/>
      <c r="M70" s="25" t="n"/>
      <c r="N70" s="25" t="inlineStr">
        <is>
          <t>USD</t>
        </is>
      </c>
      <c r="O70" s="26" t="n">
        <v>13.7</v>
      </c>
      <c r="P70" s="26" t="n">
        <v>13.7</v>
      </c>
      <c r="Q70" s="26" t="n"/>
      <c r="R70" s="26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</row>
    <row r="71">
      <c r="A71" s="23" t="n"/>
      <c r="B71" s="23" t="n"/>
      <c r="C71" s="23" t="n"/>
      <c r="D71" s="23" t="n"/>
      <c r="E71" s="23" t="inlineStr">
        <is>
          <t>BABY CARE</t>
        </is>
      </c>
      <c r="F71" s="23" t="inlineStr">
        <is>
          <t>96190029</t>
        </is>
      </c>
      <c r="G71" s="23" t="n"/>
      <c r="H71" s="23" t="n"/>
      <c r="I71" s="23" t="n"/>
      <c r="J71" s="23" t="inlineStr">
        <is>
          <t>Huggies Size 1 Diapers , Snug &amp; Dry Newborn Diapers , Size 1 ( 8 - 14 Ibs, 25... (1 items)</t>
        </is>
      </c>
      <c r="K71" s="23" t="n">
        <v>1</v>
      </c>
      <c r="L71" s="23" t="n"/>
      <c r="M71" s="23" t="n"/>
      <c r="N71" s="23" t="inlineStr">
        <is>
          <t>USD</t>
        </is>
      </c>
      <c r="O71" s="24" t="n">
        <v>216.14</v>
      </c>
      <c r="P71" s="24" t="n">
        <v>216.14</v>
      </c>
      <c r="Q71" s="24" t="n"/>
      <c r="R71" s="24" t="n"/>
      <c r="S71" s="24" t="n"/>
      <c r="T71" s="24" t="n"/>
      <c r="U71" s="24" t="n"/>
      <c r="V71" s="24" t="n"/>
      <c r="W71" s="24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inlineStr">
        <is>
          <t>AMZ-12</t>
        </is>
      </c>
      <c r="J72" s="25" t="inlineStr">
        <is>
          <t>Huggies Size 1 Diapers , Snug &amp; Dry Newborn Diapers , Size 1 ( 8 - 14 Ibs, 25...</t>
        </is>
      </c>
      <c r="K72" s="25" t="n">
        <v>1</v>
      </c>
      <c r="L72" s="25" t="n"/>
      <c r="M72" s="25" t="n"/>
      <c r="N72" s="25" t="inlineStr">
        <is>
          <t>USD</t>
        </is>
      </c>
      <c r="O72" s="26" t="n">
        <v>216.14</v>
      </c>
      <c r="P72" s="26" t="n">
        <v>216.14</v>
      </c>
      <c r="Q72" s="26" t="n"/>
      <c r="R72" s="26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inlineStr">
        <is>
          <t>REFERENCE SUBTOTAL</t>
        </is>
      </c>
      <c r="K73" s="27" t="n"/>
      <c r="L73" s="27" t="n"/>
      <c r="M73" s="27" t="n"/>
      <c r="N73" s="27" t="n"/>
      <c r="O73" s="27" t="n"/>
      <c r="P73" s="28" t="n">
        <v>421.8</v>
      </c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inlineStr">
        <is>
          <t>REFERENCE FREIGHT</t>
        </is>
      </c>
      <c r="K74" s="27" t="n"/>
      <c r="L74" s="27" t="n"/>
      <c r="M74" s="27" t="n"/>
      <c r="N74" s="27" t="n"/>
      <c r="O74" s="27" t="n"/>
      <c r="P74" s="28" t="n">
        <v>57</v>
      </c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inlineStr">
        <is>
          <t>REFERENCE INSURANCE</t>
        </is>
      </c>
      <c r="K75" s="27" t="n"/>
      <c r="L75" s="27" t="n"/>
      <c r="M75" s="27" t="n"/>
      <c r="N75" s="27" t="n"/>
      <c r="O75" s="27" t="n"/>
      <c r="P75" s="28" t="n">
        <v>0</v>
      </c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inlineStr">
        <is>
          <t>REFERENCE OTHER COST</t>
        </is>
      </c>
      <c r="K76" s="27" t="n"/>
      <c r="L76" s="27" t="n"/>
      <c r="M76" s="27" t="n"/>
      <c r="N76" s="27" t="n"/>
      <c r="O76" s="27" t="n"/>
      <c r="P76" s="28" t="n">
        <v>0.7</v>
      </c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inlineStr">
        <is>
          <t>REFERENCE DEDUCTION</t>
        </is>
      </c>
      <c r="K77" s="27" t="n"/>
      <c r="L77" s="27" t="n"/>
      <c r="M77" s="27" t="n"/>
      <c r="N77" s="27" t="n"/>
      <c r="O77" s="27" t="n"/>
      <c r="P77" s="28" t="n">
        <v>0</v>
      </c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inlineStr">
        <is>
          <t>REFERENCE ADJUSTMENTS</t>
        </is>
      </c>
      <c r="K78" s="27" t="n"/>
      <c r="L78" s="27" t="n"/>
      <c r="M78" s="27" t="n"/>
      <c r="N78" s="27" t="n"/>
      <c r="O78" s="27" t="n"/>
      <c r="P78" s="28">
        <f>P74+P75+P76-P77</f>
        <v/>
      </c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inlineStr">
        <is>
          <t>REFERENCE NET TOTAL</t>
        </is>
      </c>
      <c r="K79" s="27" t="n"/>
      <c r="L79" s="27" t="n"/>
      <c r="M79" s="27" t="n"/>
      <c r="N79" s="27" t="n"/>
      <c r="O79" s="27" t="n"/>
      <c r="P79" s="28">
        <f>P73+P78</f>
        <v/>
      </c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inlineStr">
        <is>
          <t>COMBINED ITEMS TOTAL</t>
        </is>
      </c>
      <c r="K81" s="27" t="n"/>
      <c r="L81" s="27" t="n"/>
      <c r="M81" s="27" t="n"/>
      <c r="N81" s="27" t="n"/>
      <c r="O81" s="27" t="n"/>
      <c r="P81" s="28">
        <f>P22+P73</f>
        <v/>
      </c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inlineStr">
        <is>
          <t>FULL INVOICE FREIGHT</t>
        </is>
      </c>
      <c r="K82" s="27" t="n"/>
      <c r="L82" s="27" t="n"/>
      <c r="M82" s="27" t="n"/>
      <c r="N82" s="27" t="n"/>
      <c r="O82" s="27" t="n"/>
      <c r="P82" s="28">
        <f>P26+P74</f>
        <v/>
      </c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inlineStr">
        <is>
          <t>FULL INVOICE INSURANCE</t>
        </is>
      </c>
      <c r="K83" s="27" t="n"/>
      <c r="L83" s="27" t="n"/>
      <c r="M83" s="27" t="n"/>
      <c r="N83" s="27" t="n"/>
      <c r="O83" s="27" t="n"/>
      <c r="P83" s="28">
        <f>P27+P75</f>
        <v/>
      </c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inlineStr">
        <is>
          <t>FULL INVOICE OTHER COST</t>
        </is>
      </c>
      <c r="K84" s="27" t="n"/>
      <c r="L84" s="27" t="n"/>
      <c r="M84" s="27" t="n"/>
      <c r="N84" s="27" t="n"/>
      <c r="O84" s="27" t="n"/>
      <c r="P84" s="28">
        <f>P28+P76</f>
        <v/>
      </c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inlineStr">
        <is>
          <t>FULL INVOICE DEDUCTION</t>
        </is>
      </c>
      <c r="K85" s="27" t="n"/>
      <c r="L85" s="27" t="n"/>
      <c r="M85" s="27" t="n"/>
      <c r="N85" s="27" t="n"/>
      <c r="O85" s="27" t="n"/>
      <c r="P85" s="28">
        <f>P29+P77</f>
        <v/>
      </c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inlineStr">
        <is>
          <t>FULL ADJUSTMENTS</t>
        </is>
      </c>
      <c r="K86" s="27" t="n"/>
      <c r="L86" s="27" t="n"/>
      <c r="M86" s="27" t="n"/>
      <c r="N86" s="27" t="n"/>
      <c r="O86" s="27" t="n"/>
      <c r="P86" s="28">
        <f>P82+P83+P84-P85</f>
        <v/>
      </c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inlineStr">
        <is>
          <t>COMBINED NET TOTAL</t>
        </is>
      </c>
      <c r="K87" s="27" t="n"/>
      <c r="L87" s="27" t="n"/>
      <c r="M87" s="27" t="n"/>
      <c r="N87" s="27" t="n"/>
      <c r="O87" s="27" t="n"/>
      <c r="P87" s="28">
        <f>P81+P86</f>
        <v/>
      </c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inlineStr">
        <is>
          <t>FULL INVOICE TOTAL</t>
        </is>
      </c>
      <c r="K88" s="27" t="n"/>
      <c r="L88" s="27" t="n"/>
      <c r="M88" s="27" t="n"/>
      <c r="N88" s="27" t="n"/>
      <c r="O88" s="27" t="n"/>
      <c r="P88" s="28" t="n">
        <v>1121.16</v>
      </c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inlineStr">
        <is>
          <t>COMBINED VARIANCE CHECK</t>
        </is>
      </c>
      <c r="K89" s="27" t="n"/>
      <c r="L89" s="27" t="n"/>
      <c r="M89" s="27" t="n"/>
      <c r="N89" s="27" t="n"/>
      <c r="O89" s="27" t="n"/>
      <c r="P89" s="28">
        <f>P88-P87</f>
        <v/>
      </c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2026-04-25T23:17:46Z</dcterms:created>
  <dcterms:modified xmlns:dcterms="http://purl.org/dc/terms/" xmlns:xsi="http://www.w3.org/2001/XMLSchema-instance" xsi:type="dcterms:W3CDTF">2026-04-25T23:17:46Z</dcterms:modified>
</cp:coreProperties>
</file>