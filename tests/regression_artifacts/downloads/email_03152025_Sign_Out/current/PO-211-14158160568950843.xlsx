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5" borderId="1" pivotButton="0" quotePrefix="0" xfId="0"/>
    <xf numFmtId="164" fontId="5" fillId="5" borderId="1" pivotButton="0" quotePrefix="0" xfId="0"/>
    <xf numFmtId="165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AutoInvoice</author>
  </authors>
  <commentList>
    <comment ref="O2" authorId="0" shapeId="0">
      <text>
        <t>Data quality: orphan_price_recovered
This value was recovered from OCR text via the orphan-price scan. Review and correct if wrong.</t>
      </text>
    </comment>
    <comment ref="P2" authorId="0" shapeId="0">
      <text>
        <t>Data quality: orphan_price_recovered
This value was recovered from OCR text via the orphan-price scan. Review and correct if wrong.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PO-211-14158160568950843</t>
        </is>
      </c>
      <c r="D2" s="2" t="inlineStr">
        <is>
          <t>2024-05-29</t>
        </is>
      </c>
      <c r="E2" s="2" t="inlineStr">
        <is>
          <t>FOOTWEAR</t>
        </is>
      </c>
      <c r="F2" s="2" t="inlineStr">
        <is>
          <t>64029910</t>
        </is>
      </c>
      <c r="G2" s="2" t="inlineStr"/>
      <c r="H2" s="2" t="inlineStr"/>
      <c r="I2" s="2" t="inlineStr">
        <is>
          <t>TEMU-1</t>
        </is>
      </c>
      <c r="J2" s="2" t="inlineStr">
        <is>
          <t>Women's Flat Adjustable Strap Sandals, Square Toe Summer Beach Holiday Shoes,...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21.97</v>
      </c>
      <c r="P2" s="3" t="n">
        <v>21.97</v>
      </c>
      <c r="Q2" s="4">
        <f>O2*K2</f>
        <v/>
      </c>
      <c r="R2" s="4">
        <f>P2-Q2</f>
        <v/>
      </c>
      <c r="S2" s="4" t="n">
        <v>26.48</v>
      </c>
      <c r="T2" s="4" t="n">
        <v>2.99</v>
      </c>
      <c r="U2" s="4" t="n">
        <v>0</v>
      </c>
      <c r="V2" s="4" t="n">
        <v>1.54</v>
      </c>
      <c r="W2" s="4" t="n">
        <v>9.02</v>
      </c>
      <c r="X2" s="2" t="n">
        <v>1</v>
      </c>
      <c r="Y2" s="2" t="n"/>
      <c r="Z2" s="2" t="inlineStr">
        <is>
          <t>TEMU</t>
        </is>
      </c>
      <c r="AA2" s="2" t="inlineStr">
        <is>
          <t>PO-211-14158160568950843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64029910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inlineStr">
        <is>
          <t>SUBTOTAL</t>
        </is>
      </c>
      <c r="K3" s="5" t="n"/>
      <c r="L3" s="5" t="n"/>
      <c r="M3" s="5" t="n"/>
      <c r="N3" s="5" t="n"/>
      <c r="O3" s="5" t="n"/>
      <c r="P3" s="6">
        <f>P2</f>
        <v/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inlineStr">
        <is>
          <t>ADJUSTMENTS</t>
        </is>
      </c>
      <c r="K4" s="5" t="n"/>
      <c r="L4" s="5" t="n"/>
      <c r="M4" s="5" t="n"/>
      <c r="N4" s="5" t="n"/>
      <c r="O4" s="5" t="n"/>
      <c r="P4" s="6">
        <f>(T2+U2+V2-W2)</f>
        <v/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inlineStr">
        <is>
          <t>NET TOTAL</t>
        </is>
      </c>
      <c r="K5" s="5" t="n"/>
      <c r="L5" s="5" t="n"/>
      <c r="M5" s="5" t="n"/>
      <c r="N5" s="5" t="n"/>
      <c r="O5" s="5" t="n"/>
      <c r="P5" s="6">
        <f>(P3+P4)</f>
        <v/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inlineStr">
        <is>
          <t>VARIANCE CHECK</t>
        </is>
      </c>
      <c r="K6" s="5" t="n"/>
      <c r="L6" s="5" t="n"/>
      <c r="M6" s="5" t="n"/>
      <c r="N6" s="5" t="n"/>
      <c r="O6" s="5" t="n"/>
      <c r="P6" s="6">
        <f>(S2-P5)</f>
        <v/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</row>
    <row r="7"/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 t="inlineStr">
        <is>
          <t>INVOICE NOTES: Orphan price $21.97 recovered from OCR text (description: Women's Flat Adjustable Strap Sandals, Square Toe Summer Bea...)</t>
        </is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</row>
    <row r="9"/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inlineStr">
        <is>
          <t>DUTY ESTIMATION (Classification Cross-Check)</t>
        </is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inlineStr">
        <is>
          <t>CIF (USD) = InvTotal + Freight + Insurance</t>
        </is>
      </c>
      <c r="K11" s="10" t="n"/>
      <c r="L11" s="10" t="n"/>
      <c r="M11" s="10" t="n"/>
      <c r="N11" s="10" t="n"/>
      <c r="O11" s="10" t="n"/>
      <c r="P11" s="12" t="n">
        <v>31.48</v>
      </c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1" t="inlineStr">
        <is>
          <t>CIF (XCD) = CIF × 2.7169</t>
        </is>
      </c>
      <c r="K12" s="10" t="n"/>
      <c r="L12" s="10" t="n"/>
      <c r="M12" s="10" t="n"/>
      <c r="N12" s="10" t="n"/>
      <c r="O12" s="10" t="n"/>
      <c r="P12" s="12" t="n">
        <v>85.53</v>
      </c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1" t="inlineStr">
        <is>
          <t>CET (20%) — Tariff 64029910</t>
        </is>
      </c>
      <c r="K13" s="10" t="n"/>
      <c r="L13" s="10" t="n"/>
      <c r="M13" s="10" t="n"/>
      <c r="N13" s="10" t="n"/>
      <c r="O13" s="10" t="n"/>
      <c r="P13" s="12" t="n">
        <v>17.11</v>
      </c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1" t="inlineStr">
        <is>
          <t>CSC (6%)</t>
        </is>
      </c>
      <c r="K14" s="10" t="n"/>
      <c r="L14" s="10" t="n"/>
      <c r="M14" s="10" t="n"/>
      <c r="N14" s="10" t="n"/>
      <c r="O14" s="10" t="n"/>
      <c r="P14" s="12" t="n">
        <v>5.13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 t="inlineStr">
        <is>
          <t>VAT (15%) on CIF+CET+CSC</t>
        </is>
      </c>
      <c r="K15" s="10" t="n"/>
      <c r="L15" s="10" t="n"/>
      <c r="M15" s="10" t="n"/>
      <c r="N15" s="10" t="n"/>
      <c r="O15" s="10" t="n"/>
      <c r="P15" s="12" t="n">
        <v>16.17</v>
      </c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9" t="inlineStr">
        <is>
          <t>ESTIMATED TOTAL DUTIES</t>
        </is>
      </c>
      <c r="K16" s="13" t="n"/>
      <c r="L16" s="13" t="n"/>
      <c r="M16" s="13" t="n"/>
      <c r="N16" s="13" t="n"/>
      <c r="O16" s="13" t="n"/>
      <c r="P16" s="14" t="n">
        <v>38.41</v>
      </c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 t="inlineStr">
        <is>
          <t>Effective Duty Rate</t>
        </is>
      </c>
      <c r="K17" s="10" t="n"/>
      <c r="L17" s="10" t="n"/>
      <c r="M17" s="10" t="n"/>
      <c r="N17" s="10" t="n"/>
      <c r="O17" s="10" t="n"/>
      <c r="P17" s="15" t="n">
        <v>0.4490821933824389</v>
      </c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 t="inlineStr">
        <is>
          <t>CLIENT DECLARED DUTIES</t>
        </is>
      </c>
      <c r="K18" s="10" t="n"/>
      <c r="L18" s="10" t="n"/>
      <c r="M18" s="10" t="n"/>
      <c r="N18" s="10" t="n"/>
      <c r="O18" s="10" t="n"/>
      <c r="P18" s="12" t="n">
        <v>38.41</v>
      </c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6" t="inlineStr">
        <is>
          <t>DUTY VARIANCE (Client − Estimated)</t>
        </is>
      </c>
      <c r="K19" s="10" t="n"/>
      <c r="L19" s="10" t="n"/>
      <c r="M19" s="10" t="n"/>
      <c r="N19" s="10" t="n"/>
      <c r="O19" s="10" t="n"/>
      <c r="P19" s="12" t="n">
        <v>0</v>
      </c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 t="inlineStr">
        <is>
          <t>IMPLIED CET RATE (from client value)</t>
        </is>
      </c>
      <c r="K20" s="10" t="n"/>
      <c r="L20" s="10" t="n"/>
      <c r="M20" s="10" t="n"/>
      <c r="N20" s="10" t="n"/>
      <c r="O20" s="10" t="n"/>
      <c r="P20" s="15" t="n">
        <v>0.2000714725064686</v>
      </c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 t="inlineStr">
        <is>
          <t>IMPLIED CIF (from declared duty @ 20% CET, XCD)</t>
        </is>
      </c>
      <c r="K21" s="10" t="n"/>
      <c r="L21" s="10" t="n"/>
      <c r="M21" s="10" t="n"/>
      <c r="N21" s="10" t="n"/>
      <c r="O21" s="10" t="n"/>
      <c r="P21" s="12" t="n">
        <v>85.55</v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 t="inlineStr">
        <is>
          <t>IMPLIED ITEMS VALUE (USD, net of freight/insurance)</t>
        </is>
      </c>
      <c r="K22" s="10" t="n"/>
      <c r="L22" s="10" t="n"/>
      <c r="M22" s="10" t="n"/>
      <c r="N22" s="10" t="n"/>
      <c r="O22" s="10" t="n"/>
      <c r="P22" s="12" t="n">
        <v>26.49</v>
      </c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2026-04-25T23:24:15Z</dcterms:created>
  <dcterms:modified xmlns:dcterms="http://purl.org/dc/terms/" xmlns:xsi="http://www.w3.org/2001/XMLSchema-instance" xsi:type="dcterms:W3CDTF">2026-04-25T23:24:15Z</dcterms:modified>
</cp:coreProperties>
</file>