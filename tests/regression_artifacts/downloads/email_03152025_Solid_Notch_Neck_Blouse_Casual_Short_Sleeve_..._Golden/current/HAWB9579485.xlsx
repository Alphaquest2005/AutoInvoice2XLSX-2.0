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7" fillId="0" borderId="1" pivotButton="0" quotePrefix="0" xfId="0"/>
    <xf numFmtId="0" fontId="0" fillId="5" borderId="1" pivotButton="0" quotePrefix="0" xfId="0"/>
    <xf numFmtId="164" fontId="7" fillId="5" borderId="1" pivotButton="0" quotePrefix="0" xfId="0"/>
    <xf numFmtId="165" fontId="7" fillId="0" borderId="1" pivotButton="0" quotePrefix="0" xfId="0"/>
    <xf numFmtId="0" fontId="9" fillId="6" borderId="1" pivotButton="0" quotePrefix="0" xfId="0"/>
    <xf numFmtId="4" fontId="9" fillId="6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PO-211-05886758334074065_Invoice_1</t>
        </is>
      </c>
      <c r="D2" s="2" t="inlineStr"/>
      <c r="E2" s="2" t="inlineStr">
        <is>
          <t>ZINC ARTICLES</t>
        </is>
      </c>
      <c r="F2" s="2" t="inlineStr">
        <is>
          <t>79070090</t>
        </is>
      </c>
      <c r="G2" s="2" t="inlineStr"/>
      <c r="H2" s="2" t="inlineStr"/>
      <c r="I2" s="2" t="inlineStr">
        <is>
          <t>79070090</t>
        </is>
      </c>
      <c r="J2" s="2" t="inlineStr">
        <is>
          <t>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2.675</v>
      </c>
      <c r="P2" s="3" t="n">
        <v>5.35</v>
      </c>
      <c r="Q2" s="3">
        <f>O2*K2</f>
        <v/>
      </c>
      <c r="R2" s="3">
        <f>P2-Q2</f>
        <v/>
      </c>
      <c r="S2" s="3" t="n">
        <v>20.8</v>
      </c>
      <c r="T2" s="3" t="n">
        <v>11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UNKNOWN_</t>
        </is>
      </c>
      <c r="AA2" s="2" t="inlineStr">
        <is>
          <t>unknown_solid</t>
        </is>
      </c>
      <c r="AB2" s="2" t="inlineStr"/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79070090</t>
        </is>
      </c>
    </row>
    <row r="3">
      <c r="A3" s="4" t="n"/>
      <c r="B3" s="4" t="n"/>
      <c r="C3" s="4" t="n"/>
      <c r="D3" s="4" t="n"/>
      <c r="E3" s="4" t="n"/>
      <c r="F3" s="4" t="inlineStr">
        <is>
          <t>79070090</t>
        </is>
      </c>
      <c r="G3" s="4" t="n"/>
      <c r="H3" s="4" t="n"/>
      <c r="I3" s="4" t="inlineStr">
        <is>
          <t>ITEM-3</t>
        </is>
      </c>
      <c r="J3" s="4" t="inlineStr">
        <is>
          <t>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3.77</v>
      </c>
      <c r="P3" s="5" t="n">
        <v>3.77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79070090</t>
        </is>
      </c>
      <c r="G4" s="4" t="n"/>
      <c r="H4" s="4" t="n"/>
      <c r="I4" s="4" t="inlineStr">
        <is>
          <t>ITEM-9</t>
        </is>
      </c>
      <c r="J4" s="4" t="inlineStr">
        <is>
          <t>ZDB05-4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1.58</v>
      </c>
      <c r="P4" s="5" t="n">
        <v>1.58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PO-211-05886758334074065_Invoice_1</t>
        </is>
      </c>
      <c r="D5" s="2" t="inlineStr"/>
      <c r="E5" s="2" t="inlineStr">
        <is>
          <t>SIGNALING EQUIPMENT</t>
        </is>
      </c>
      <c r="F5" s="2" t="inlineStr">
        <is>
          <t>85319000</t>
        </is>
      </c>
      <c r="G5" s="2" t="inlineStr"/>
      <c r="H5" s="2" t="inlineStr"/>
      <c r="I5" s="2" t="inlineStr">
        <is>
          <t>85319000</t>
        </is>
      </c>
      <c r="J5" s="2" t="inlineStr">
        <is>
          <t>Black+Dark Brown+Brown (1 items)</t>
        </is>
      </c>
      <c r="K5" s="2" t="n">
        <v>1</v>
      </c>
      <c r="L5" s="2" t="n"/>
      <c r="M5" s="2" t="inlineStr"/>
      <c r="N5" s="2" t="inlineStr">
        <is>
          <t>USD</t>
        </is>
      </c>
      <c r="O5" s="3" t="n">
        <v>1.19</v>
      </c>
      <c r="P5" s="3" t="n">
        <v>1.19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85319000</t>
        </is>
      </c>
    </row>
    <row r="6">
      <c r="A6" s="4" t="n"/>
      <c r="B6" s="4" t="n"/>
      <c r="C6" s="4" t="n"/>
      <c r="D6" s="4" t="n"/>
      <c r="E6" s="4" t="n"/>
      <c r="F6" s="4" t="inlineStr">
        <is>
          <t>85319000</t>
        </is>
      </c>
      <c r="G6" s="4" t="n"/>
      <c r="H6" s="4" t="n"/>
      <c r="I6" s="4" t="inlineStr">
        <is>
          <t>ITEM-6</t>
        </is>
      </c>
      <c r="J6" s="4" t="inlineStr">
        <is>
          <t>Black+Dark Brown+Brown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1.19</v>
      </c>
      <c r="P6" s="5" t="n">
        <v>1.19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PO-211-05886758334074065_Invoice_1</t>
        </is>
      </c>
      <c r="D7" s="2" t="inlineStr"/>
      <c r="E7" s="2" t="inlineStr">
        <is>
          <t>T-shirts</t>
        </is>
      </c>
      <c r="F7" s="2" t="inlineStr">
        <is>
          <t>61099010</t>
        </is>
      </c>
      <c r="G7" s="2" t="inlineStr"/>
      <c r="H7" s="2" t="inlineStr"/>
      <c r="I7" s="2" t="inlineStr">
        <is>
          <t>61099010</t>
        </is>
      </c>
      <c r="J7" s="2" t="inlineStr">
        <is>
          <t>Hot Contrast Mesh Cami Top, Soft &amp; Comfy Cr...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1.68</v>
      </c>
      <c r="P7" s="3" t="n">
        <v>1.68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61099010</t>
        </is>
      </c>
    </row>
    <row r="8">
      <c r="A8" s="4" t="n"/>
      <c r="B8" s="4" t="n"/>
      <c r="C8" s="4" t="n"/>
      <c r="D8" s="4" t="n"/>
      <c r="E8" s="4" t="n"/>
      <c r="F8" s="4" t="inlineStr">
        <is>
          <t>61099010</t>
        </is>
      </c>
      <c r="G8" s="4" t="n"/>
      <c r="H8" s="4" t="n"/>
      <c r="I8" s="4" t="inlineStr">
        <is>
          <t>ITEM-12</t>
        </is>
      </c>
      <c r="J8" s="4" t="inlineStr">
        <is>
          <t>Hot Contrast Mesh Cami Top, Soft &amp; Comfy Cr...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1.68</v>
      </c>
      <c r="P8" s="5" t="n">
        <v>1.68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inlineStr"/>
      <c r="C9" s="2" t="inlineStr">
        <is>
          <t>PO-211-05886758334074065_Invoice_1</t>
        </is>
      </c>
      <c r="D9" s="2" t="inlineStr"/>
      <c r="E9" s="2" t="inlineStr">
        <is>
          <t>Brassiéres</t>
        </is>
      </c>
      <c r="F9" s="2" t="inlineStr">
        <is>
          <t>62121000</t>
        </is>
      </c>
      <c r="G9" s="2" t="inlineStr"/>
      <c r="H9" s="2" t="inlineStr"/>
      <c r="I9" s="2" t="inlineStr">
        <is>
          <t>62121000</t>
        </is>
      </c>
      <c r="J9" s="2" t="inlineStr">
        <is>
          <t>1pc Seamless High Waist Shaping Shorts, Co...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1.58</v>
      </c>
      <c r="P9" s="3" t="n">
        <v>1.58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62121000</t>
        </is>
      </c>
    </row>
    <row r="10">
      <c r="A10" s="4" t="n"/>
      <c r="B10" s="4" t="n"/>
      <c r="C10" s="4" t="n"/>
      <c r="D10" s="4" t="n"/>
      <c r="E10" s="4" t="n"/>
      <c r="F10" s="4" t="inlineStr">
        <is>
          <t>62121000</t>
        </is>
      </c>
      <c r="G10" s="4" t="n"/>
      <c r="H10" s="4" t="n"/>
      <c r="I10" s="4" t="inlineStr">
        <is>
          <t>ITEM-15</t>
        </is>
      </c>
      <c r="J10" s="4" t="inlineStr">
        <is>
          <t>1pc Seamless High Waist Shaping Shorts, Co...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1.58</v>
      </c>
      <c r="P10" s="5" t="n">
        <v>1.58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(GROUPED)</t>
        </is>
      </c>
      <c r="K11" s="6" t="n"/>
      <c r="L11" s="6" t="n"/>
      <c r="M11" s="6" t="n"/>
      <c r="N11" s="6" t="n"/>
      <c r="O11" s="6" t="n"/>
      <c r="P11" s="7">
        <f>P2+P5+P7+P9</f>
        <v/>
      </c>
      <c r="Q11" s="7">
        <f>Q2+Q5+Q7+Q9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(DETAILS)</t>
        </is>
      </c>
      <c r="K12" s="6" t="n"/>
      <c r="L12" s="6" t="n"/>
      <c r="M12" s="6" t="n"/>
      <c r="N12" s="6" t="n"/>
      <c r="O12" s="6" t="n"/>
      <c r="P12" s="7">
        <f>SUM(P2:P10)-P11</f>
        <v/>
      </c>
      <c r="Q12" s="7">
        <f>SUM(Q2:Q10)-Q11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GROUP VERIFICATION</t>
        </is>
      </c>
      <c r="K13" s="8" t="n"/>
      <c r="L13" s="8" t="n"/>
      <c r="M13" s="8" t="n"/>
      <c r="N13" s="8" t="n"/>
      <c r="O13" s="8" t="n"/>
      <c r="P13" s="9">
        <f>P11-P12</f>
        <v/>
      </c>
      <c r="Q13" s="9">
        <f>Q11-Q12</f>
        <v/>
      </c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INTERNAL FREIGHT</t>
        </is>
      </c>
      <c r="K15" s="6" t="n"/>
      <c r="L15" s="6" t="n"/>
      <c r="M15" s="6" t="n"/>
      <c r="N15" s="6" t="n"/>
      <c r="O15" s="6" t="n"/>
      <c r="P15" s="7" t="n">
        <v>11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INSURANCE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OTHER COST</t>
        </is>
      </c>
      <c r="K17" s="6" t="n"/>
      <c r="L17" s="6" t="n"/>
      <c r="M17" s="6" t="n"/>
      <c r="N17" s="6" t="n"/>
      <c r="O17" s="6" t="n"/>
      <c r="P17" s="7" t="n">
        <v>0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DEDUCTION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ADJUSTMENTS</t>
        </is>
      </c>
      <c r="K19" s="6" t="n"/>
      <c r="L19" s="6" t="n"/>
      <c r="M19" s="6" t="n"/>
      <c r="N19" s="6" t="n"/>
      <c r="O19" s="6" t="n"/>
      <c r="P19" s="7">
        <f>(T2+U2+V2-W2)</f>
        <v/>
      </c>
      <c r="Q19" s="7">
        <f>(T2+U2+V2-W2)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NET TOTAL</t>
        </is>
      </c>
      <c r="K21" s="6" t="n"/>
      <c r="L21" s="6" t="n"/>
      <c r="M21" s="6" t="n"/>
      <c r="N21" s="6" t="n"/>
      <c r="O21" s="6" t="n"/>
      <c r="P21" s="7">
        <f>P11+P19</f>
        <v/>
      </c>
      <c r="Q21" s="7">
        <f>Q11+Q19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INVOICE TOTAL</t>
        </is>
      </c>
      <c r="K22" s="6" t="n"/>
      <c r="L22" s="6" t="n"/>
      <c r="M22" s="6" t="n"/>
      <c r="N22" s="6" t="n"/>
      <c r="O22" s="6" t="n"/>
      <c r="P22" s="7">
        <f>S2</f>
        <v/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/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VARIANCE CHECK</t>
        </is>
      </c>
      <c r="K24" s="10" t="n"/>
      <c r="L24" s="10" t="n"/>
      <c r="M24" s="10" t="n"/>
      <c r="N24" s="10" t="n"/>
      <c r="O24" s="10" t="n"/>
      <c r="P24" s="11">
        <f>S2-P21</f>
        <v/>
      </c>
      <c r="Q24" s="11">
        <f>S2-Q21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/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3" t="inlineStr">
        <is>
          <t>INVOICE NOTES: Structural item count mismatch: 8 price lines found between section markers but 15 items extracted</t>
        </is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/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inlineStr">
        <is>
          <t>DUTY ESTIMATION (Classification Cross-Check)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6" t="inlineStr">
        <is>
          <t>CIF (USD) = InvTotal + Freight + Insurance</t>
        </is>
      </c>
      <c r="K29" s="15" t="n"/>
      <c r="L29" s="15" t="n"/>
      <c r="M29" s="15" t="n"/>
      <c r="N29" s="15" t="n"/>
      <c r="O29" s="15" t="n"/>
      <c r="P29" s="17" t="n">
        <v>31.8</v>
      </c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6" t="inlineStr">
        <is>
          <t>CIF (XCD) = CIF × 2.7169</t>
        </is>
      </c>
      <c r="K30" s="15" t="n"/>
      <c r="L30" s="15" t="n"/>
      <c r="M30" s="15" t="n"/>
      <c r="N30" s="15" t="n"/>
      <c r="O30" s="15" t="n"/>
      <c r="P30" s="17" t="n">
        <v>86.40000000000001</v>
      </c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  <c r="AI30" s="15" t="n"/>
      <c r="AJ30" s="15" t="n"/>
      <c r="A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6" t="inlineStr">
        <is>
          <t>CET (weighted avg 10.0%)</t>
        </is>
      </c>
      <c r="K31" s="15" t="n"/>
      <c r="L31" s="15" t="n"/>
      <c r="M31" s="15" t="n"/>
      <c r="N31" s="15" t="n"/>
      <c r="O31" s="15" t="n"/>
      <c r="P31" s="17" t="n">
        <v>8.630000000000001</v>
      </c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6" t="inlineStr">
        <is>
          <t xml:space="preserve">  └ 61099010: 20% CET (17% of value)</t>
        </is>
      </c>
      <c r="K32" s="15" t="n"/>
      <c r="L32" s="15" t="n"/>
      <c r="M32" s="15" t="n"/>
      <c r="N32" s="15" t="n"/>
      <c r="O32" s="15" t="n"/>
      <c r="P32" s="17" t="n">
        <v>2.96</v>
      </c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  <c r="AI32" s="15" t="n"/>
      <c r="AJ32" s="15" t="n"/>
      <c r="A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6" t="inlineStr">
        <is>
          <t xml:space="preserve">  └ 62121000: 20% CET (16% of value)</t>
        </is>
      </c>
      <c r="K33" s="15" t="n"/>
      <c r="L33" s="15" t="n"/>
      <c r="M33" s="15" t="n"/>
      <c r="N33" s="15" t="n"/>
      <c r="O33" s="15" t="n"/>
      <c r="P33" s="17" t="n">
        <v>2.79</v>
      </c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6" t="inlineStr">
        <is>
          <t xml:space="preserve">  └ 79070090: 5% CET (55% of value)</t>
        </is>
      </c>
      <c r="K34" s="15" t="n"/>
      <c r="L34" s="15" t="n"/>
      <c r="M34" s="15" t="n"/>
      <c r="N34" s="15" t="n"/>
      <c r="O34" s="15" t="n"/>
      <c r="P34" s="17" t="n">
        <v>2.36</v>
      </c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  <c r="AI34" s="15" t="n"/>
      <c r="AJ34" s="15" t="n"/>
      <c r="A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6" t="inlineStr">
        <is>
          <t xml:space="preserve">  └ 85319000: 5% CET (12% of value)</t>
        </is>
      </c>
      <c r="K35" s="15" t="n"/>
      <c r="L35" s="15" t="n"/>
      <c r="M35" s="15" t="n"/>
      <c r="N35" s="15" t="n"/>
      <c r="O35" s="15" t="n"/>
      <c r="P35" s="17" t="n">
        <v>0.52</v>
      </c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6" t="inlineStr">
        <is>
          <t>CSC (6%)</t>
        </is>
      </c>
      <c r="K36" s="15" t="n"/>
      <c r="L36" s="15" t="n"/>
      <c r="M36" s="15" t="n"/>
      <c r="N36" s="15" t="n"/>
      <c r="O36" s="15" t="n"/>
      <c r="P36" s="17" t="n">
        <v>5.18</v>
      </c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  <c r="AG36" s="15" t="n"/>
      <c r="AH36" s="15" t="n"/>
      <c r="AI36" s="15" t="n"/>
      <c r="AJ36" s="15" t="n"/>
      <c r="A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6" t="inlineStr">
        <is>
          <t>VAT (15%) on CIF+CET+CSC</t>
        </is>
      </c>
      <c r="K37" s="15" t="n"/>
      <c r="L37" s="15" t="n"/>
      <c r="M37" s="15" t="n"/>
      <c r="N37" s="15" t="n"/>
      <c r="O37" s="15" t="n"/>
      <c r="P37" s="17" t="n">
        <v>15.03</v>
      </c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</row>
    <row r="38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4" t="inlineStr">
        <is>
          <t>ESTIMATED TOTAL DUTIES</t>
        </is>
      </c>
      <c r="K38" s="18" t="n"/>
      <c r="L38" s="18" t="n"/>
      <c r="M38" s="18" t="n"/>
      <c r="N38" s="18" t="n"/>
      <c r="O38" s="18" t="n"/>
      <c r="P38" s="19" t="n">
        <v>28.84</v>
      </c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6" t="inlineStr">
        <is>
          <t>Effective Duty Rate</t>
        </is>
      </c>
      <c r="K39" s="15" t="n"/>
      <c r="L39" s="15" t="n"/>
      <c r="M39" s="15" t="n"/>
      <c r="N39" s="15" t="n"/>
      <c r="O39" s="15" t="n"/>
      <c r="P39" s="20" t="n">
        <v>0.3337962962962963</v>
      </c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</row>
    <row r="40"/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inlineStr">
        <is>
          <t>Items on other declaration(s) (10 items)</t>
        </is>
      </c>
      <c r="K41" s="21" t="n"/>
      <c r="L41" s="21" t="n"/>
      <c r="M41" s="21" t="n"/>
      <c r="N41" s="21" t="n"/>
      <c r="O41" s="21" t="n"/>
      <c r="P41" s="22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</row>
    <row r="42">
      <c r="A42" s="21" t="n"/>
      <c r="B42" s="21" t="n"/>
      <c r="C42" s="21" t="n"/>
      <c r="D42" s="21" t="n"/>
      <c r="E42" s="21" t="inlineStr">
        <is>
          <t>Shirts</t>
        </is>
      </c>
      <c r="F42" s="21" t="inlineStr">
        <is>
          <t>62063020</t>
        </is>
      </c>
      <c r="G42" s="21" t="n"/>
      <c r="H42" s="21" t="n"/>
      <c r="I42" s="21" t="n"/>
      <c r="J42" s="21" t="inlineStr">
        <is>
          <t>Ais: ys Solid Notch Neck Blouse, Casual Short Sleeve ... (+1 more) (2 items)</t>
        </is>
      </c>
      <c r="K42" s="21" t="n">
        <v>2</v>
      </c>
      <c r="L42" s="21" t="n"/>
      <c r="M42" s="21" t="n"/>
      <c r="N42" s="21" t="inlineStr">
        <is>
          <t>USD</t>
        </is>
      </c>
      <c r="O42" s="22" t="n">
        <v>2.87</v>
      </c>
      <c r="P42" s="22" t="n">
        <v>5.74</v>
      </c>
      <c r="Q42" s="22" t="n"/>
      <c r="R42" s="22" t="n"/>
      <c r="S42" s="22" t="n"/>
      <c r="T42" s="22" t="n"/>
      <c r="U42" s="22" t="n"/>
      <c r="V42" s="22" t="n"/>
      <c r="W42" s="22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inlineStr">
        <is>
          <t>ITEM-1</t>
        </is>
      </c>
      <c r="J43" s="23" t="inlineStr">
        <is>
          <t>Ais: ys Solid Notch Neck Blouse, Casual Short Sleeve ...</t>
        </is>
      </c>
      <c r="K43" s="23" t="n">
        <v>1</v>
      </c>
      <c r="L43" s="23" t="n"/>
      <c r="M43" s="23" t="n"/>
      <c r="N43" s="23" t="inlineStr">
        <is>
          <t>USD</t>
        </is>
      </c>
      <c r="O43" s="24" t="n">
        <v>3.77</v>
      </c>
      <c r="P43" s="24" t="n">
        <v>3.77</v>
      </c>
      <c r="Q43" s="24" t="n"/>
      <c r="R43" s="24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inlineStr">
        <is>
          <t>ITEM-13</t>
        </is>
      </c>
      <c r="J44" s="23" t="inlineStr">
        <is>
          <t>Striped Ruched One Shoulder Blouse, Elegant ...</t>
        </is>
      </c>
      <c r="K44" s="23" t="n">
        <v>1</v>
      </c>
      <c r="L44" s="23" t="n"/>
      <c r="M44" s="23" t="n"/>
      <c r="N44" s="23" t="inlineStr">
        <is>
          <t>USD</t>
        </is>
      </c>
      <c r="O44" s="24" t="n">
        <v>1.97</v>
      </c>
      <c r="P44" s="24" t="n">
        <v>1.97</v>
      </c>
      <c r="Q44" s="24" t="n"/>
      <c r="R44" s="24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1" t="n"/>
      <c r="B45" s="21" t="n"/>
      <c r="C45" s="21" t="n"/>
      <c r="D45" s="21" t="n"/>
      <c r="E45" s="21" t="inlineStr">
        <is>
          <t>ZINC ARTICLES</t>
        </is>
      </c>
      <c r="F45" s="21" t="inlineStr">
        <is>
          <t>79070090</t>
        </is>
      </c>
      <c r="G45" s="21" t="n"/>
      <c r="H45" s="21" t="n"/>
      <c r="I45" s="21" t="n"/>
      <c r="J45" s="21" t="inlineStr">
        <is>
          <t>1220 (+1 more) (2 items)</t>
        </is>
      </c>
      <c r="K45" s="21" t="n">
        <v>2</v>
      </c>
      <c r="L45" s="21" t="n"/>
      <c r="M45" s="21" t="n"/>
      <c r="N45" s="21" t="inlineStr">
        <is>
          <t>USD</t>
        </is>
      </c>
      <c r="O45" s="22" t="n">
        <v>2.43</v>
      </c>
      <c r="P45" s="22" t="n">
        <v>4.86</v>
      </c>
      <c r="Q45" s="22" t="n"/>
      <c r="R45" s="22" t="n"/>
      <c r="S45" s="22" t="n"/>
      <c r="T45" s="22" t="n"/>
      <c r="U45" s="22" t="n"/>
      <c r="V45" s="22" t="n"/>
      <c r="W45" s="22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inlineStr">
        <is>
          <t>ITEM-4</t>
        </is>
      </c>
      <c r="J46" s="23" t="inlineStr">
        <is>
          <t>1220</t>
        </is>
      </c>
      <c r="K46" s="23" t="n">
        <v>1</v>
      </c>
      <c r="L46" s="23" t="n"/>
      <c r="M46" s="23" t="n"/>
      <c r="N46" s="23" t="inlineStr">
        <is>
          <t>USD</t>
        </is>
      </c>
      <c r="O46" s="24" t="n">
        <v>2.47</v>
      </c>
      <c r="P46" s="24" t="n">
        <v>2.47</v>
      </c>
      <c r="Q46" s="24" t="n"/>
      <c r="R46" s="24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inlineStr">
        <is>
          <t>ITEM-7</t>
        </is>
      </c>
      <c r="J47" s="23" t="inlineStr">
        <is>
          <t>10g / 355</t>
        </is>
      </c>
      <c r="K47" s="23" t="n">
        <v>1</v>
      </c>
      <c r="L47" s="23" t="n"/>
      <c r="M47" s="23" t="n"/>
      <c r="N47" s="23" t="inlineStr">
        <is>
          <t>USD</t>
        </is>
      </c>
      <c r="O47" s="24" t="n">
        <v>2.39</v>
      </c>
      <c r="P47" s="24" t="n">
        <v>2.39</v>
      </c>
      <c r="Q47" s="24" t="n"/>
      <c r="R47" s="24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1" t="n"/>
      <c r="B48" s="21" t="n"/>
      <c r="C48" s="21" t="n"/>
      <c r="D48" s="21" t="n"/>
      <c r="E48" s="21" t="inlineStr">
        <is>
          <t>WIGS</t>
        </is>
      </c>
      <c r="F48" s="21" t="inlineStr">
        <is>
          <t>67041100</t>
        </is>
      </c>
      <c r="G48" s="21" t="n"/>
      <c r="H48" s="21" t="n"/>
      <c r="I48" s="21" t="n"/>
      <c r="J48" s="21" t="inlineStr">
        <is>
          <t>Chic Ombre Brown Highlight Wig With Bangs F... (1 items)</t>
        </is>
      </c>
      <c r="K48" s="21" t="n">
        <v>1</v>
      </c>
      <c r="L48" s="21" t="n"/>
      <c r="M48" s="21" t="n"/>
      <c r="N48" s="21" t="inlineStr">
        <is>
          <t>USD</t>
        </is>
      </c>
      <c r="O48" s="22" t="n">
        <v>0.98</v>
      </c>
      <c r="P48" s="22" t="n">
        <v>0.98</v>
      </c>
      <c r="Q48" s="22" t="n"/>
      <c r="R48" s="22" t="n"/>
      <c r="S48" s="22" t="n"/>
      <c r="T48" s="22" t="n"/>
      <c r="U48" s="22" t="n"/>
      <c r="V48" s="22" t="n"/>
      <c r="W48" s="22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inlineStr">
        <is>
          <t>ITEM-10</t>
        </is>
      </c>
      <c r="J49" s="23" t="inlineStr">
        <is>
          <t>Chic Ombre Brown Highlight Wig With Bangs F...</t>
        </is>
      </c>
      <c r="K49" s="23" t="n">
        <v>1</v>
      </c>
      <c r="L49" s="23" t="n"/>
      <c r="M49" s="23" t="n"/>
      <c r="N49" s="23" t="inlineStr">
        <is>
          <t>USD</t>
        </is>
      </c>
      <c r="O49" s="24" t="n">
        <v>0.98</v>
      </c>
      <c r="P49" s="24" t="n">
        <v>0.98</v>
      </c>
      <c r="Q49" s="24" t="n"/>
      <c r="R49" s="24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1" t="n"/>
      <c r="B50" s="21" t="n"/>
      <c r="C50" s="21" t="n"/>
      <c r="D50" s="21" t="n"/>
      <c r="E50" s="21" t="inlineStr">
        <is>
          <t>Walking-sticks, seat-sticks, whips, riding-crops and the like.</t>
        </is>
      </c>
      <c r="F50" s="21" t="inlineStr">
        <is>
          <t>66020000</t>
        </is>
      </c>
      <c r="G50" s="21" t="n"/>
      <c r="H50" s="21" t="n"/>
      <c r="I50" s="21" t="n"/>
      <c r="J50" s="21" t="inlineStr">
        <is>
          <t>iY wei, 5 Pairs Fluffy False Eyelashes Dramatic Look F... (+1 more) (2 items)</t>
        </is>
      </c>
      <c r="K50" s="21" t="n">
        <v>2</v>
      </c>
      <c r="L50" s="21" t="n"/>
      <c r="M50" s="21" t="n"/>
      <c r="N50" s="21" t="inlineStr">
        <is>
          <t>USD</t>
        </is>
      </c>
      <c r="O50" s="22" t="n">
        <v>2.225</v>
      </c>
      <c r="P50" s="22" t="n">
        <v>4.45</v>
      </c>
      <c r="Q50" s="22" t="n"/>
      <c r="R50" s="22" t="n"/>
      <c r="S50" s="22" t="n"/>
      <c r="T50" s="22" t="n"/>
      <c r="U50" s="22" t="n"/>
      <c r="V50" s="22" t="n"/>
      <c r="W50" s="22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  <c r="I51" s="23" t="inlineStr">
        <is>
          <t>ITEM-2</t>
        </is>
      </c>
      <c r="J51" s="23" t="inlineStr">
        <is>
          <t>iY wei, 5 Pairs Fluffy False Eyelashes Dramatic Look F...</t>
        </is>
      </c>
      <c r="K51" s="23" t="n">
        <v>1</v>
      </c>
      <c r="L51" s="23" t="n"/>
      <c r="M51" s="23" t="n"/>
      <c r="N51" s="23" t="inlineStr">
        <is>
          <t>USD</t>
        </is>
      </c>
      <c r="O51" s="24" t="n">
        <v>2.47</v>
      </c>
      <c r="P51" s="24" t="n">
        <v>2.47</v>
      </c>
      <c r="Q51" s="24" t="n"/>
      <c r="R51" s="24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  <c r="I52" s="23" t="inlineStr">
        <is>
          <t>ITEM-14</t>
        </is>
      </c>
      <c r="J52" s="23" t="inlineStr">
        <is>
          <t>"Eye Popper" 5-Piece 5D Faux Mink Eyelashes...</t>
        </is>
      </c>
      <c r="K52" s="23" t="n">
        <v>1</v>
      </c>
      <c r="L52" s="23" t="n"/>
      <c r="M52" s="23" t="n"/>
      <c r="N52" s="23" t="inlineStr">
        <is>
          <t>USD</t>
        </is>
      </c>
      <c r="O52" s="24" t="n">
        <v>1.98</v>
      </c>
      <c r="P52" s="24" t="n">
        <v>1.98</v>
      </c>
      <c r="Q52" s="24" t="n"/>
      <c r="R52" s="24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</row>
    <row r="53">
      <c r="A53" s="21" t="n"/>
      <c r="B53" s="21" t="n"/>
      <c r="C53" s="21" t="n"/>
      <c r="D53" s="21" t="n"/>
      <c r="E53" s="21" t="inlineStr">
        <is>
          <t>SIGNALING EQUIPMENT</t>
        </is>
      </c>
      <c r="F53" s="21" t="inlineStr">
        <is>
          <t>85319000</t>
        </is>
      </c>
      <c r="G53" s="21" t="n"/>
      <c r="H53" s="21" t="n"/>
      <c r="I53" s="21" t="n"/>
      <c r="J53" s="21" t="inlineStr">
        <is>
          <t>Black + Coffee (+2 more) (3 items)</t>
        </is>
      </c>
      <c r="K53" s="21" t="n">
        <v>3</v>
      </c>
      <c r="L53" s="21" t="n"/>
      <c r="M53" s="21" t="n"/>
      <c r="N53" s="21" t="inlineStr">
        <is>
          <t>USD</t>
        </is>
      </c>
      <c r="O53" s="22" t="n">
        <v>1.41</v>
      </c>
      <c r="P53" s="22" t="n">
        <v>4.23</v>
      </c>
      <c r="Q53" s="22" t="n"/>
      <c r="R53" s="22" t="n"/>
      <c r="S53" s="22" t="n"/>
      <c r="T53" s="22" t="n"/>
      <c r="U53" s="22" t="n"/>
      <c r="V53" s="22" t="n"/>
      <c r="W53" s="22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  <c r="I54" s="23" t="inlineStr">
        <is>
          <t>ITEM-5</t>
        </is>
      </c>
      <c r="J54" s="23" t="inlineStr">
        <is>
          <t>Black + Coffee</t>
        </is>
      </c>
      <c r="K54" s="23" t="n">
        <v>1</v>
      </c>
      <c r="L54" s="23" t="n"/>
      <c r="M54" s="23" t="n"/>
      <c r="N54" s="23" t="inlineStr">
        <is>
          <t>USD</t>
        </is>
      </c>
      <c r="O54" s="24" t="n">
        <v>1.08</v>
      </c>
      <c r="P54" s="24" t="n">
        <v>1.08</v>
      </c>
      <c r="Q54" s="24" t="n"/>
      <c r="R54" s="24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  <c r="I55" s="23" t="inlineStr">
        <is>
          <t>ITEM-8</t>
        </is>
      </c>
      <c r="J55" s="23" t="inlineStr">
        <is>
          <t>Golden</t>
        </is>
      </c>
      <c r="K55" s="23" t="n">
        <v>1</v>
      </c>
      <c r="L55" s="23" t="n"/>
      <c r="M55" s="23" t="n"/>
      <c r="N55" s="23" t="inlineStr">
        <is>
          <t>USD</t>
        </is>
      </c>
      <c r="O55" s="24" t="n">
        <v>1.18</v>
      </c>
      <c r="P55" s="24" t="n">
        <v>1.18</v>
      </c>
      <c r="Q55" s="24" t="n"/>
      <c r="R55" s="24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  <c r="I56" s="23" t="inlineStr">
        <is>
          <t>ITEM-11</t>
        </is>
      </c>
      <c r="J56" s="23" t="inlineStr">
        <is>
          <t>2 In 1 Self-adhesive Magic Lash Liner Glue Pe...</t>
        </is>
      </c>
      <c r="K56" s="23" t="n">
        <v>1</v>
      </c>
      <c r="L56" s="23" t="n"/>
      <c r="M56" s="23" t="n"/>
      <c r="N56" s="23" t="inlineStr">
        <is>
          <t>USD</t>
        </is>
      </c>
      <c r="O56" s="24" t="n">
        <v>1.97</v>
      </c>
      <c r="P56" s="24" t="n">
        <v>1.97</v>
      </c>
      <c r="Q56" s="24" t="n"/>
      <c r="R56" s="24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REFERENCE SUBTOTAL</t>
        </is>
      </c>
      <c r="K57" s="25" t="n"/>
      <c r="L57" s="25" t="n"/>
      <c r="M57" s="25" t="n"/>
      <c r="N57" s="25" t="n"/>
      <c r="O57" s="25" t="n"/>
      <c r="P57" s="26" t="n">
        <v>20.26</v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inlineStr">
        <is>
          <t>REFERENCE FREIGHT</t>
        </is>
      </c>
      <c r="K58" s="25" t="n"/>
      <c r="L58" s="25" t="n"/>
      <c r="M58" s="25" t="n"/>
      <c r="N58" s="25" t="n"/>
      <c r="O58" s="25" t="n"/>
      <c r="P58" s="26" t="n">
        <v>3</v>
      </c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inlineStr">
        <is>
          <t>REFERENCE INSURANCE</t>
        </is>
      </c>
      <c r="K59" s="25" t="n"/>
      <c r="L59" s="25" t="n"/>
      <c r="M59" s="25" t="n"/>
      <c r="N59" s="25" t="n"/>
      <c r="O59" s="25" t="n"/>
      <c r="P59" s="26" t="n">
        <v>0</v>
      </c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inlineStr">
        <is>
          <t>REFERENCE OTHER COST</t>
        </is>
      </c>
      <c r="K60" s="25" t="n"/>
      <c r="L60" s="25" t="n"/>
      <c r="M60" s="25" t="n"/>
      <c r="N60" s="25" t="n"/>
      <c r="O60" s="25" t="n"/>
      <c r="P60" s="26" t="n">
        <v>0</v>
      </c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inlineStr">
        <is>
          <t>REFERENCE DEDUCTION</t>
        </is>
      </c>
      <c r="K61" s="25" t="n"/>
      <c r="L61" s="25" t="n"/>
      <c r="M61" s="25" t="n"/>
      <c r="N61" s="25" t="n"/>
      <c r="O61" s="25" t="n"/>
      <c r="P61" s="26" t="n">
        <v>0</v>
      </c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inlineStr">
        <is>
          <t>REFERENCE ADJUSTMENTS</t>
        </is>
      </c>
      <c r="K62" s="25" t="n"/>
      <c r="L62" s="25" t="n"/>
      <c r="M62" s="25" t="n"/>
      <c r="N62" s="25" t="n"/>
      <c r="O62" s="25" t="n"/>
      <c r="P62" s="26">
        <f>P58+P59+P60-P61</f>
        <v/>
      </c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inlineStr">
        <is>
          <t>REFERENCE NET TOTAL</t>
        </is>
      </c>
      <c r="K63" s="25" t="n"/>
      <c r="L63" s="25" t="n"/>
      <c r="M63" s="25" t="n"/>
      <c r="N63" s="25" t="n"/>
      <c r="O63" s="25" t="n"/>
      <c r="P63" s="26">
        <f>P57+P62</f>
        <v/>
      </c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inlineStr">
        <is>
          <t>COMBINED ITEMS TOTAL</t>
        </is>
      </c>
      <c r="K65" s="25" t="n"/>
      <c r="L65" s="25" t="n"/>
      <c r="M65" s="25" t="n"/>
      <c r="N65" s="25" t="n"/>
      <c r="O65" s="25" t="n"/>
      <c r="P65" s="26">
        <f>P11+P57</f>
        <v/>
      </c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inlineStr">
        <is>
          <t>FULL INVOICE FREIGHT</t>
        </is>
      </c>
      <c r="K66" s="25" t="n"/>
      <c r="L66" s="25" t="n"/>
      <c r="M66" s="25" t="n"/>
      <c r="N66" s="25" t="n"/>
      <c r="O66" s="25" t="n"/>
      <c r="P66" s="26">
        <f>P15+P58</f>
        <v/>
      </c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inlineStr">
        <is>
          <t>FULL INVOICE INSURANCE</t>
        </is>
      </c>
      <c r="K67" s="25" t="n"/>
      <c r="L67" s="25" t="n"/>
      <c r="M67" s="25" t="n"/>
      <c r="N67" s="25" t="n"/>
      <c r="O67" s="25" t="n"/>
      <c r="P67" s="26">
        <f>P16+P59</f>
        <v/>
      </c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inlineStr">
        <is>
          <t>FULL INVOICE OTHER COST</t>
        </is>
      </c>
      <c r="K68" s="25" t="n"/>
      <c r="L68" s="25" t="n"/>
      <c r="M68" s="25" t="n"/>
      <c r="N68" s="25" t="n"/>
      <c r="O68" s="25" t="n"/>
      <c r="P68" s="26">
        <f>P17+P60</f>
        <v/>
      </c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inlineStr">
        <is>
          <t>FULL INVOICE DEDUCTION</t>
        </is>
      </c>
      <c r="K69" s="25" t="n"/>
      <c r="L69" s="25" t="n"/>
      <c r="M69" s="25" t="n"/>
      <c r="N69" s="25" t="n"/>
      <c r="O69" s="25" t="n"/>
      <c r="P69" s="26">
        <f>P18+P61</f>
        <v/>
      </c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inlineStr">
        <is>
          <t>FULL ADJUSTMENTS</t>
        </is>
      </c>
      <c r="K70" s="25" t="n"/>
      <c r="L70" s="25" t="n"/>
      <c r="M70" s="25" t="n"/>
      <c r="N70" s="25" t="n"/>
      <c r="O70" s="25" t="n"/>
      <c r="P70" s="26">
        <f>P66+P67+P68-P69</f>
        <v/>
      </c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inlineStr">
        <is>
          <t>COMBINED NET TOTAL</t>
        </is>
      </c>
      <c r="K71" s="25" t="n"/>
      <c r="L71" s="25" t="n"/>
      <c r="M71" s="25" t="n"/>
      <c r="N71" s="25" t="n"/>
      <c r="O71" s="25" t="n"/>
      <c r="P71" s="26">
        <f>P65+P70</f>
        <v/>
      </c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inlineStr">
        <is>
          <t>FULL INVOICE TOTAL</t>
        </is>
      </c>
      <c r="K72" s="25" t="n"/>
      <c r="L72" s="25" t="n"/>
      <c r="M72" s="25" t="n"/>
      <c r="N72" s="25" t="n"/>
      <c r="O72" s="25" t="n"/>
      <c r="P72" s="26" t="n">
        <v>44.06</v>
      </c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inlineStr">
        <is>
          <t>COMBINED VARIANCE CHECK</t>
        </is>
      </c>
      <c r="K73" s="25" t="n"/>
      <c r="L73" s="25" t="n"/>
      <c r="M73" s="25" t="n"/>
      <c r="N73" s="25" t="n"/>
      <c r="O73" s="25" t="n"/>
      <c r="P73" s="26">
        <f>P72-P71</f>
        <v/>
      </c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2026-04-25T23:39:01Z</dcterms:created>
  <dcterms:modified xmlns:dcterms="http://purl.org/dc/terms/" xmlns:xsi="http://www.w3.org/2001/XMLSchema-instance" xsi:type="dcterms:W3CDTF">2026-04-25T23:39:01Z</dcterms:modified>
</cp:coreProperties>
</file>