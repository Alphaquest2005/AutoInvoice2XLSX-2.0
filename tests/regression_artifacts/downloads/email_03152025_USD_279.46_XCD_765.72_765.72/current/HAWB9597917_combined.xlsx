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113-5364495-5165021</t>
        </is>
      </c>
      <c r="D2" s="2" t="inlineStr">
        <is>
          <t>2024-07-20</t>
        </is>
      </c>
      <c r="E2" s="2" t="inlineStr">
        <is>
          <t>WIGS</t>
        </is>
      </c>
      <c r="F2" s="2" t="inlineStr">
        <is>
          <t>67041100</t>
        </is>
      </c>
      <c r="G2" s="2" t="inlineStr"/>
      <c r="H2" s="2" t="inlineStr"/>
      <c r="I2" s="2" t="inlineStr">
        <is>
          <t>67041100</t>
        </is>
      </c>
      <c r="J2" s="2" t="inlineStr">
        <is>
          <t>Atilck Wear and Go Glueless Bob Wig - Body Wave Lace Front Human Hair Wigs fo... (+2 more) (3 items)</t>
        </is>
      </c>
      <c r="K2" s="2" t="n">
        <v>10</v>
      </c>
      <c r="L2" s="2" t="n"/>
      <c r="M2" s="2" t="inlineStr"/>
      <c r="N2" s="2" t="inlineStr">
        <is>
          <t>USD</t>
        </is>
      </c>
      <c r="O2" s="3" t="n">
        <v>26.118</v>
      </c>
      <c r="P2" s="3" t="n">
        <v>261.18</v>
      </c>
      <c r="Q2" s="3">
        <f>O2*K2</f>
        <v/>
      </c>
      <c r="R2" s="3">
        <f>P2-Q2</f>
        <v/>
      </c>
      <c r="S2" s="3" t="n">
        <v>279.49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HAWB9597917_combined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67041100</t>
        </is>
      </c>
    </row>
    <row r="3">
      <c r="A3" s="4" t="n"/>
      <c r="B3" s="4" t="n"/>
      <c r="C3" s="4" t="n"/>
      <c r="D3" s="4" t="n"/>
      <c r="E3" s="4" t="n"/>
      <c r="F3" s="4" t="inlineStr">
        <is>
          <t>67041100</t>
        </is>
      </c>
      <c r="G3" s="4" t="n"/>
      <c r="H3" s="4" t="n"/>
      <c r="I3" s="4" t="inlineStr">
        <is>
          <t>AMZ-1</t>
        </is>
      </c>
      <c r="J3" s="4" t="inlineStr">
        <is>
          <t>Atilck Wear and Go Glueless Bob Wig - Body Wave Lace Front Human Hair Wigs fo...</t>
        </is>
      </c>
      <c r="K3" s="4" t="n">
        <v>3</v>
      </c>
      <c r="L3" s="4" t="n"/>
      <c r="M3" s="4" t="inlineStr"/>
      <c r="N3" s="4" t="inlineStr">
        <is>
          <t>USD</t>
        </is>
      </c>
      <c r="O3" s="5" t="n">
        <v>28.99</v>
      </c>
      <c r="P3" s="5" t="n">
        <v>86.97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67041100</t>
        </is>
      </c>
      <c r="G4" s="4" t="n"/>
      <c r="H4" s="4" t="n"/>
      <c r="I4" s="4" t="inlineStr">
        <is>
          <t>AMZ-2</t>
        </is>
      </c>
      <c r="J4" s="4" t="inlineStr">
        <is>
          <t>MIAORUN Bob Wig Human Hair, 13x4 HD Lace Front Wigs Human Hair, 10 Inch Gluel...</t>
        </is>
      </c>
      <c r="K4" s="4" t="n">
        <v>3</v>
      </c>
      <c r="L4" s="4" t="n"/>
      <c r="M4" s="4" t="inlineStr"/>
      <c r="N4" s="4" t="inlineStr">
        <is>
          <t>USD</t>
        </is>
      </c>
      <c r="O4" s="5" t="n">
        <v>24.19</v>
      </c>
      <c r="P4" s="5" t="n">
        <v>72.56999999999999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67041100</t>
        </is>
      </c>
      <c r="G5" s="4" t="n"/>
      <c r="H5" s="4" t="n"/>
      <c r="I5" s="4" t="inlineStr">
        <is>
          <t>AMZ-3</t>
        </is>
      </c>
      <c r="J5" s="4" t="inlineStr">
        <is>
          <t>Wear and Go Glueless Wigs Human Hair Pre Plucked Pre Cut Bob Wig Human Hair 1...</t>
        </is>
      </c>
      <c r="K5" s="4" t="n">
        <v>4</v>
      </c>
      <c r="L5" s="4" t="n"/>
      <c r="M5" s="4" t="inlineStr"/>
      <c r="N5" s="4" t="inlineStr">
        <is>
          <t>USD</t>
        </is>
      </c>
      <c r="O5" s="5" t="n">
        <v>25.41</v>
      </c>
      <c r="P5" s="5" t="n">
        <v>101.64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294.49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800.1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(20%) — Tariff 67041100</t>
        </is>
      </c>
      <c r="K24" s="13" t="n"/>
      <c r="L24" s="13" t="n"/>
      <c r="M24" s="13" t="n"/>
      <c r="N24" s="13" t="n"/>
      <c r="O24" s="13" t="n"/>
      <c r="P24" s="15" t="n">
        <v>160.02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CSC (6%)</t>
        </is>
      </c>
      <c r="K25" s="13" t="n"/>
      <c r="L25" s="13" t="n"/>
      <c r="M25" s="13" t="n"/>
      <c r="N25" s="13" t="n"/>
      <c r="O25" s="13" t="n"/>
      <c r="P25" s="15" t="n">
        <v>48.01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VAT (15%) on CIF+CET+CSC</t>
        </is>
      </c>
      <c r="K26" s="13" t="n"/>
      <c r="L26" s="13" t="n"/>
      <c r="M26" s="13" t="n"/>
      <c r="N26" s="13" t="n"/>
      <c r="O26" s="13" t="n"/>
      <c r="P26" s="15" t="n">
        <v>151.22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2" t="inlineStr">
        <is>
          <t>ESTIMATED TOTAL DUTIES</t>
        </is>
      </c>
      <c r="K27" s="16" t="n"/>
      <c r="L27" s="16" t="n"/>
      <c r="M27" s="16" t="n"/>
      <c r="N27" s="16" t="n"/>
      <c r="O27" s="16" t="n"/>
      <c r="P27" s="17" t="n">
        <v>359.25</v>
      </c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Effective Duty Rate</t>
        </is>
      </c>
      <c r="K28" s="13" t="n"/>
      <c r="L28" s="13" t="n"/>
      <c r="M28" s="13" t="n"/>
      <c r="N28" s="13" t="n"/>
      <c r="O28" s="13" t="n"/>
      <c r="P28" s="18" t="n">
        <v>0.4490063742032246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CLIENT DECLARED DUTIES</t>
        </is>
      </c>
      <c r="K29" s="13" t="n"/>
      <c r="L29" s="13" t="n"/>
      <c r="M29" s="13" t="n"/>
      <c r="N29" s="13" t="n"/>
      <c r="O29" s="13" t="n"/>
      <c r="P29" s="15" t="n">
        <v>362.11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DUTY VARIANCE (Client − Estimated)</t>
        </is>
      </c>
      <c r="K30" s="13" t="n"/>
      <c r="L30" s="13" t="n"/>
      <c r="M30" s="13" t="n"/>
      <c r="N30" s="13" t="n"/>
      <c r="O30" s="13" t="n"/>
      <c r="P30" s="20" t="n">
        <v>2.86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CET RATE (from client value)</t>
        </is>
      </c>
      <c r="K31" s="13" t="n"/>
      <c r="L31" s="13" t="n"/>
      <c r="M31" s="13" t="n"/>
      <c r="N31" s="13" t="n"/>
      <c r="O31" s="13" t="n"/>
      <c r="P31" s="18" t="n">
        <v>0.2031138498991974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CIF (from declared duty @ 20% CET, XCD)</t>
        </is>
      </c>
      <c r="K32" s="13" t="n"/>
      <c r="L32" s="13" t="n"/>
      <c r="M32" s="13" t="n"/>
      <c r="N32" s="13" t="n"/>
      <c r="O32" s="13" t="n"/>
      <c r="P32" s="15" t="n">
        <v>806.48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ITEMS VALUE (USD, net of freight/insurance)</t>
        </is>
      </c>
      <c r="K33" s="13" t="n"/>
      <c r="L33" s="13" t="n"/>
      <c r="M33" s="13" t="n"/>
      <c r="N33" s="13" t="n"/>
      <c r="O33" s="13" t="n"/>
      <c r="P33" s="15" t="n">
        <v>281.84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2026-04-25T23:43:27Z</dcterms:created>
  <dcterms:modified xmlns:dcterms="http://purl.org/dc/terms/" xmlns:xsi="http://www.w3.org/2001/XMLSchema-instance" xsi:type="dcterms:W3CDTF">2026-04-25T23:43:27Z</dcterms:modified>
</cp:coreProperties>
</file>