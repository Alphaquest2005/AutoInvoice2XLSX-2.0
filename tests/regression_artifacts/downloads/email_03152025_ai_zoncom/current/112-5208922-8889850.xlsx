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7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1"/>
    </font>
    <font>
      <b val="1"/>
      <color rgb="001F4E79"/>
      <sz val="10"/>
    </font>
    <font>
      <color rgb="001F4E79"/>
      <sz val="10"/>
    </font>
    <font>
      <b val="1"/>
      <color rgb="00CC0000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1" pivotButton="0" quotePrefix="0" xfId="0"/>
    <xf numFmtId="4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0" fontId="4" fillId="3" borderId="1" pivotButton="0" quotePrefix="0" xfId="0"/>
    <xf numFmtId="0" fontId="0" fillId="0" borderId="1" pivotButton="0" quotePrefix="0" xfId="0"/>
    <xf numFmtId="0" fontId="5" fillId="0" borderId="1" pivotButton="0" quotePrefix="0" xfId="0"/>
    <xf numFmtId="164" fontId="4" fillId="0" borderId="1" pivotButton="0" quotePrefix="0" xfId="0"/>
    <xf numFmtId="0" fontId="0" fillId="3" borderId="1" pivotButton="0" quotePrefix="0" xfId="0"/>
    <xf numFmtId="164" fontId="4" fillId="3" borderId="1" pivotButton="0" quotePrefix="0" xfId="0"/>
    <xf numFmtId="165" fontId="4" fillId="0" borderId="1" pivotButton="0" quotePrefix="0" xfId="0"/>
    <xf numFmtId="0" fontId="6" fillId="0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12" customWidth="1" min="4" max="4"/>
    <col width="15" customWidth="1" min="5" max="5"/>
    <col width="12" customWidth="1" min="6" max="6"/>
    <col width="22" customWidth="1" min="7" max="7"/>
    <col width="40" customWidth="1" min="8" max="8"/>
    <col width="18" customWidth="1" min="9" max="9"/>
    <col width="45" customWidth="1" min="10" max="10"/>
    <col width="10" customWidth="1" min="11" max="11"/>
    <col width="12" customWidth="1" min="12" max="12"/>
    <col width="8" customWidth="1" min="13" max="13"/>
    <col width="8" customWidth="1" min="14" max="14"/>
    <col width="12" customWidth="1" min="15" max="15"/>
    <col width="12" customWidth="1" min="16" max="16"/>
    <col width="12" customWidth="1" min="17" max="17"/>
    <col width="14" customWidth="1" min="18" max="18"/>
    <col width="14" customWidth="1" min="19" max="19"/>
    <col width="16" customWidth="1" min="20" max="20"/>
    <col width="14" customWidth="1" min="21" max="21"/>
    <col width="14" customWidth="1" min="22" max="22"/>
    <col width="14" customWidth="1" min="23" max="23"/>
    <col width="10" customWidth="1" min="24" max="24"/>
    <col width="12" customWidth="1" min="25" max="25"/>
    <col width="14" customWidth="1" min="26" max="26"/>
    <col width="28" customWidth="1" min="27" max="27"/>
    <col width="40" customWidth="1" min="28" max="28"/>
    <col width="12" customWidth="1" min="29" max="29"/>
    <col width="12" customWidth="1" min="30" max="30"/>
    <col width="18" customWidth="1" min="31" max="31"/>
    <col width="16" customWidth="1" min="32" max="32"/>
    <col width="10" customWidth="1" min="33" max="33"/>
    <col width="10" customWidth="1" min="34" max="34"/>
    <col width="14" customWidth="1" min="35" max="35"/>
    <col width="14" customWidth="1" min="36" max="36"/>
    <col width="12" customWidth="1" min="37" max="37"/>
  </cols>
  <sheetData>
    <row r="1">
      <c r="A1" s="1" t="inlineStr">
        <is>
          <t>Document Type</t>
        </is>
      </c>
      <c r="B1" s="1" t="inlineStr">
        <is>
          <t>PO Number</t>
        </is>
      </c>
      <c r="C1" s="1" t="inlineStr">
        <is>
          <t>Supplier Invoice#</t>
        </is>
      </c>
      <c r="D1" s="1" t="inlineStr">
        <is>
          <t>Date</t>
        </is>
      </c>
      <c r="E1" s="1" t="inlineStr">
        <is>
          <t>Category</t>
        </is>
      </c>
      <c r="F1" s="1" t="inlineStr">
        <is>
          <t>TariffCode</t>
        </is>
      </c>
      <c r="G1" s="1" t="inlineStr">
        <is>
          <t>PO Item Number</t>
        </is>
      </c>
      <c r="H1" s="1" t="inlineStr">
        <is>
          <t>PO Item Description</t>
        </is>
      </c>
      <c r="I1" s="1" t="inlineStr">
        <is>
          <t>Supplier Item Number</t>
        </is>
      </c>
      <c r="J1" s="1" t="inlineStr">
        <is>
          <t>Supplier Item Description</t>
        </is>
      </c>
      <c r="K1" s="1" t="inlineStr">
        <is>
          <t>Quantity</t>
        </is>
      </c>
      <c r="L1" s="1" t="inlineStr">
        <is>
          <t>Per Unit</t>
        </is>
      </c>
      <c r="M1" s="1" t="inlineStr">
        <is>
          <t>UNITS</t>
        </is>
      </c>
      <c r="N1" s="1" t="inlineStr">
        <is>
          <t>Currency</t>
        </is>
      </c>
      <c r="O1" s="1" t="inlineStr">
        <is>
          <t>Cost</t>
        </is>
      </c>
      <c r="P1" s="1" t="inlineStr">
        <is>
          <t>Total Cost</t>
        </is>
      </c>
      <c r="Q1" s="1" t="inlineStr">
        <is>
          <t>Total</t>
        </is>
      </c>
      <c r="R1" s="1" t="inlineStr">
        <is>
          <t>TotalCost Vs Total</t>
        </is>
      </c>
      <c r="S1" s="1" t="inlineStr">
        <is>
          <t>InvoiceTotal</t>
        </is>
      </c>
      <c r="T1" s="1" t="inlineStr">
        <is>
          <t>Total Internal Freight</t>
        </is>
      </c>
      <c r="U1" s="1" t="inlineStr">
        <is>
          <t>Total Insurance</t>
        </is>
      </c>
      <c r="V1" s="1" t="inlineStr">
        <is>
          <t>Total Other Cost</t>
        </is>
      </c>
      <c r="W1" s="1" t="inlineStr">
        <is>
          <t>Total Deduction</t>
        </is>
      </c>
      <c r="X1" s="1" t="inlineStr">
        <is>
          <t>Packages</t>
        </is>
      </c>
      <c r="Y1" s="1" t="inlineStr">
        <is>
          <t>Warehouse</t>
        </is>
      </c>
      <c r="Z1" s="1" t="inlineStr">
        <is>
          <t>Supplier Code</t>
        </is>
      </c>
      <c r="AA1" s="1" t="inlineStr">
        <is>
          <t>Supplier Name</t>
        </is>
      </c>
      <c r="AB1" s="1" t="inlineStr">
        <is>
          <t>Supplier Address</t>
        </is>
      </c>
      <c r="AC1" s="1" t="inlineStr">
        <is>
          <t>Country Code</t>
        </is>
      </c>
      <c r="AD1" s="1" t="inlineStr">
        <is>
          <t>Instructions</t>
        </is>
      </c>
      <c r="AE1" s="1" t="inlineStr">
        <is>
          <t>Previous Declaration</t>
        </is>
      </c>
      <c r="AF1" s="1" t="inlineStr">
        <is>
          <t>Financial Information</t>
        </is>
      </c>
      <c r="AG1" s="1" t="inlineStr">
        <is>
          <t>Gallons</t>
        </is>
      </c>
      <c r="AH1" s="1" t="inlineStr">
        <is>
          <t>Liters</t>
        </is>
      </c>
      <c r="AI1" s="1" t="inlineStr">
        <is>
          <t>INVTotalCost</t>
        </is>
      </c>
      <c r="AJ1" s="1" t="inlineStr">
        <is>
          <t>POTotalCost</t>
        </is>
      </c>
      <c r="AK1" s="1" t="inlineStr">
        <is>
          <t>GroupBy</t>
        </is>
      </c>
    </row>
    <row r="2">
      <c r="A2" s="2" t="inlineStr">
        <is>
          <t>4000-000</t>
        </is>
      </c>
      <c r="B2" s="2" t="inlineStr"/>
      <c r="C2" s="2" t="inlineStr">
        <is>
          <t>112-5208922-8889850</t>
        </is>
      </c>
      <c r="D2" s="2" t="inlineStr"/>
      <c r="E2" s="2" t="inlineStr">
        <is>
          <t>Multiple loudspeakers, mounted in the same enclosure</t>
        </is>
      </c>
      <c r="F2" s="2" t="inlineStr">
        <is>
          <t>85182200</t>
        </is>
      </c>
      <c r="G2" s="2" t="inlineStr"/>
      <c r="H2" s="2" t="inlineStr"/>
      <c r="I2" s="2" t="inlineStr">
        <is>
          <t>AMZ-1</t>
        </is>
      </c>
      <c r="J2" s="2" t="inlineStr">
        <is>
          <t>Skar Audio SDR - 12 D 2 12 " 1200 Watt Max Power Dual 2 Ohm Car Subwoofer</t>
        </is>
      </c>
      <c r="K2" s="2" t="n">
        <v>1</v>
      </c>
      <c r="L2" s="2" t="n"/>
      <c r="M2" s="2" t="inlineStr"/>
      <c r="N2" s="2" t="inlineStr">
        <is>
          <t>USD</t>
        </is>
      </c>
      <c r="O2" s="3" t="n">
        <v>89.23999999999999</v>
      </c>
      <c r="P2" s="3" t="n">
        <v>89.23999999999999</v>
      </c>
      <c r="Q2" s="3">
        <f>O2*K2</f>
        <v/>
      </c>
      <c r="R2" s="3">
        <f>P2-Q2</f>
        <v/>
      </c>
      <c r="S2" s="3" t="n">
        <v>95.48999999999999</v>
      </c>
      <c r="T2" s="3" t="n">
        <v>0</v>
      </c>
      <c r="U2" s="3" t="n">
        <v>0</v>
      </c>
      <c r="V2" s="3" t="n">
        <v>6.25</v>
      </c>
      <c r="W2" s="3" t="n">
        <v>0</v>
      </c>
      <c r="X2" s="2" t="n">
        <v>1</v>
      </c>
      <c r="Y2" s="2" t="n"/>
      <c r="Z2" s="2" t="inlineStr">
        <is>
          <t>AMAZON</t>
        </is>
      </c>
      <c r="AA2" s="2" t="inlineStr">
        <is>
          <t>112-5208922-8889850</t>
        </is>
      </c>
      <c r="AB2" s="2" t="inlineStr">
        <is>
          <t>410 Terry Avenue North, Seattle, WA 98109</t>
        </is>
      </c>
      <c r="AC2" s="2" t="inlineStr">
        <is>
          <t>US</t>
        </is>
      </c>
      <c r="AD2" s="2" t="n"/>
      <c r="AE2" s="2" t="n"/>
      <c r="AF2" s="2" t="n"/>
      <c r="AG2" s="2" t="n"/>
      <c r="AH2" s="2" t="n"/>
      <c r="AI2" s="2" t="n"/>
      <c r="AJ2" s="2" t="n"/>
      <c r="AK2" s="2" t="inlineStr">
        <is>
          <t>85182200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inlineStr">
        <is>
          <t>SUBTOTAL</t>
        </is>
      </c>
      <c r="K3" s="4" t="n"/>
      <c r="L3" s="4" t="n"/>
      <c r="M3" s="4" t="n"/>
      <c r="N3" s="4" t="n"/>
      <c r="O3" s="4" t="n"/>
      <c r="P3" s="5">
        <f>P2</f>
        <v/>
      </c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  <c r="AH3" s="4" t="n"/>
      <c r="AI3" s="4" t="n"/>
      <c r="AJ3" s="4" t="n"/>
      <c r="AK3" s="4" t="n"/>
    </row>
    <row r="4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inlineStr">
        <is>
          <t>ADJUSTMENTS</t>
        </is>
      </c>
      <c r="K4" s="4" t="n"/>
      <c r="L4" s="4" t="n"/>
      <c r="M4" s="4" t="n"/>
      <c r="N4" s="4" t="n"/>
      <c r="O4" s="4" t="n"/>
      <c r="P4" s="5">
        <f>(T2+U2+V2-W2)</f>
        <v/>
      </c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  <c r="AH4" s="4" t="n"/>
      <c r="AI4" s="4" t="n"/>
      <c r="AJ4" s="4" t="n"/>
      <c r="AK4" s="4" t="n"/>
    </row>
    <row r="5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inlineStr">
        <is>
          <t>NET TOTAL</t>
        </is>
      </c>
      <c r="K5" s="4" t="n"/>
      <c r="L5" s="4" t="n"/>
      <c r="M5" s="4" t="n"/>
      <c r="N5" s="4" t="n"/>
      <c r="O5" s="4" t="n"/>
      <c r="P5" s="5">
        <f>(P3+P4)</f>
        <v/>
      </c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  <c r="AH5" s="4" t="n"/>
      <c r="AI5" s="4" t="n"/>
      <c r="AJ5" s="4" t="n"/>
      <c r="AK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inlineStr">
        <is>
          <t>VARIANCE CHECK</t>
        </is>
      </c>
      <c r="K6" s="4" t="n"/>
      <c r="L6" s="4" t="n"/>
      <c r="M6" s="4" t="n"/>
      <c r="N6" s="4" t="n"/>
      <c r="O6" s="4" t="n"/>
      <c r="P6" s="5">
        <f>(S2-P5)</f>
        <v/>
      </c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  <c r="AH6" s="4" t="n"/>
      <c r="AI6" s="4" t="n"/>
      <c r="AJ6" s="4" t="n"/>
      <c r="AK6" s="4" t="n"/>
    </row>
    <row r="7"/>
    <row r="8">
      <c r="A8" s="6" t="n"/>
      <c r="B8" s="6" t="n"/>
      <c r="C8" s="6" t="n"/>
      <c r="D8" s="6" t="n"/>
      <c r="E8" s="6" t="n"/>
      <c r="F8" s="6" t="n"/>
      <c r="G8" s="6" t="n"/>
      <c r="H8" s="6" t="n"/>
      <c r="I8" s="6" t="n"/>
      <c r="J8" s="6" t="inlineStr">
        <is>
          <t>DUTY ESTIMATION (Classification Cross-Check)</t>
        </is>
      </c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</row>
    <row r="9">
      <c r="A9" s="7" t="n"/>
      <c r="B9" s="7" t="n"/>
      <c r="C9" s="7" t="n"/>
      <c r="D9" s="7" t="n"/>
      <c r="E9" s="7" t="n"/>
      <c r="F9" s="7" t="n"/>
      <c r="G9" s="7" t="n"/>
      <c r="H9" s="7" t="n"/>
      <c r="I9" s="7" t="n"/>
      <c r="J9" s="8" t="inlineStr">
        <is>
          <t>CIF (USD) = InvTotal + Freight + Insurance</t>
        </is>
      </c>
      <c r="K9" s="7" t="n"/>
      <c r="L9" s="7" t="n"/>
      <c r="M9" s="7" t="n"/>
      <c r="N9" s="7" t="n"/>
      <c r="O9" s="7" t="n"/>
      <c r="P9" s="9" t="n">
        <v>136.49</v>
      </c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  <c r="AJ9" s="7" t="n"/>
      <c r="AK9" s="7" t="n"/>
    </row>
    <row r="10">
      <c r="A10" s="7" t="n"/>
      <c r="B10" s="7" t="n"/>
      <c r="C10" s="7" t="n"/>
      <c r="D10" s="7" t="n"/>
      <c r="E10" s="7" t="n"/>
      <c r="F10" s="7" t="n"/>
      <c r="G10" s="7" t="n"/>
      <c r="H10" s="7" t="n"/>
      <c r="I10" s="7" t="n"/>
      <c r="J10" s="8" t="inlineStr">
        <is>
          <t>CIF (XCD) = CIF × 2.7169</t>
        </is>
      </c>
      <c r="K10" s="7" t="n"/>
      <c r="L10" s="7" t="n"/>
      <c r="M10" s="7" t="n"/>
      <c r="N10" s="7" t="n"/>
      <c r="O10" s="7" t="n"/>
      <c r="P10" s="9" t="n">
        <v>370.83</v>
      </c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</row>
    <row r="11">
      <c r="A11" s="7" t="n"/>
      <c r="B11" s="7" t="n"/>
      <c r="C11" s="7" t="n"/>
      <c r="D11" s="7" t="n"/>
      <c r="E11" s="7" t="n"/>
      <c r="F11" s="7" t="n"/>
      <c r="G11" s="7" t="n"/>
      <c r="H11" s="7" t="n"/>
      <c r="I11" s="7" t="n"/>
      <c r="J11" s="8" t="inlineStr">
        <is>
          <t>CET (20%) — Tariff 85182200</t>
        </is>
      </c>
      <c r="K11" s="7" t="n"/>
      <c r="L11" s="7" t="n"/>
      <c r="M11" s="7" t="n"/>
      <c r="N11" s="7" t="n"/>
      <c r="O11" s="7" t="n"/>
      <c r="P11" s="9" t="n">
        <v>74.17</v>
      </c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  <c r="AJ11" s="7" t="n"/>
      <c r="AK11" s="7" t="n"/>
    </row>
    <row r="12">
      <c r="A12" s="7" t="n"/>
      <c r="B12" s="7" t="n"/>
      <c r="C12" s="7" t="n"/>
      <c r="D12" s="7" t="n"/>
      <c r="E12" s="7" t="n"/>
      <c r="F12" s="7" t="n"/>
      <c r="G12" s="7" t="n"/>
      <c r="H12" s="7" t="n"/>
      <c r="I12" s="7" t="n"/>
      <c r="J12" s="8" t="inlineStr">
        <is>
          <t>CSC (6%)</t>
        </is>
      </c>
      <c r="K12" s="7" t="n"/>
      <c r="L12" s="7" t="n"/>
      <c r="M12" s="7" t="n"/>
      <c r="N12" s="7" t="n"/>
      <c r="O12" s="7" t="n"/>
      <c r="P12" s="9" t="n">
        <v>22.25</v>
      </c>
      <c r="Q12" s="7" t="n"/>
      <c r="R12" s="7" t="n"/>
      <c r="S12" s="7" t="n"/>
      <c r="T12" s="7" t="n"/>
      <c r="U12" s="7" t="n"/>
      <c r="V12" s="7" t="n"/>
      <c r="W12" s="7" t="n"/>
      <c r="X12" s="7" t="n"/>
      <c r="Y12" s="7" t="n"/>
      <c r="Z12" s="7" t="n"/>
      <c r="AA12" s="7" t="n"/>
      <c r="AB12" s="7" t="n"/>
      <c r="AC12" s="7" t="n"/>
      <c r="AD12" s="7" t="n"/>
      <c r="AE12" s="7" t="n"/>
      <c r="AF12" s="7" t="n"/>
      <c r="AG12" s="7" t="n"/>
      <c r="AH12" s="7" t="n"/>
      <c r="AI12" s="7" t="n"/>
      <c r="AJ12" s="7" t="n"/>
      <c r="AK12" s="7" t="n"/>
    </row>
    <row r="13">
      <c r="A13" s="7" t="n"/>
      <c r="B13" s="7" t="n"/>
      <c r="C13" s="7" t="n"/>
      <c r="D13" s="7" t="n"/>
      <c r="E13" s="7" t="n"/>
      <c r="F13" s="7" t="n"/>
      <c r="G13" s="7" t="n"/>
      <c r="H13" s="7" t="n"/>
      <c r="I13" s="7" t="n"/>
      <c r="J13" s="8" t="inlineStr">
        <is>
          <t>VAT (15%) on CIF+CET+CSC</t>
        </is>
      </c>
      <c r="K13" s="7" t="n"/>
      <c r="L13" s="7" t="n"/>
      <c r="M13" s="7" t="n"/>
      <c r="N13" s="7" t="n"/>
      <c r="O13" s="7" t="n"/>
      <c r="P13" s="9" t="n">
        <v>70.09</v>
      </c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  <c r="AJ13" s="7" t="n"/>
      <c r="AK13" s="7" t="n"/>
    </row>
    <row r="14">
      <c r="A14" s="10" t="n"/>
      <c r="B14" s="10" t="n"/>
      <c r="C14" s="10" t="n"/>
      <c r="D14" s="10" t="n"/>
      <c r="E14" s="10" t="n"/>
      <c r="F14" s="10" t="n"/>
      <c r="G14" s="10" t="n"/>
      <c r="H14" s="10" t="n"/>
      <c r="I14" s="10" t="n"/>
      <c r="J14" s="6" t="inlineStr">
        <is>
          <t>ESTIMATED TOTAL DUTIES</t>
        </is>
      </c>
      <c r="K14" s="10" t="n"/>
      <c r="L14" s="10" t="n"/>
      <c r="M14" s="10" t="n"/>
      <c r="N14" s="10" t="n"/>
      <c r="O14" s="10" t="n"/>
      <c r="P14" s="11" t="n">
        <v>166.51</v>
      </c>
      <c r="Q14" s="10" t="n"/>
      <c r="R14" s="10" t="n"/>
      <c r="S14" s="10" t="n"/>
      <c r="T14" s="10" t="n"/>
      <c r="U14" s="10" t="n"/>
      <c r="V14" s="10" t="n"/>
      <c r="W14" s="10" t="n"/>
      <c r="X14" s="10" t="n"/>
      <c r="Y14" s="10" t="n"/>
      <c r="Z14" s="10" t="n"/>
      <c r="AA14" s="10" t="n"/>
      <c r="AB14" s="10" t="n"/>
      <c r="AC14" s="10" t="n"/>
      <c r="AD14" s="10" t="n"/>
      <c r="AE14" s="10" t="n"/>
      <c r="AF14" s="10" t="n"/>
      <c r="AG14" s="10" t="n"/>
      <c r="AH14" s="10" t="n"/>
      <c r="AI14" s="10" t="n"/>
      <c r="AJ14" s="10" t="n"/>
      <c r="AK14" s="10" t="n"/>
    </row>
    <row r="15">
      <c r="A15" s="7" t="n"/>
      <c r="B15" s="7" t="n"/>
      <c r="C15" s="7" t="n"/>
      <c r="D15" s="7" t="n"/>
      <c r="E15" s="7" t="n"/>
      <c r="F15" s="7" t="n"/>
      <c r="G15" s="7" t="n"/>
      <c r="H15" s="7" t="n"/>
      <c r="I15" s="7" t="n"/>
      <c r="J15" s="8" t="inlineStr">
        <is>
          <t>Effective Duty Rate</t>
        </is>
      </c>
      <c r="K15" s="7" t="n"/>
      <c r="L15" s="7" t="n"/>
      <c r="M15" s="7" t="n"/>
      <c r="N15" s="7" t="n"/>
      <c r="O15" s="7" t="n"/>
      <c r="P15" s="12" t="n">
        <v>0.449019766469811</v>
      </c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  <c r="AJ15" s="7" t="n"/>
      <c r="AK15" s="7" t="n"/>
    </row>
    <row r="16">
      <c r="A16" s="7" t="n"/>
      <c r="B16" s="7" t="n"/>
      <c r="C16" s="7" t="n"/>
      <c r="D16" s="7" t="n"/>
      <c r="E16" s="7" t="n"/>
      <c r="F16" s="7" t="n"/>
      <c r="G16" s="7" t="n"/>
      <c r="H16" s="7" t="n"/>
      <c r="I16" s="7" t="n"/>
      <c r="J16" s="8" t="inlineStr">
        <is>
          <t>CLIENT DECLARED DUTIES</t>
        </is>
      </c>
      <c r="K16" s="7" t="n"/>
      <c r="L16" s="7" t="n"/>
      <c r="M16" s="7" t="n"/>
      <c r="N16" s="7" t="n"/>
      <c r="O16" s="7" t="n"/>
      <c r="P16" s="9" t="n">
        <v>167.87</v>
      </c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</row>
    <row r="17">
      <c r="A17" s="7" t="n"/>
      <c r="B17" s="7" t="n"/>
      <c r="C17" s="7" t="n"/>
      <c r="D17" s="7" t="n"/>
      <c r="E17" s="7" t="n"/>
      <c r="F17" s="7" t="n"/>
      <c r="G17" s="7" t="n"/>
      <c r="H17" s="7" t="n"/>
      <c r="I17" s="7" t="n"/>
      <c r="J17" s="13" t="inlineStr">
        <is>
          <t>DUTY VARIANCE (Client − Estimated)</t>
        </is>
      </c>
      <c r="K17" s="7" t="n"/>
      <c r="L17" s="7" t="n"/>
      <c r="M17" s="7" t="n"/>
      <c r="N17" s="7" t="n"/>
      <c r="O17" s="7" t="n"/>
      <c r="P17" s="14" t="n">
        <v>1.36</v>
      </c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  <c r="AJ17" s="7" t="n"/>
      <c r="AK17" s="7" t="n"/>
    </row>
    <row r="18">
      <c r="A18" s="7" t="n"/>
      <c r="B18" s="7" t="n"/>
      <c r="C18" s="7" t="n"/>
      <c r="D18" s="7" t="n"/>
      <c r="E18" s="7" t="n"/>
      <c r="F18" s="7" t="n"/>
      <c r="G18" s="7" t="n"/>
      <c r="H18" s="7" t="n"/>
      <c r="I18" s="7" t="n"/>
      <c r="J18" s="8" t="inlineStr">
        <is>
          <t>IMPLIED CET RATE (from client value)</t>
        </is>
      </c>
      <c r="K18" s="7" t="n"/>
      <c r="L18" s="7" t="n"/>
      <c r="M18" s="7" t="n"/>
      <c r="N18" s="7" t="n"/>
      <c r="O18" s="7" t="n"/>
      <c r="P18" s="12" t="n">
        <v>0.2032062740573731</v>
      </c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7" t="n"/>
      <c r="AE18" s="7" t="n"/>
      <c r="AF18" s="7" t="n"/>
      <c r="AG18" s="7" t="n"/>
      <c r="AH18" s="7" t="n"/>
      <c r="AI18" s="7" t="n"/>
      <c r="AJ18" s="7" t="n"/>
      <c r="AK18" s="7" t="n"/>
    </row>
    <row r="19">
      <c r="A19" s="7" t="n"/>
      <c r="B19" s="7" t="n"/>
      <c r="C19" s="7" t="n"/>
      <c r="D19" s="7" t="n"/>
      <c r="E19" s="7" t="n"/>
      <c r="F19" s="7" t="n"/>
      <c r="G19" s="7" t="n"/>
      <c r="H19" s="7" t="n"/>
      <c r="I19" s="7" t="n"/>
      <c r="J19" s="8" t="inlineStr">
        <is>
          <t>IMPLIED CIF (from declared duty @ 20% CET, XCD)</t>
        </is>
      </c>
      <c r="K19" s="7" t="n"/>
      <c r="L19" s="7" t="n"/>
      <c r="M19" s="7" t="n"/>
      <c r="N19" s="7" t="n"/>
      <c r="O19" s="7" t="n"/>
      <c r="P19" s="9" t="n">
        <v>373.88</v>
      </c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  <c r="AJ19" s="7" t="n"/>
      <c r="AK19" s="7" t="n"/>
    </row>
    <row r="20">
      <c r="A20" s="7" t="n"/>
      <c r="B20" s="7" t="n"/>
      <c r="C20" s="7" t="n"/>
      <c r="D20" s="7" t="n"/>
      <c r="E20" s="7" t="n"/>
      <c r="F20" s="7" t="n"/>
      <c r="G20" s="7" t="n"/>
      <c r="H20" s="7" t="n"/>
      <c r="I20" s="7" t="n"/>
      <c r="J20" s="8" t="inlineStr">
        <is>
          <t>IMPLIED ITEMS VALUE (USD, net of freight/insurance)</t>
        </is>
      </c>
      <c r="K20" s="7" t="n"/>
      <c r="L20" s="7" t="n"/>
      <c r="M20" s="7" t="n"/>
      <c r="N20" s="7" t="n"/>
      <c r="O20" s="7" t="n"/>
      <c r="P20" s="9" t="n">
        <v>96.61</v>
      </c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2026-04-25T23:56:15Z</dcterms:created>
  <dcterms:modified xmlns:dcterms="http://purl.org/dc/terms/" xmlns:xsi="http://www.w3.org/2001/XMLSchema-instance" xsi:type="dcterms:W3CDTF">2026-04-25T23:56:15Z</dcterms:modified>
</cp:coreProperties>
</file>