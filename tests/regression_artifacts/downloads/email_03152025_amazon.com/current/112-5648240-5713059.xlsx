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112-5648240-5713059</t>
        </is>
      </c>
      <c r="D2" s="2" t="inlineStr"/>
      <c r="E2" s="2" t="inlineStr">
        <is>
          <t>Parts</t>
        </is>
      </c>
      <c r="F2" s="2" t="inlineStr">
        <is>
          <t>85119000</t>
        </is>
      </c>
      <c r="G2" s="2" t="inlineStr"/>
      <c r="H2" s="2" t="inlineStr"/>
      <c r="I2" s="2" t="inlineStr">
        <is>
          <t>85119000</t>
        </is>
      </c>
      <c r="J2" s="2" t="inlineStr">
        <is>
          <t>4 Pack Gas Range Stove Ignitor Electrode 8523793 Replacement for Whirlpool Ga... (+1 more) (2 items)</t>
        </is>
      </c>
      <c r="K2" s="2" t="n">
        <v>2</v>
      </c>
      <c r="L2" s="2" t="n"/>
      <c r="M2" s="2" t="inlineStr"/>
      <c r="N2" s="2" t="inlineStr">
        <is>
          <t>USD</t>
        </is>
      </c>
      <c r="O2" s="3" t="n">
        <v>19.675</v>
      </c>
      <c r="P2" s="3" t="n">
        <v>39.34999999999999</v>
      </c>
      <c r="Q2" s="3">
        <f>O2*K2</f>
        <v/>
      </c>
      <c r="R2" s="3">
        <f>P2-Q2</f>
        <v/>
      </c>
      <c r="S2" s="3" t="n">
        <v>42.11</v>
      </c>
      <c r="T2" s="3" t="n">
        <v>0</v>
      </c>
      <c r="U2" s="3" t="n">
        <v>0</v>
      </c>
      <c r="V2" s="3" t="n">
        <v>2.76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Amazon.com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85119000</t>
        </is>
      </c>
    </row>
    <row r="3">
      <c r="A3" s="4" t="n"/>
      <c r="B3" s="4" t="n"/>
      <c r="C3" s="4" t="n"/>
      <c r="D3" s="4" t="n"/>
      <c r="E3" s="4" t="n"/>
      <c r="F3" s="4" t="inlineStr">
        <is>
          <t>85119000</t>
        </is>
      </c>
      <c r="G3" s="4" t="n"/>
      <c r="H3" s="4" t="n"/>
      <c r="I3" s="4" t="inlineStr">
        <is>
          <t>AMZ-1</t>
        </is>
      </c>
      <c r="J3" s="4" t="inlineStr">
        <is>
          <t>4 Pack Gas Range Stove Ignitor Electrode 8523793 Replacement for Whirlpool Ga...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13.36</v>
      </c>
      <c r="P3" s="5" t="n">
        <v>13.36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inlineStr">
        <is>
          <t>85119000</t>
        </is>
      </c>
      <c r="G4" s="4" t="n"/>
      <c r="H4" s="4" t="n"/>
      <c r="I4" s="4" t="inlineStr">
        <is>
          <t>AMZ-2</t>
        </is>
      </c>
      <c r="J4" s="4" t="inlineStr">
        <is>
          <t>Gas Range Oven Igniter W 10918546 Fit for Whirl - pool ( SF 1 / 2 / 3 , TGR V...</t>
        </is>
      </c>
      <c r="K4" s="4" t="n">
        <v>1</v>
      </c>
      <c r="L4" s="4" t="n"/>
      <c r="M4" s="4" t="inlineStr"/>
      <c r="N4" s="4" t="inlineStr">
        <is>
          <t>USD</t>
        </is>
      </c>
      <c r="O4" s="5" t="n">
        <v>25.99</v>
      </c>
      <c r="P4" s="5" t="n">
        <v>25.99</v>
      </c>
      <c r="Q4" s="5">
        <f>O4*K4</f>
        <v/>
      </c>
      <c r="R4" s="5">
        <f>P4-Q4</f>
        <v/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inlineStr">
        <is>
          <t>SUBTOTAL (GROUPED)</t>
        </is>
      </c>
      <c r="K5" s="6" t="n"/>
      <c r="L5" s="6" t="n"/>
      <c r="M5" s="6" t="n"/>
      <c r="N5" s="6" t="n"/>
      <c r="O5" s="6" t="n"/>
      <c r="P5" s="7">
        <f>P2</f>
        <v/>
      </c>
      <c r="Q5" s="7">
        <f>Q2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inlineStr">
        <is>
          <t>SUBTOTAL (DETAILS)</t>
        </is>
      </c>
      <c r="K6" s="6" t="n"/>
      <c r="L6" s="6" t="n"/>
      <c r="M6" s="6" t="n"/>
      <c r="N6" s="6" t="n"/>
      <c r="O6" s="6" t="n"/>
      <c r="P6" s="7">
        <f>SUM(P2:P4)-P5</f>
        <v/>
      </c>
      <c r="Q6" s="7">
        <f>SUM(Q2:Q4)-Q5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inlineStr">
        <is>
          <t>GROUP VERIFICATION</t>
        </is>
      </c>
      <c r="K7" s="8" t="n"/>
      <c r="L7" s="8" t="n"/>
      <c r="M7" s="8" t="n"/>
      <c r="N7" s="8" t="n"/>
      <c r="O7" s="8" t="n"/>
      <c r="P7" s="9">
        <f>P5-P6</f>
        <v/>
      </c>
      <c r="Q7" s="9">
        <f>Q5-Q6</f>
        <v/>
      </c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</row>
    <row r="8"/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TOTAL INTERNAL FREIGHT</t>
        </is>
      </c>
      <c r="K9" s="6" t="n"/>
      <c r="L9" s="6" t="n"/>
      <c r="M9" s="6" t="n"/>
      <c r="N9" s="6" t="n"/>
      <c r="O9" s="6" t="n"/>
      <c r="P9" s="7" t="n">
        <v>0</v>
      </c>
      <c r="Q9" s="7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INSURANCE</t>
        </is>
      </c>
      <c r="K10" s="6" t="n"/>
      <c r="L10" s="6" t="n"/>
      <c r="M10" s="6" t="n"/>
      <c r="N10" s="6" t="n"/>
      <c r="O10" s="6" t="n"/>
      <c r="P10" s="7" t="n">
        <v>0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OTHER COST</t>
        </is>
      </c>
      <c r="K11" s="6" t="n"/>
      <c r="L11" s="6" t="n"/>
      <c r="M11" s="6" t="n"/>
      <c r="N11" s="6" t="n"/>
      <c r="O11" s="6" t="n"/>
      <c r="P11" s="7" t="n">
        <v>2.76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TOTAL DEDUCTION</t>
        </is>
      </c>
      <c r="K12" s="6" t="n"/>
      <c r="L12" s="6" t="n"/>
      <c r="M12" s="6" t="n"/>
      <c r="N12" s="6" t="n"/>
      <c r="O12" s="6" t="n"/>
      <c r="P12" s="7" t="n">
        <v>0</v>
      </c>
      <c r="Q12" s="7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inlineStr">
        <is>
          <t>ADJUSTMENTS</t>
        </is>
      </c>
      <c r="K13" s="6" t="n"/>
      <c r="L13" s="6" t="n"/>
      <c r="M13" s="6" t="n"/>
      <c r="N13" s="6" t="n"/>
      <c r="O13" s="6" t="n"/>
      <c r="P13" s="7">
        <f>(T2+U2+V2-W2)</f>
        <v/>
      </c>
      <c r="Q13" s="7">
        <f>(T2+U2+V2-W2)</f>
        <v/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/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NET TOTAL</t>
        </is>
      </c>
      <c r="K15" s="6" t="n"/>
      <c r="L15" s="6" t="n"/>
      <c r="M15" s="6" t="n"/>
      <c r="N15" s="6" t="n"/>
      <c r="O15" s="6" t="n"/>
      <c r="P15" s="7">
        <f>P5+P13</f>
        <v/>
      </c>
      <c r="Q15" s="7">
        <f>Q5+Q13</f>
        <v/>
      </c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inlineStr">
        <is>
          <t>INVOICE TOTAL</t>
        </is>
      </c>
      <c r="K16" s="6" t="n"/>
      <c r="L16" s="6" t="n"/>
      <c r="M16" s="6" t="n"/>
      <c r="N16" s="6" t="n"/>
      <c r="O16" s="6" t="n"/>
      <c r="P16" s="7">
        <f>S2</f>
        <v/>
      </c>
      <c r="Q16" s="7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/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inlineStr">
        <is>
          <t>VARIANCE CHECK</t>
        </is>
      </c>
      <c r="K18" s="10" t="n"/>
      <c r="L18" s="10" t="n"/>
      <c r="M18" s="10" t="n"/>
      <c r="N18" s="10" t="n"/>
      <c r="O18" s="10" t="n"/>
      <c r="P18" s="11">
        <f>S2-P15</f>
        <v/>
      </c>
      <c r="Q18" s="11">
        <f>S2-Q15</f>
        <v/>
      </c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</row>
    <row r="19"/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inlineStr">
        <is>
          <t>DUTY ESTIMATION (Classification Cross-Check)</t>
        </is>
      </c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inlineStr">
        <is>
          <t>CIF (USD) = InvTotal + Freight + Insurance</t>
        </is>
      </c>
      <c r="K21" s="13" t="n"/>
      <c r="L21" s="13" t="n"/>
      <c r="M21" s="13" t="n"/>
      <c r="N21" s="13" t="n"/>
      <c r="O21" s="13" t="n"/>
      <c r="P21" s="15" t="n">
        <v>42.11</v>
      </c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inlineStr">
        <is>
          <t>CIF (XCD) = CIF × 2.7169</t>
        </is>
      </c>
      <c r="K22" s="13" t="n"/>
      <c r="L22" s="13" t="n"/>
      <c r="M22" s="13" t="n"/>
      <c r="N22" s="13" t="n"/>
      <c r="O22" s="13" t="n"/>
      <c r="P22" s="15" t="n">
        <v>114.41</v>
      </c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4" t="inlineStr">
        <is>
          <t>CET (20%) — Tariff 85119000</t>
        </is>
      </c>
      <c r="K23" s="13" t="n"/>
      <c r="L23" s="13" t="n"/>
      <c r="M23" s="13" t="n"/>
      <c r="N23" s="13" t="n"/>
      <c r="O23" s="13" t="n"/>
      <c r="P23" s="15" t="n">
        <v>22.88</v>
      </c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4" t="inlineStr">
        <is>
          <t>CSC (6%)</t>
        </is>
      </c>
      <c r="K24" s="13" t="n"/>
      <c r="L24" s="13" t="n"/>
      <c r="M24" s="13" t="n"/>
      <c r="N24" s="13" t="n"/>
      <c r="O24" s="13" t="n"/>
      <c r="P24" s="15" t="n">
        <v>6.86</v>
      </c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4" t="inlineStr">
        <is>
          <t>VAT (15%) on CIF+CET+CSC</t>
        </is>
      </c>
      <c r="K25" s="13" t="n"/>
      <c r="L25" s="13" t="n"/>
      <c r="M25" s="13" t="n"/>
      <c r="N25" s="13" t="n"/>
      <c r="O25" s="13" t="n"/>
      <c r="P25" s="15" t="n">
        <v>21.62</v>
      </c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2" t="inlineStr">
        <is>
          <t>ESTIMATED TOTAL DUTIES</t>
        </is>
      </c>
      <c r="K26" s="16" t="n"/>
      <c r="L26" s="16" t="n"/>
      <c r="M26" s="16" t="n"/>
      <c r="N26" s="16" t="n"/>
      <c r="O26" s="16" t="n"/>
      <c r="P26" s="17" t="n">
        <v>51.36</v>
      </c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inlineStr">
        <is>
          <t>Effective Duty Rate</t>
        </is>
      </c>
      <c r="K27" s="13" t="n"/>
      <c r="L27" s="13" t="n"/>
      <c r="M27" s="13" t="n"/>
      <c r="N27" s="13" t="n"/>
      <c r="O27" s="13" t="n"/>
      <c r="P27" s="18" t="n">
        <v>0.4489118084083559</v>
      </c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2026-04-26T23:43:28Z</dcterms:created>
  <dcterms:modified xmlns:dcterms="http://purl.org/dc/terms/" xmlns:xsi="http://www.w3.org/2001/XMLSchema-instance" xsi:type="dcterms:W3CDTF">2026-04-26T23:43:28Z</dcterms:modified>
</cp:coreProperties>
</file>