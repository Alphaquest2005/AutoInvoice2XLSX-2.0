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112-2894545-9421810</t>
        </is>
      </c>
      <c r="D2" s="2" t="inlineStr">
        <is>
          <t>2024-07-24</t>
        </is>
      </c>
      <c r="E2" s="2" t="inlineStr">
        <is>
          <t>Iron/steel articles</t>
        </is>
      </c>
      <c r="F2" s="2" t="inlineStr">
        <is>
          <t>73239900</t>
        </is>
      </c>
      <c r="G2" s="2" t="inlineStr"/>
      <c r="H2" s="2" t="inlineStr"/>
      <c r="I2" s="2" t="inlineStr">
        <is>
          <t>73239900</t>
        </is>
      </c>
      <c r="J2" s="2" t="inlineStr">
        <is>
          <t>Fox Run Rectangular Cooling Rack, Iron/Chrome, 10-Inch x 14-Inch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14.49</v>
      </c>
      <c r="P2" s="3" t="n">
        <v>28.98</v>
      </c>
      <c r="Q2" s="3">
        <f>O2*K2</f>
        <v/>
      </c>
      <c r="R2" s="3">
        <f>P2-Q2</f>
        <v/>
      </c>
      <c r="S2" s="3" t="n">
        <v>31.01</v>
      </c>
      <c r="T2" s="3" t="n">
        <v>0</v>
      </c>
      <c r="U2" s="3" t="n">
        <v>0</v>
      </c>
      <c r="V2" s="3" t="n">
        <v>2.03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112-2894545-9421810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73239900</t>
        </is>
      </c>
    </row>
    <row r="3">
      <c r="A3" s="4" t="n"/>
      <c r="B3" s="4" t="n"/>
      <c r="C3" s="4" t="n"/>
      <c r="D3" s="4" t="n"/>
      <c r="E3" s="4" t="n"/>
      <c r="F3" s="4" t="inlineStr">
        <is>
          <t>73239900</t>
        </is>
      </c>
      <c r="G3" s="4" t="n"/>
      <c r="H3" s="4" t="n"/>
      <c r="I3" s="4" t="inlineStr">
        <is>
          <t>AMZ-1</t>
        </is>
      </c>
      <c r="J3" s="4" t="inlineStr">
        <is>
          <t>Fox Run Rectangular Cooling Rack, Iron/Chrome, 10-Inch x 14-Inch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14.49</v>
      </c>
      <c r="P3" s="5" t="n">
        <v>14.49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73239900</t>
        </is>
      </c>
      <c r="G4" s="4" t="n"/>
      <c r="H4" s="4" t="n"/>
      <c r="I4" s="4" t="inlineStr">
        <is>
          <t>AMZ-2</t>
        </is>
      </c>
      <c r="J4" s="4" t="inlineStr">
        <is>
          <t>Wulankd Universal Adjustable Oven Cooker Shelf Rack, Telescopic Oven Cooker S...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14.49</v>
      </c>
      <c r="P4" s="5" t="n">
        <v>14.49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2.03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38.01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103.27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73239900</t>
        </is>
      </c>
      <c r="K23" s="13" t="n"/>
      <c r="L23" s="13" t="n"/>
      <c r="M23" s="13" t="n"/>
      <c r="N23" s="13" t="n"/>
      <c r="O23" s="13" t="n"/>
      <c r="P23" s="15" t="n">
        <v>20.65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6.2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19.52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46.37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0.4490171395371357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CLIENT DECLARED DUTIES</t>
        </is>
      </c>
      <c r="K28" s="13" t="n"/>
      <c r="L28" s="13" t="n"/>
      <c r="M28" s="13" t="n"/>
      <c r="N28" s="13" t="n"/>
      <c r="O28" s="13" t="n"/>
      <c r="P28" s="15" t="n">
        <v>46.37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9" t="inlineStr">
        <is>
          <t>DUTY VARIANCE (Client − Estimated)</t>
        </is>
      </c>
      <c r="K29" s="13" t="n"/>
      <c r="L29" s="13" t="n"/>
      <c r="M29" s="13" t="n"/>
      <c r="N29" s="13" t="n"/>
      <c r="O29" s="13" t="n"/>
      <c r="P29" s="15" t="n">
        <v>0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IMPLIED CET RATE (from client value)</t>
        </is>
      </c>
      <c r="K30" s="13" t="n"/>
      <c r="L30" s="13" t="n"/>
      <c r="M30" s="13" t="n"/>
      <c r="N30" s="13" t="n"/>
      <c r="O30" s="13" t="n"/>
      <c r="P30" s="18" t="n">
        <v>0.2000149039453354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IMPLIED CIF (from declared duty @ 20% CET, XCD)</t>
        </is>
      </c>
      <c r="K31" s="13" t="n"/>
      <c r="L31" s="13" t="n"/>
      <c r="M31" s="13" t="n"/>
      <c r="N31" s="13" t="n"/>
      <c r="O31" s="13" t="n"/>
      <c r="P31" s="15" t="n">
        <v>103.27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IMPLIED ITEMS VALUE (USD, net of freight/insurance)</t>
        </is>
      </c>
      <c r="K32" s="13" t="n"/>
      <c r="L32" s="13" t="n"/>
      <c r="M32" s="13" t="n"/>
      <c r="N32" s="13" t="n"/>
      <c r="O32" s="13" t="n"/>
      <c r="P32" s="15" t="n">
        <v>31.01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2026-04-26T00:12:56Z</dcterms:created>
  <dcterms:modified xmlns:dcterms="http://purl.org/dc/terms/" xmlns:xsi="http://www.w3.org/2001/XMLSchema-instance" xsi:type="dcterms:W3CDTF">2026-04-26T00:12:56Z</dcterms:modified>
</cp:coreProperties>
</file>