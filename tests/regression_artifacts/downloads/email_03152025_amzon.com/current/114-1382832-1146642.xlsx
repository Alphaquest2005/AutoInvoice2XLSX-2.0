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114-1382832-1146642</t>
        </is>
      </c>
      <c r="D2" s="2" t="inlineStr"/>
      <c r="E2" s="2" t="inlineStr">
        <is>
          <t>RE-USABLE NET SHOPPING BAGS</t>
        </is>
      </c>
      <c r="F2" s="2" t="inlineStr">
        <is>
          <t>56081990</t>
        </is>
      </c>
      <c r="G2" s="2" t="inlineStr"/>
      <c r="H2" s="2" t="inlineStr"/>
      <c r="I2" s="2" t="inlineStr">
        <is>
          <t>AMZ-1</t>
        </is>
      </c>
      <c r="J2" s="2" t="inlineStr">
        <is>
          <t>Berlune 5 x 1000 ft Trellis Netting , Soft Mesh Nylon Trellis Netting Bulk Ro...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87.98999999999999</v>
      </c>
      <c r="P2" s="3" t="n">
        <v>87.98999999999999</v>
      </c>
      <c r="Q2" s="3">
        <f>O2*K2</f>
        <v/>
      </c>
      <c r="R2" s="3">
        <f>P2-Q2</f>
        <v/>
      </c>
      <c r="S2" s="3" t="n">
        <v>94.15000000000001</v>
      </c>
      <c r="T2" s="3" t="n">
        <v>0</v>
      </c>
      <c r="U2" s="3" t="n">
        <v>0</v>
      </c>
      <c r="V2" s="3" t="n">
        <v>6.16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114-1382832-1146642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56081990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117.15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318.28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(5%) — Tariff 56081990</t>
        </is>
      </c>
      <c r="K11" s="7" t="n"/>
      <c r="L11" s="7" t="n"/>
      <c r="M11" s="7" t="n"/>
      <c r="N11" s="7" t="n"/>
      <c r="O11" s="7" t="n"/>
      <c r="P11" s="9" t="n">
        <v>15.91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19.1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52.99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88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0.2764861128566043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125.36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37.36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CET RATE (from client value)</t>
        </is>
      </c>
      <c r="K18" s="7" t="n"/>
      <c r="L18" s="7" t="n"/>
      <c r="M18" s="7" t="n"/>
      <c r="N18" s="7" t="n"/>
      <c r="O18" s="7" t="n"/>
      <c r="P18" s="12" t="n">
        <v>0.1520582915781019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13" t="inlineStr">
        <is>
          <t>⚠ CET MISMATCH: System=5% vs Client≈15% — review classification</t>
        </is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inlineStr">
        <is>
          <t>IMPLIED CIF (from declared duty @ 5% CET, XCD)</t>
        </is>
      </c>
      <c r="K20" s="7" t="n"/>
      <c r="L20" s="7" t="n"/>
      <c r="M20" s="7" t="n"/>
      <c r="N20" s="7" t="n"/>
      <c r="O20" s="7" t="n"/>
      <c r="P20" s="9" t="n">
        <v>453.38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8" t="inlineStr">
        <is>
          <t>IMPLIED ITEMS VALUE (USD, net of freight/insurance)</t>
        </is>
      </c>
      <c r="K21" s="7" t="n"/>
      <c r="L21" s="7" t="n"/>
      <c r="M21" s="7" t="n"/>
      <c r="N21" s="7" t="n"/>
      <c r="O21" s="7" t="n"/>
      <c r="P21" s="9" t="n">
        <v>143.87</v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13" t="inlineStr">
        <is>
          <t>⚠ ITEM ALLOCATION CHECK: actual $87.99 USD vs implied $143.87 USD — UNDER-ALLOCATED (items from another waybill may belong here)</t>
        </is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2026-04-26T00:16:06Z</dcterms:created>
  <dcterms:modified xmlns:dcterms="http://purl.org/dc/terms/" xmlns:xsi="http://www.w3.org/2001/XMLSchema-instance" xsi:type="dcterms:W3CDTF">2026-04-26T00:16:06Z</dcterms:modified>
</cp:coreProperties>
</file>