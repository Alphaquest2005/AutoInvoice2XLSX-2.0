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114-8204840-5125866</t>
        </is>
      </c>
      <c r="D2" s="2" t="inlineStr"/>
      <c r="E2" s="2" t="inlineStr">
        <is>
          <t>ELECTRICAL APPLIANCES</t>
        </is>
      </c>
      <c r="F2" s="2" t="inlineStr">
        <is>
          <t>85044000</t>
        </is>
      </c>
      <c r="G2" s="2" t="inlineStr"/>
      <c r="H2" s="2" t="inlineStr"/>
      <c r="I2" s="2" t="inlineStr">
        <is>
          <t>85044000</t>
        </is>
      </c>
      <c r="J2" s="2" t="inlineStr">
        <is>
          <t>Samsung S 23 S 24 Ultra Super Fast Charger 45 W USB C Super Fast Charging Wal...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2.99</v>
      </c>
      <c r="P2" s="3" t="n">
        <v>2.99</v>
      </c>
      <c r="Q2" s="3">
        <f>O2*K2</f>
        <v/>
      </c>
      <c r="R2" s="3">
        <f>P2-Q2</f>
        <v/>
      </c>
      <c r="S2" s="3" t="n">
        <v>31.88</v>
      </c>
      <c r="T2" s="3" t="n">
        <v>3</v>
      </c>
      <c r="U2" s="3" t="n">
        <v>0</v>
      </c>
      <c r="V2" s="3" t="n">
        <v>1.89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85044000</t>
        </is>
      </c>
    </row>
    <row r="3">
      <c r="A3" s="4" t="n"/>
      <c r="B3" s="4" t="n"/>
      <c r="C3" s="4" t="n"/>
      <c r="D3" s="4" t="n"/>
      <c r="E3" s="4" t="n"/>
      <c r="F3" s="4" t="inlineStr">
        <is>
          <t>85044000</t>
        </is>
      </c>
      <c r="G3" s="4" t="n"/>
      <c r="H3" s="4" t="n"/>
      <c r="I3" s="4" t="inlineStr">
        <is>
          <t>AMZ-1</t>
        </is>
      </c>
      <c r="J3" s="4" t="inlineStr">
        <is>
          <t>Samsung S 23 S 24 Ultra Super Fast Charger 45 W USB C Super Fast Charging Wal...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2.99</v>
      </c>
      <c r="P3" s="5" t="n">
        <v>2.99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114-8204840-5125866</t>
        </is>
      </c>
      <c r="D4" s="2" t="inlineStr"/>
      <c r="E4" s="2" t="inlineStr">
        <is>
          <t>OTHER APPARATUS</t>
        </is>
      </c>
      <c r="F4" s="2" t="inlineStr">
        <is>
          <t>39269090</t>
        </is>
      </c>
      <c r="G4" s="2" t="inlineStr"/>
      <c r="H4" s="2" t="inlineStr"/>
      <c r="I4" s="2" t="inlineStr">
        <is>
          <t>39269090</t>
        </is>
      </c>
      <c r="J4" s="2" t="inlineStr">
        <is>
          <t>amFilm Auto - Alignment OneTouch for Samsung Galaxy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24</v>
      </c>
      <c r="P4" s="3" t="n">
        <v>24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39269090</t>
        </is>
      </c>
    </row>
    <row r="5">
      <c r="A5" s="4" t="n"/>
      <c r="B5" s="4" t="n"/>
      <c r="C5" s="4" t="n"/>
      <c r="D5" s="4" t="n"/>
      <c r="E5" s="4" t="n"/>
      <c r="F5" s="4" t="inlineStr">
        <is>
          <t>39269090</t>
        </is>
      </c>
      <c r="G5" s="4" t="n"/>
      <c r="H5" s="4" t="n"/>
      <c r="I5" s="4" t="inlineStr">
        <is>
          <t>AMZ-3</t>
        </is>
      </c>
      <c r="J5" s="4" t="inlineStr">
        <is>
          <t>amFilm Auto - Alignment OneTouch for Samsung Galaxy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24</v>
      </c>
      <c r="P5" s="5" t="n">
        <v>24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P2+P4</f>
        <v/>
      </c>
      <c r="Q6" s="7">
        <f>Q2+Q4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3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1.89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34.88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94.77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(weighted avg 18.3%)</t>
        </is>
      </c>
      <c r="K24" s="13" t="n"/>
      <c r="L24" s="13" t="n"/>
      <c r="M24" s="13" t="n"/>
      <c r="N24" s="13" t="n"/>
      <c r="O24" s="13" t="n"/>
      <c r="P24" s="15" t="n">
        <v>17.38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 xml:space="preserve">  └ 39269090: 20% CET (89% of value)</t>
        </is>
      </c>
      <c r="K25" s="13" t="n"/>
      <c r="L25" s="13" t="n"/>
      <c r="M25" s="13" t="n"/>
      <c r="N25" s="13" t="n"/>
      <c r="O25" s="13" t="n"/>
      <c r="P25" s="15" t="n">
        <v>16.85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85044000: 5% CET (11% of value)</t>
        </is>
      </c>
      <c r="K26" s="13" t="n"/>
      <c r="L26" s="13" t="n"/>
      <c r="M26" s="13" t="n"/>
      <c r="N26" s="13" t="n"/>
      <c r="O26" s="13" t="n"/>
      <c r="P26" s="15" t="n">
        <v>0.52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CSC (6%)</t>
        </is>
      </c>
      <c r="K27" s="13" t="n"/>
      <c r="L27" s="13" t="n"/>
      <c r="M27" s="13" t="n"/>
      <c r="N27" s="13" t="n"/>
      <c r="O27" s="13" t="n"/>
      <c r="P27" s="15" t="n">
        <v>5.69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VAT (15%) on CIF+CET+CSC</t>
        </is>
      </c>
      <c r="K28" s="13" t="n"/>
      <c r="L28" s="13" t="n"/>
      <c r="M28" s="13" t="n"/>
      <c r="N28" s="13" t="n"/>
      <c r="O28" s="13" t="n"/>
      <c r="P28" s="15" t="n">
        <v>17.68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2" t="inlineStr">
        <is>
          <t>ESTIMATED TOTAL DUTIES</t>
        </is>
      </c>
      <c r="K29" s="16" t="n"/>
      <c r="L29" s="16" t="n"/>
      <c r="M29" s="16" t="n"/>
      <c r="N29" s="16" t="n"/>
      <c r="O29" s="16" t="n"/>
      <c r="P29" s="17" t="n">
        <v>40.75</v>
      </c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Effective Duty Rate</t>
        </is>
      </c>
      <c r="K30" s="13" t="n"/>
      <c r="L30" s="13" t="n"/>
      <c r="M30" s="13" t="n"/>
      <c r="N30" s="13" t="n"/>
      <c r="O30" s="13" t="n"/>
      <c r="P30" s="18" t="n">
        <v>0.4299883929513559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inlineStr">
        <is>
          <t>Items on other declaration(s) (2 items)</t>
        </is>
      </c>
      <c r="K32" s="19" t="n"/>
      <c r="L32" s="19" t="n"/>
      <c r="M32" s="19" t="n"/>
      <c r="N32" s="19" t="n"/>
      <c r="O32" s="19" t="n"/>
      <c r="P32" s="20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>
      <c r="A33" s="19" t="n"/>
      <c r="B33" s="19" t="n"/>
      <c r="C33" s="19" t="n"/>
      <c r="D33" s="19" t="n"/>
      <c r="E33" s="19" t="inlineStr">
        <is>
          <t>Articles of leather; saddlery and harness; travel goods, handbags</t>
        </is>
      </c>
      <c r="F33" s="19" t="inlineStr">
        <is>
          <t>42022900</t>
        </is>
      </c>
      <c r="G33" s="19" t="n"/>
      <c r="H33" s="19" t="n"/>
      <c r="I33" s="19" t="n"/>
      <c r="J33" s="19" t="inlineStr">
        <is>
          <t>FLIPALM for Samsung Galaxy S 24 Ultra Wallet Case with RFID Blocking Credit C... (+1 more) (2 items)</t>
        </is>
      </c>
      <c r="K33" s="19" t="n">
        <v>2</v>
      </c>
      <c r="L33" s="19" t="n"/>
      <c r="M33" s="19" t="n"/>
      <c r="N33" s="19" t="inlineStr">
        <is>
          <t>USD</t>
        </is>
      </c>
      <c r="O33" s="20" t="n">
        <v>19.99</v>
      </c>
      <c r="P33" s="20" t="n">
        <v>39.98</v>
      </c>
      <c r="Q33" s="20" t="n"/>
      <c r="R33" s="20" t="n"/>
      <c r="S33" s="20" t="n"/>
      <c r="T33" s="20" t="n"/>
      <c r="U33" s="20" t="n"/>
      <c r="V33" s="20" t="n"/>
      <c r="W33" s="20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inlineStr">
        <is>
          <t>AMZ-2</t>
        </is>
      </c>
      <c r="J34" s="21" t="inlineStr">
        <is>
          <t>FLIPALM for Samsung Galaxy S 24 Ultra Wallet Case with RFID Blocking Credit C...</t>
        </is>
      </c>
      <c r="K34" s="21" t="n">
        <v>1</v>
      </c>
      <c r="L34" s="21" t="n"/>
      <c r="M34" s="21" t="n"/>
      <c r="N34" s="21" t="inlineStr">
        <is>
          <t>USD</t>
        </is>
      </c>
      <c r="O34" s="22" t="n">
        <v>19.99</v>
      </c>
      <c r="P34" s="22" t="n">
        <v>19.99</v>
      </c>
      <c r="Q34" s="22" t="n"/>
      <c r="R34" s="22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inlineStr">
        <is>
          <t>AMZ-4</t>
        </is>
      </c>
      <c r="J35" s="21" t="inlineStr">
        <is>
          <t>FLIPALM for Samsung Galaxy S 24 Ultra Wallet Case with RFID Blocking Credit C...</t>
        </is>
      </c>
      <c r="K35" s="21" t="n">
        <v>1</v>
      </c>
      <c r="L35" s="21" t="n"/>
      <c r="M35" s="21" t="n"/>
      <c r="N35" s="21" t="inlineStr">
        <is>
          <t>USD</t>
        </is>
      </c>
      <c r="O35" s="22" t="n">
        <v>19.99</v>
      </c>
      <c r="P35" s="22" t="n">
        <v>19.99</v>
      </c>
      <c r="Q35" s="22" t="n"/>
      <c r="R35" s="22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inlineStr">
        <is>
          <t>REFERENCE SUBTOTAL</t>
        </is>
      </c>
      <c r="K36" s="23" t="n"/>
      <c r="L36" s="23" t="n"/>
      <c r="M36" s="23" t="n"/>
      <c r="N36" s="23" t="n"/>
      <c r="O36" s="23" t="n"/>
      <c r="P36" s="24" t="n">
        <v>39.98</v>
      </c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inlineStr">
        <is>
          <t>REFERENCE FREIGHT</t>
        </is>
      </c>
      <c r="K37" s="23" t="n"/>
      <c r="L37" s="23" t="n"/>
      <c r="M37" s="23" t="n"/>
      <c r="N37" s="23" t="n"/>
      <c r="O37" s="23" t="n"/>
      <c r="P37" s="24" t="n">
        <v>3</v>
      </c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inlineStr">
        <is>
          <t>REFERENCE INSURANCE</t>
        </is>
      </c>
      <c r="K38" s="23" t="n"/>
      <c r="L38" s="23" t="n"/>
      <c r="M38" s="23" t="n"/>
      <c r="N38" s="23" t="n"/>
      <c r="O38" s="23" t="n"/>
      <c r="P38" s="24" t="n">
        <v>0</v>
      </c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inlineStr">
        <is>
          <t>REFERENCE OTHER COST</t>
        </is>
      </c>
      <c r="K39" s="23" t="n"/>
      <c r="L39" s="23" t="n"/>
      <c r="M39" s="23" t="n"/>
      <c r="N39" s="23" t="n"/>
      <c r="O39" s="23" t="n"/>
      <c r="P39" s="24" t="n">
        <v>2.8</v>
      </c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inlineStr">
        <is>
          <t>REFERENCE DEDUCTION</t>
        </is>
      </c>
      <c r="K40" s="23" t="n"/>
      <c r="L40" s="23" t="n"/>
      <c r="M40" s="23" t="n"/>
      <c r="N40" s="23" t="n"/>
      <c r="O40" s="23" t="n"/>
      <c r="P40" s="24" t="n">
        <v>0</v>
      </c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inlineStr">
        <is>
          <t>REFERENCE ADJUSTMENTS</t>
        </is>
      </c>
      <c r="K41" s="23" t="n"/>
      <c r="L41" s="23" t="n"/>
      <c r="M41" s="23" t="n"/>
      <c r="N41" s="23" t="n"/>
      <c r="O41" s="23" t="n"/>
      <c r="P41" s="24">
        <f>P37+P38+P39-P40</f>
        <v/>
      </c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inlineStr">
        <is>
          <t>REFERENCE NET TOTAL</t>
        </is>
      </c>
      <c r="K42" s="23" t="n"/>
      <c r="L42" s="23" t="n"/>
      <c r="M42" s="23" t="n"/>
      <c r="N42" s="23" t="n"/>
      <c r="O42" s="23" t="n"/>
      <c r="P42" s="24">
        <f>P36+P41</f>
        <v/>
      </c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inlineStr">
        <is>
          <t>COMBINED ITEMS TOTAL</t>
        </is>
      </c>
      <c r="K44" s="23" t="n"/>
      <c r="L44" s="23" t="n"/>
      <c r="M44" s="23" t="n"/>
      <c r="N44" s="23" t="n"/>
      <c r="O44" s="23" t="n"/>
      <c r="P44" s="24">
        <f>P6+P36</f>
        <v/>
      </c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inlineStr">
        <is>
          <t>FULL INVOICE FREIGHT</t>
        </is>
      </c>
      <c r="K45" s="23" t="n"/>
      <c r="L45" s="23" t="n"/>
      <c r="M45" s="23" t="n"/>
      <c r="N45" s="23" t="n"/>
      <c r="O45" s="23" t="n"/>
      <c r="P45" s="24">
        <f>P10+P37</f>
        <v/>
      </c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inlineStr">
        <is>
          <t>FULL INVOICE INSURANCE</t>
        </is>
      </c>
      <c r="K46" s="23" t="n"/>
      <c r="L46" s="23" t="n"/>
      <c r="M46" s="23" t="n"/>
      <c r="N46" s="23" t="n"/>
      <c r="O46" s="23" t="n"/>
      <c r="P46" s="24">
        <f>P11+P38</f>
        <v/>
      </c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inlineStr">
        <is>
          <t>FULL INVOICE OTHER COST</t>
        </is>
      </c>
      <c r="K47" s="23" t="n"/>
      <c r="L47" s="23" t="n"/>
      <c r="M47" s="23" t="n"/>
      <c r="N47" s="23" t="n"/>
      <c r="O47" s="23" t="n"/>
      <c r="P47" s="24">
        <f>P12+P39</f>
        <v/>
      </c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inlineStr">
        <is>
          <t>FULL INVOICE DEDUCTION</t>
        </is>
      </c>
      <c r="K48" s="23" t="n"/>
      <c r="L48" s="23" t="n"/>
      <c r="M48" s="23" t="n"/>
      <c r="N48" s="23" t="n"/>
      <c r="O48" s="23" t="n"/>
      <c r="P48" s="24">
        <f>P13+P40</f>
        <v/>
      </c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inlineStr">
        <is>
          <t>FULL ADJUSTMENTS</t>
        </is>
      </c>
      <c r="K49" s="23" t="n"/>
      <c r="L49" s="23" t="n"/>
      <c r="M49" s="23" t="n"/>
      <c r="N49" s="23" t="n"/>
      <c r="O49" s="23" t="n"/>
      <c r="P49" s="24">
        <f>P45+P46+P47-P48</f>
        <v/>
      </c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inlineStr">
        <is>
          <t>COMBINED NET TOTAL</t>
        </is>
      </c>
      <c r="K50" s="23" t="n"/>
      <c r="L50" s="23" t="n"/>
      <c r="M50" s="23" t="n"/>
      <c r="N50" s="23" t="n"/>
      <c r="O50" s="23" t="n"/>
      <c r="P50" s="24">
        <f>P44+P49</f>
        <v/>
      </c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inlineStr">
        <is>
          <t>FULL INVOICE TOTAL</t>
        </is>
      </c>
      <c r="K51" s="23" t="n"/>
      <c r="L51" s="23" t="n"/>
      <c r="M51" s="23" t="n"/>
      <c r="N51" s="23" t="n"/>
      <c r="O51" s="23" t="n"/>
      <c r="P51" s="24" t="n">
        <v>77.66</v>
      </c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inlineStr">
        <is>
          <t>COMBINED VARIANCE CHECK</t>
        </is>
      </c>
      <c r="K52" s="23" t="n"/>
      <c r="L52" s="23" t="n"/>
      <c r="M52" s="23" t="n"/>
      <c r="N52" s="23" t="n"/>
      <c r="O52" s="23" t="n"/>
      <c r="P52" s="24">
        <f>P51-P50</f>
        <v/>
      </c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2026-04-26T00:33:31Z</dcterms:created>
  <dcterms:modified xmlns:dcterms="http://purl.org/dc/terms/" xmlns:xsi="http://www.w3.org/2001/XMLSchema-instance" xsi:type="dcterms:W3CDTF">2026-04-26T00:33:31Z</dcterms:modified>
</cp:coreProperties>
</file>