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5" borderId="1" pivotButton="0" quotePrefix="0" xfId="0"/>
    <xf numFmtId="4" fontId="8" fillId="5" borderId="1" pivotButton="0" quotePrefix="0" xfId="0"/>
    <xf numFmtId="0" fontId="9" fillId="0" borderId="1" pivotButton="0" quotePrefix="0" xfId="0"/>
    <xf numFmtId="4" fontId="9" fillId="0" borderId="1" pivotButton="0" quotePrefix="0" xfId="0"/>
    <xf numFmtId="0" fontId="8" fillId="0" borderId="1" pivotButton="0" quotePrefix="0" xfId="0"/>
    <xf numFmtId="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114-8204840-5125866</t>
        </is>
      </c>
      <c r="D2" s="2" t="inlineStr"/>
      <c r="E2" s="2" t="inlineStr">
        <is>
          <t>Articles of leather; saddlery and harness; travel goods, handbags</t>
        </is>
      </c>
      <c r="F2" s="2" t="inlineStr">
        <is>
          <t>42022900</t>
        </is>
      </c>
      <c r="G2" s="2" t="inlineStr"/>
      <c r="H2" s="2" t="inlineStr"/>
      <c r="I2" s="2" t="inlineStr">
        <is>
          <t>42022900</t>
        </is>
      </c>
      <c r="J2" s="2" t="inlineStr">
        <is>
          <t>FLIPALM for Samsung Galaxy S 24 Ultra Wallet Case with RFID Blocking Credit C...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19.99</v>
      </c>
      <c r="P2" s="3" t="n">
        <v>39.98</v>
      </c>
      <c r="Q2" s="3">
        <f>O2*K2</f>
        <v/>
      </c>
      <c r="R2" s="3">
        <f>P2-Q2</f>
        <v/>
      </c>
      <c r="S2" s="3" t="n">
        <v>45.78</v>
      </c>
      <c r="T2" s="3" t="n">
        <v>3</v>
      </c>
      <c r="U2" s="3" t="n">
        <v>0</v>
      </c>
      <c r="V2" s="3" t="n">
        <v>2.8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42022900</t>
        </is>
      </c>
    </row>
    <row r="3">
      <c r="A3" s="4" t="n"/>
      <c r="B3" s="4" t="n"/>
      <c r="C3" s="4" t="n"/>
      <c r="D3" s="4" t="n"/>
      <c r="E3" s="4" t="n"/>
      <c r="F3" s="4" t="inlineStr">
        <is>
          <t>42022900</t>
        </is>
      </c>
      <c r="G3" s="4" t="n"/>
      <c r="H3" s="4" t="n"/>
      <c r="I3" s="4" t="inlineStr">
        <is>
          <t>AMZ-2</t>
        </is>
      </c>
      <c r="J3" s="4" t="inlineStr">
        <is>
          <t>FLIPALM for Samsung Galaxy S 24 Ultra Wallet Case with RFID Blocking Credit C...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19.99</v>
      </c>
      <c r="P3" s="5" t="n">
        <v>19.99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42022900</t>
        </is>
      </c>
      <c r="G4" s="4" t="n"/>
      <c r="H4" s="4" t="n"/>
      <c r="I4" s="4" t="inlineStr">
        <is>
          <t>AMZ-4</t>
        </is>
      </c>
      <c r="J4" s="4" t="inlineStr">
        <is>
          <t>FLIPALM for Samsung Galaxy S 24 Ultra Wallet Case with RFID Blocking Credit C...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19.99</v>
      </c>
      <c r="P4" s="5" t="n">
        <v>19.99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(GROUPED)</t>
        </is>
      </c>
      <c r="K5" s="6" t="n"/>
      <c r="L5" s="6" t="n"/>
      <c r="M5" s="6" t="n"/>
      <c r="N5" s="6" t="n"/>
      <c r="O5" s="6" t="n"/>
      <c r="P5" s="7">
        <f>P2</f>
        <v/>
      </c>
      <c r="Q5" s="7">
        <f>Q2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inlineStr">
        <is>
          <t>SUBTOTAL (DETAILS)</t>
        </is>
      </c>
      <c r="K6" s="6" t="n"/>
      <c r="L6" s="6" t="n"/>
      <c r="M6" s="6" t="n"/>
      <c r="N6" s="6" t="n"/>
      <c r="O6" s="6" t="n"/>
      <c r="P6" s="7">
        <f>SUM(P2:P4)-P5</f>
        <v/>
      </c>
      <c r="Q6" s="7">
        <f>SUM(Q2:Q4)-Q5</f>
        <v/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GROUP VERIFICATION</t>
        </is>
      </c>
      <c r="K7" s="8" t="n"/>
      <c r="L7" s="8" t="n"/>
      <c r="M7" s="8" t="n"/>
      <c r="N7" s="8" t="n"/>
      <c r="O7" s="8" t="n"/>
      <c r="P7" s="9">
        <f>P5-P6</f>
        <v/>
      </c>
      <c r="Q7" s="9">
        <f>Q5-Q6</f>
        <v/>
      </c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</row>
    <row r="8"/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INTERNAL FREIGHT</t>
        </is>
      </c>
      <c r="K9" s="6" t="n"/>
      <c r="L9" s="6" t="n"/>
      <c r="M9" s="6" t="n"/>
      <c r="N9" s="6" t="n"/>
      <c r="O9" s="6" t="n"/>
      <c r="P9" s="7" t="n">
        <v>3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INSURANCE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OTHER COST</t>
        </is>
      </c>
      <c r="K11" s="6" t="n"/>
      <c r="L11" s="6" t="n"/>
      <c r="M11" s="6" t="n"/>
      <c r="N11" s="6" t="n"/>
      <c r="O11" s="6" t="n"/>
      <c r="P11" s="7" t="n">
        <v>2.8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TOTAL DEDUCTION</t>
        </is>
      </c>
      <c r="K12" s="6" t="n"/>
      <c r="L12" s="6" t="n"/>
      <c r="M12" s="6" t="n"/>
      <c r="N12" s="6" t="n"/>
      <c r="O12" s="6" t="n"/>
      <c r="P12" s="7" t="n">
        <v>0</v>
      </c>
      <c r="Q12" s="7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inlineStr">
        <is>
          <t>ADJUSTMENTS</t>
        </is>
      </c>
      <c r="K13" s="6" t="n"/>
      <c r="L13" s="6" t="n"/>
      <c r="M13" s="6" t="n"/>
      <c r="N13" s="6" t="n"/>
      <c r="O13" s="6" t="n"/>
      <c r="P13" s="7">
        <f>(T2+U2+V2-W2)</f>
        <v/>
      </c>
      <c r="Q13" s="7">
        <f>(T2+U2+V2-W2)</f>
        <v/>
      </c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NET TOTAL</t>
        </is>
      </c>
      <c r="K15" s="6" t="n"/>
      <c r="L15" s="6" t="n"/>
      <c r="M15" s="6" t="n"/>
      <c r="N15" s="6" t="n"/>
      <c r="O15" s="6" t="n"/>
      <c r="P15" s="7">
        <f>P5+P13</f>
        <v/>
      </c>
      <c r="Q15" s="7">
        <f>Q5+Q13</f>
        <v/>
      </c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INVOICE TOTAL</t>
        </is>
      </c>
      <c r="K16" s="6" t="n"/>
      <c r="L16" s="6" t="n"/>
      <c r="M16" s="6" t="n"/>
      <c r="N16" s="6" t="n"/>
      <c r="O16" s="6" t="n"/>
      <c r="P16" s="7">
        <f>S2</f>
        <v/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/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inlineStr">
        <is>
          <t>VARIANCE CHECK</t>
        </is>
      </c>
      <c r="K18" s="10" t="n"/>
      <c r="L18" s="10" t="n"/>
      <c r="M18" s="10" t="n"/>
      <c r="N18" s="10" t="n"/>
      <c r="O18" s="10" t="n"/>
      <c r="P18" s="11">
        <f>S2-P15</f>
        <v/>
      </c>
      <c r="Q18" s="11">
        <f>S2-Q15</f>
        <v/>
      </c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</row>
    <row r="19"/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inlineStr">
        <is>
          <t>DUTY ESTIMATION (Classification Cross-Check)</t>
        </is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(USD) = InvTotal + Freight + Insurance</t>
        </is>
      </c>
      <c r="K21" s="13" t="n"/>
      <c r="L21" s="13" t="n"/>
      <c r="M21" s="13" t="n"/>
      <c r="N21" s="13" t="n"/>
      <c r="O21" s="13" t="n"/>
      <c r="P21" s="15" t="n">
        <v>48.78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CIF (XCD) = CIF × 2.7169</t>
        </is>
      </c>
      <c r="K22" s="13" t="n"/>
      <c r="L22" s="13" t="n"/>
      <c r="M22" s="13" t="n"/>
      <c r="N22" s="13" t="n"/>
      <c r="O22" s="13" t="n"/>
      <c r="P22" s="15" t="n">
        <v>132.53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CET (20%) — Tariff 42022900</t>
        </is>
      </c>
      <c r="K23" s="13" t="n"/>
      <c r="L23" s="13" t="n"/>
      <c r="M23" s="13" t="n"/>
      <c r="N23" s="13" t="n"/>
      <c r="O23" s="13" t="n"/>
      <c r="P23" s="15" t="n">
        <v>26.51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CSC (6%)</t>
        </is>
      </c>
      <c r="K24" s="13" t="n"/>
      <c r="L24" s="13" t="n"/>
      <c r="M24" s="13" t="n"/>
      <c r="N24" s="13" t="n"/>
      <c r="O24" s="13" t="n"/>
      <c r="P24" s="15" t="n">
        <v>7.95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4" t="inlineStr">
        <is>
          <t>VAT (15%) on CIF+CET+CSC</t>
        </is>
      </c>
      <c r="K25" s="13" t="n"/>
      <c r="L25" s="13" t="n"/>
      <c r="M25" s="13" t="n"/>
      <c r="N25" s="13" t="n"/>
      <c r="O25" s="13" t="n"/>
      <c r="P25" s="15" t="n">
        <v>25.05</v>
      </c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2" t="inlineStr">
        <is>
          <t>ESTIMATED TOTAL DUTIES</t>
        </is>
      </c>
      <c r="K26" s="16" t="n"/>
      <c r="L26" s="16" t="n"/>
      <c r="M26" s="16" t="n"/>
      <c r="N26" s="16" t="n"/>
      <c r="O26" s="16" t="n"/>
      <c r="P26" s="17" t="n">
        <v>59.51</v>
      </c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Effective Duty Rate</t>
        </is>
      </c>
      <c r="K27" s="13" t="n"/>
      <c r="L27" s="13" t="n"/>
      <c r="M27" s="13" t="n"/>
      <c r="N27" s="13" t="n"/>
      <c r="O27" s="13" t="n"/>
      <c r="P27" s="18" t="n">
        <v>0.449030408209462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/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inlineStr">
        <is>
          <t>Items on other declaration(s) (2 items)</t>
        </is>
      </c>
      <c r="K29" s="19" t="n"/>
      <c r="L29" s="19" t="n"/>
      <c r="M29" s="19" t="n"/>
      <c r="N29" s="19" t="n"/>
      <c r="O29" s="19" t="n"/>
      <c r="P29" s="20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>
      <c r="A30" s="19" t="n"/>
      <c r="B30" s="19" t="n"/>
      <c r="C30" s="19" t="n"/>
      <c r="D30" s="19" t="n"/>
      <c r="E30" s="19" t="inlineStr">
        <is>
          <t>ELECTRICAL APPLIANCES</t>
        </is>
      </c>
      <c r="F30" s="19" t="inlineStr">
        <is>
          <t>85044000</t>
        </is>
      </c>
      <c r="G30" s="19" t="n"/>
      <c r="H30" s="19" t="n"/>
      <c r="I30" s="19" t="n"/>
      <c r="J30" s="19" t="inlineStr">
        <is>
          <t>Samsung S 23 S 24 Ultra Super Fast Charger 45 W USB C Super Fast Charging Wal... (1 items)</t>
        </is>
      </c>
      <c r="K30" s="19" t="n">
        <v>1</v>
      </c>
      <c r="L30" s="19" t="n"/>
      <c r="M30" s="19" t="n"/>
      <c r="N30" s="19" t="inlineStr">
        <is>
          <t>USD</t>
        </is>
      </c>
      <c r="O30" s="20" t="n">
        <v>2.99</v>
      </c>
      <c r="P30" s="20" t="n">
        <v>2.99</v>
      </c>
      <c r="Q30" s="20" t="n"/>
      <c r="R30" s="20" t="n"/>
      <c r="S30" s="20" t="n"/>
      <c r="T30" s="20" t="n"/>
      <c r="U30" s="20" t="n"/>
      <c r="V30" s="20" t="n"/>
      <c r="W30" s="20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inlineStr">
        <is>
          <t>AMZ-1</t>
        </is>
      </c>
      <c r="J31" s="21" t="inlineStr">
        <is>
          <t>Samsung S 23 S 24 Ultra Super Fast Charger 45 W USB C Super Fast Charging Wal...</t>
        </is>
      </c>
      <c r="K31" s="21" t="n">
        <v>1</v>
      </c>
      <c r="L31" s="21" t="n"/>
      <c r="M31" s="21" t="n"/>
      <c r="N31" s="21" t="inlineStr">
        <is>
          <t>USD</t>
        </is>
      </c>
      <c r="O31" s="22" t="n">
        <v>2.99</v>
      </c>
      <c r="P31" s="22" t="n">
        <v>2.99</v>
      </c>
      <c r="Q31" s="22" t="n"/>
      <c r="R31" s="22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</row>
    <row r="32">
      <c r="A32" s="19" t="n"/>
      <c r="B32" s="19" t="n"/>
      <c r="C32" s="19" t="n"/>
      <c r="D32" s="19" t="n"/>
      <c r="E32" s="19" t="inlineStr">
        <is>
          <t>OTHER APPARATUS</t>
        </is>
      </c>
      <c r="F32" s="19" t="inlineStr">
        <is>
          <t>39269090</t>
        </is>
      </c>
      <c r="G32" s="19" t="n"/>
      <c r="H32" s="19" t="n"/>
      <c r="I32" s="19" t="n"/>
      <c r="J32" s="19" t="inlineStr">
        <is>
          <t>amFilm Auto - Alignment OneTouch for Samsung Galaxy (1 items)</t>
        </is>
      </c>
      <c r="K32" s="19" t="n">
        <v>1</v>
      </c>
      <c r="L32" s="19" t="n"/>
      <c r="M32" s="19" t="n"/>
      <c r="N32" s="19" t="inlineStr">
        <is>
          <t>USD</t>
        </is>
      </c>
      <c r="O32" s="20" t="n">
        <v>24</v>
      </c>
      <c r="P32" s="20" t="n">
        <v>24</v>
      </c>
      <c r="Q32" s="20" t="n"/>
      <c r="R32" s="20" t="n"/>
      <c r="S32" s="20" t="n"/>
      <c r="T32" s="20" t="n"/>
      <c r="U32" s="20" t="n"/>
      <c r="V32" s="20" t="n"/>
      <c r="W32" s="20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inlineStr">
        <is>
          <t>AMZ-3</t>
        </is>
      </c>
      <c r="J33" s="21" t="inlineStr">
        <is>
          <t>amFilm Auto - Alignment OneTouch for Samsung Galaxy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24</v>
      </c>
      <c r="P33" s="22" t="n">
        <v>24</v>
      </c>
      <c r="Q33" s="22" t="n"/>
      <c r="R33" s="22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inlineStr">
        <is>
          <t>REFERENCE SUBTOTAL</t>
        </is>
      </c>
      <c r="K34" s="23" t="n"/>
      <c r="L34" s="23" t="n"/>
      <c r="M34" s="23" t="n"/>
      <c r="N34" s="23" t="n"/>
      <c r="O34" s="23" t="n"/>
      <c r="P34" s="24" t="n">
        <v>26.99</v>
      </c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inlineStr">
        <is>
          <t>REFERENCE FREIGHT</t>
        </is>
      </c>
      <c r="K35" s="23" t="n"/>
      <c r="L35" s="23" t="n"/>
      <c r="M35" s="23" t="n"/>
      <c r="N35" s="23" t="n"/>
      <c r="O35" s="23" t="n"/>
      <c r="P35" s="24" t="n">
        <v>3</v>
      </c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inlineStr">
        <is>
          <t>REFERENCE INSURANCE</t>
        </is>
      </c>
      <c r="K36" s="23" t="n"/>
      <c r="L36" s="23" t="n"/>
      <c r="M36" s="23" t="n"/>
      <c r="N36" s="23" t="n"/>
      <c r="O36" s="23" t="n"/>
      <c r="P36" s="24" t="n">
        <v>0</v>
      </c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inlineStr">
        <is>
          <t>REFERENCE OTHER COST</t>
        </is>
      </c>
      <c r="K37" s="23" t="n"/>
      <c r="L37" s="23" t="n"/>
      <c r="M37" s="23" t="n"/>
      <c r="N37" s="23" t="n"/>
      <c r="O37" s="23" t="n"/>
      <c r="P37" s="24" t="n">
        <v>1.89</v>
      </c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inlineStr">
        <is>
          <t>REFERENCE DEDUCTION</t>
        </is>
      </c>
      <c r="K38" s="23" t="n"/>
      <c r="L38" s="23" t="n"/>
      <c r="M38" s="23" t="n"/>
      <c r="N38" s="23" t="n"/>
      <c r="O38" s="23" t="n"/>
      <c r="P38" s="24" t="n">
        <v>0</v>
      </c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inlineStr">
        <is>
          <t>REFERENCE ADJUSTMENTS</t>
        </is>
      </c>
      <c r="K39" s="23" t="n"/>
      <c r="L39" s="23" t="n"/>
      <c r="M39" s="23" t="n"/>
      <c r="N39" s="23" t="n"/>
      <c r="O39" s="23" t="n"/>
      <c r="P39" s="24">
        <f>P35+P36+P37-P38</f>
        <v/>
      </c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inlineStr">
        <is>
          <t>REFERENCE NET TOTAL</t>
        </is>
      </c>
      <c r="K40" s="23" t="n"/>
      <c r="L40" s="23" t="n"/>
      <c r="M40" s="23" t="n"/>
      <c r="N40" s="23" t="n"/>
      <c r="O40" s="23" t="n"/>
      <c r="P40" s="24">
        <f>P34+P39</f>
        <v/>
      </c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inlineStr">
        <is>
          <t>COMBINED ITEMS TOTAL</t>
        </is>
      </c>
      <c r="K42" s="23" t="n"/>
      <c r="L42" s="23" t="n"/>
      <c r="M42" s="23" t="n"/>
      <c r="N42" s="23" t="n"/>
      <c r="O42" s="23" t="n"/>
      <c r="P42" s="24">
        <f>P5+P34</f>
        <v/>
      </c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inlineStr">
        <is>
          <t>FULL INVOICE FREIGHT</t>
        </is>
      </c>
      <c r="K43" s="23" t="n"/>
      <c r="L43" s="23" t="n"/>
      <c r="M43" s="23" t="n"/>
      <c r="N43" s="23" t="n"/>
      <c r="O43" s="23" t="n"/>
      <c r="P43" s="24">
        <f>P9+P35</f>
        <v/>
      </c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inlineStr">
        <is>
          <t>FULL INVOICE INSURANCE</t>
        </is>
      </c>
      <c r="K44" s="23" t="n"/>
      <c r="L44" s="23" t="n"/>
      <c r="M44" s="23" t="n"/>
      <c r="N44" s="23" t="n"/>
      <c r="O44" s="23" t="n"/>
      <c r="P44" s="24">
        <f>P10+P36</f>
        <v/>
      </c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inlineStr">
        <is>
          <t>FULL INVOICE OTHER COST</t>
        </is>
      </c>
      <c r="K45" s="23" t="n"/>
      <c r="L45" s="23" t="n"/>
      <c r="M45" s="23" t="n"/>
      <c r="N45" s="23" t="n"/>
      <c r="O45" s="23" t="n"/>
      <c r="P45" s="24">
        <f>P11+P37</f>
        <v/>
      </c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inlineStr">
        <is>
          <t>FULL INVOICE DEDUCTION</t>
        </is>
      </c>
      <c r="K46" s="23" t="n"/>
      <c r="L46" s="23" t="n"/>
      <c r="M46" s="23" t="n"/>
      <c r="N46" s="23" t="n"/>
      <c r="O46" s="23" t="n"/>
      <c r="P46" s="24">
        <f>P12+P38</f>
        <v/>
      </c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inlineStr">
        <is>
          <t>FULL ADJUSTMENTS</t>
        </is>
      </c>
      <c r="K47" s="23" t="n"/>
      <c r="L47" s="23" t="n"/>
      <c r="M47" s="23" t="n"/>
      <c r="N47" s="23" t="n"/>
      <c r="O47" s="23" t="n"/>
      <c r="P47" s="24">
        <f>P43+P44+P45-P46</f>
        <v/>
      </c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inlineStr">
        <is>
          <t>COMBINED NET TOTAL</t>
        </is>
      </c>
      <c r="K48" s="23" t="n"/>
      <c r="L48" s="23" t="n"/>
      <c r="M48" s="23" t="n"/>
      <c r="N48" s="23" t="n"/>
      <c r="O48" s="23" t="n"/>
      <c r="P48" s="24">
        <f>P42+P47</f>
        <v/>
      </c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inlineStr">
        <is>
          <t>FULL INVOICE TOTAL</t>
        </is>
      </c>
      <c r="K49" s="23" t="n"/>
      <c r="L49" s="23" t="n"/>
      <c r="M49" s="23" t="n"/>
      <c r="N49" s="23" t="n"/>
      <c r="O49" s="23" t="n"/>
      <c r="P49" s="24" t="n">
        <v>77.66</v>
      </c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inlineStr">
        <is>
          <t>COMBINED VARIANCE CHECK</t>
        </is>
      </c>
      <c r="K50" s="23" t="n"/>
      <c r="L50" s="23" t="n"/>
      <c r="M50" s="23" t="n"/>
      <c r="N50" s="23" t="n"/>
      <c r="O50" s="23" t="n"/>
      <c r="P50" s="24">
        <f>P49-P48</f>
        <v/>
      </c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2026-04-26T00:33:31Z</dcterms:created>
  <dcterms:modified xmlns:dcterms="http://purl.org/dc/terms/" xmlns:xsi="http://www.w3.org/2001/XMLSchema-instance" xsi:type="dcterms:W3CDTF">2026-04-26T00:33:31Z</dcterms:modified>
</cp:coreProperties>
</file>