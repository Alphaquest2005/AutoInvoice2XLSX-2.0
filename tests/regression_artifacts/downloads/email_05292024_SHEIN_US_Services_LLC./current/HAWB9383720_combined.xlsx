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INVUS20240529001460693</t>
        </is>
      </c>
      <c r="D2" s="2" t="inlineStr">
        <is>
          <t>2024-05-29</t>
        </is>
      </c>
      <c r="E2" s="2" t="inlineStr">
        <is>
          <t>FOOTWEAR</t>
        </is>
      </c>
      <c r="F2" s="2" t="inlineStr">
        <is>
          <t>64029910</t>
        </is>
      </c>
      <c r="G2" s="2" t="inlineStr"/>
      <c r="H2" s="2" t="inlineStr"/>
      <c r="I2" s="2" t="inlineStr">
        <is>
          <t>64029910</t>
        </is>
      </c>
      <c r="J2" s="2" t="inlineStr">
        <is>
          <t>Women Casual Flat Slippers, Open Toe Anti-Slip Slides, Outdoor Beach Sandals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9.800000000000001</v>
      </c>
      <c r="P2" s="3" t="n">
        <v>9.800000000000001</v>
      </c>
      <c r="Q2" s="3">
        <f>O2*K2</f>
        <v/>
      </c>
      <c r="R2" s="3">
        <f>P2-Q2</f>
        <v/>
      </c>
      <c r="S2" s="3" t="n">
        <v>19.62</v>
      </c>
      <c r="T2" s="3" t="n">
        <v>0</v>
      </c>
      <c r="U2" s="3" t="n">
        <v>0</v>
      </c>
      <c r="V2" s="3" t="n">
        <v>1.29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HAWB9383720_combined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64029910</t>
        </is>
      </c>
    </row>
    <row r="3">
      <c r="A3" s="4" t="n"/>
      <c r="B3" s="4" t="n"/>
      <c r="C3" s="4" t="n"/>
      <c r="D3" s="4" t="n"/>
      <c r="E3" s="4" t="n"/>
      <c r="F3" s="4" t="inlineStr">
        <is>
          <t>64029910</t>
        </is>
      </c>
      <c r="G3" s="4" t="n"/>
      <c r="H3" s="4" t="n"/>
      <c r="I3" s="4" t="inlineStr">
        <is>
          <t>SHEIN-1</t>
        </is>
      </c>
      <c r="J3" s="4" t="inlineStr">
        <is>
          <t>Women Casual Flat Slippers, Open Toe Anti-Slip Slides, Outdoor Beach Sandals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9.800000000000001</v>
      </c>
      <c r="P3" s="5" t="n">
        <v>9.800000000000001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INVUS20240529001460693</t>
        </is>
      </c>
      <c r="D4" s="2" t="inlineStr">
        <is>
          <t>2024-05-29</t>
        </is>
      </c>
      <c r="E4" s="2" t="inlineStr">
        <is>
          <t>With uppers of textile materials</t>
        </is>
      </c>
      <c r="F4" s="2" t="inlineStr">
        <is>
          <t>64052000</t>
        </is>
      </c>
      <c r="G4" s="2" t="inlineStr"/>
      <c r="H4" s="2" t="inlineStr"/>
      <c r="I4" s="2" t="inlineStr">
        <is>
          <t>64052000</t>
        </is>
      </c>
      <c r="J4" s="2" t="inlineStr">
        <is>
          <t>Women' Casual Flat Slippers, Open Toe Slip-Resistant Slippers, Outdoor Beach 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8.529999999999999</v>
      </c>
      <c r="P4" s="3" t="n">
        <v>8.529999999999999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64052000</t>
        </is>
      </c>
    </row>
    <row r="5">
      <c r="A5" s="4" t="n"/>
      <c r="B5" s="4" t="n"/>
      <c r="C5" s="4" t="n"/>
      <c r="D5" s="4" t="n"/>
      <c r="E5" s="4" t="n"/>
      <c r="F5" s="4" t="inlineStr">
        <is>
          <t>64052000</t>
        </is>
      </c>
      <c r="G5" s="4" t="n"/>
      <c r="H5" s="4" t="n"/>
      <c r="I5" s="4" t="inlineStr">
        <is>
          <t>SHEIN-2</t>
        </is>
      </c>
      <c r="J5" s="4" t="inlineStr">
        <is>
          <t>Women' Casual Flat Slippers, Open Toe Slip-Resistant Slippers, Outdoor Beach 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8.529999999999999</v>
      </c>
      <c r="P5" s="5" t="n">
        <v>8.529999999999999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1.29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28.62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77.76000000000001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15.55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64029910: 20% CET (53% of value)</t>
        </is>
      </c>
      <c r="K25" s="13" t="n"/>
      <c r="L25" s="13" t="n"/>
      <c r="M25" s="13" t="n"/>
      <c r="N25" s="13" t="n"/>
      <c r="O25" s="13" t="n"/>
      <c r="P25" s="15" t="n">
        <v>8.31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64052000: 20% CET (47% of value)</t>
        </is>
      </c>
      <c r="K26" s="13" t="n"/>
      <c r="L26" s="13" t="n"/>
      <c r="M26" s="13" t="n"/>
      <c r="N26" s="13" t="n"/>
      <c r="O26" s="13" t="n"/>
      <c r="P26" s="15" t="n">
        <v>7.24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4.67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14.7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34.92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0.4490740740740741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80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20" t="n">
        <v>45.08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CET RATE (from client value)</t>
        </is>
      </c>
      <c r="K33" s="13" t="n"/>
      <c r="L33" s="13" t="n"/>
      <c r="M33" s="13" t="n"/>
      <c r="N33" s="13" t="n"/>
      <c r="O33" s="13" t="n"/>
      <c r="P33" s="18" t="n">
        <v>0.7041796385757739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⚠ CET MISMATCH: System=20% vs Client≈70% — review classification</t>
        </is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IMPLIED CIF (from declared duty @ 20% CET, XCD)</t>
        </is>
      </c>
      <c r="K35" s="13" t="n"/>
      <c r="L35" s="13" t="n"/>
      <c r="M35" s="13" t="n"/>
      <c r="N35" s="13" t="n"/>
      <c r="O35" s="13" t="n"/>
      <c r="P35" s="15" t="n">
        <v>178.17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IMPLIED ITEMS VALUE (USD, net of freight/insurance)</t>
        </is>
      </c>
      <c r="K36" s="13" t="n"/>
      <c r="L36" s="13" t="n"/>
      <c r="M36" s="13" t="n"/>
      <c r="N36" s="13" t="n"/>
      <c r="O36" s="13" t="n"/>
      <c r="P36" s="15" t="n">
        <v>56.58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9" t="inlineStr">
        <is>
          <t>⚠ ITEM ALLOCATION CHECK: actual $18.33 USD vs implied $56.58 USD — UNDER-ALLOCATED (items from another waybill may belong here)</t>
        </is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2026-04-26T00:40:08Z</dcterms:created>
  <dcterms:modified xmlns:dcterms="http://purl.org/dc/terms/" xmlns:xsi="http://www.w3.org/2001/XMLSchema-instance" xsi:type="dcterms:W3CDTF">2026-04-26T00:40:08Z</dcterms:modified>
</cp:coreProperties>
</file>