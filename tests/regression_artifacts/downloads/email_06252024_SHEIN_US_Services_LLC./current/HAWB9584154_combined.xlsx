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Invoices" sheetId="1" state="visible" r:id="rId1"/>
    <sheet xmlns:r="http://schemas.openxmlformats.org/officeDocument/2006/relationships"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3">
    <font>
      <name val="Calibri"/>
      <family val="2"/>
      <color theme="1"/>
      <sz val="11"/>
      <scheme val="minor"/>
    </font>
    <font>
      <b val="1"/>
      <color rgb="00FFFFFF"/>
      <sz val="10"/>
    </font>
    <font>
      <sz val="10"/>
    </font>
    <font>
      <b val="1"/>
      <sz val="11"/>
    </font>
    <font>
      <b val="1"/>
      <color rgb="001F4E79"/>
      <sz val="10"/>
    </font>
    <font>
      <color rgb="001F4E79"/>
      <sz val="10"/>
    </font>
    <font>
      <b val="1"/>
      <color rgb="00FFFFFF"/>
      <sz val="12"/>
    </font>
    <font>
      <b val="1"/>
    </font>
    <font>
      <b val="1"/>
      <color rgb="00FF0000"/>
    </font>
    <font>
      <i val="1"/>
      <color rgb="00666666"/>
    </font>
    <font>
      <b val="1"/>
      <color rgb="00FFFFFF"/>
      <sz val="11"/>
    </font>
    <font>
      <b val="1"/>
      <color rgb="009C0006"/>
    </font>
    <font>
      <b val="1"/>
      <color rgb="00FF0000"/>
      <sz val="12"/>
    </font>
  </fonts>
  <fills count="7">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E0E0E0"/>
        <bgColor rgb="00E0E0E0"/>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wrapText="1"/>
    </xf>
    <xf numFmtId="0" fontId="2" fillId="0" borderId="1" pivotButton="0" quotePrefix="0" xfId="0"/>
    <xf numFmtId="4" fontId="2" fillId="0" borderId="1" pivotButton="0" quotePrefix="0" xfId="0"/>
    <xf numFmtId="0" fontId="3" fillId="0" borderId="1" pivotButton="0" quotePrefix="0" xfId="0"/>
    <xf numFmtId="4" fontId="3" fillId="0" borderId="1" pivotButton="0" quotePrefix="0" xfId="0"/>
    <xf numFmtId="0" fontId="4" fillId="3" borderId="1" pivotButton="0" quotePrefix="0" xfId="0"/>
    <xf numFmtId="0" fontId="0" fillId="0" borderId="1" pivotButton="0" quotePrefix="0" xfId="0"/>
    <xf numFmtId="0" fontId="5" fillId="0" borderId="1" pivotButton="0" quotePrefix="0" xfId="0"/>
    <xf numFmtId="164" fontId="4" fillId="0" borderId="1" pivotButton="0" quotePrefix="0" xfId="0"/>
    <xf numFmtId="0" fontId="0" fillId="3" borderId="1" pivotButton="0" quotePrefix="0" xfId="0"/>
    <xf numFmtId="164" fontId="4" fillId="3" borderId="1" pivotButton="0" quotePrefix="0" xfId="0"/>
    <xf numFmtId="165" fontId="4" fillId="0" borderId="1" pivotButton="0" quotePrefix="0" xfId="0"/>
    <xf numFmtId="0" fontId="0" fillId="4" borderId="0" pivotButton="0" quotePrefix="0" xfId="0"/>
    <xf numFmtId="0" fontId="0" fillId="2" borderId="0" pivotButton="0" quotePrefix="0" xfId="0"/>
    <xf numFmtId="0" fontId="6" fillId="2" borderId="0" pivotButton="0" quotePrefix="0" xfId="0"/>
    <xf numFmtId="0" fontId="7" fillId="0" borderId="0" pivotButton="0" quotePrefix="0" xfId="0"/>
    <xf numFmtId="166" fontId="0" fillId="0" borderId="0" pivotButton="0" quotePrefix="0" xfId="0"/>
    <xf numFmtId="166" fontId="8" fillId="0" borderId="0" pivotButton="0" quotePrefix="0" xfId="0"/>
    <xf numFmtId="0" fontId="3" fillId="0" borderId="0" pivotButton="0" quotePrefix="0" xfId="0"/>
    <xf numFmtId="166" fontId="3" fillId="0" borderId="0" pivotButton="0" quotePrefix="0" xfId="0"/>
    <xf numFmtId="0" fontId="8" fillId="0" borderId="0" pivotButton="0" quotePrefix="0" xfId="0"/>
    <xf numFmtId="0" fontId="9" fillId="0" borderId="0" pivotButton="0" quotePrefix="0" xfId="0"/>
    <xf numFmtId="0" fontId="10" fillId="2" borderId="0" pivotButton="0" quotePrefix="0" xfId="0"/>
    <xf numFmtId="0" fontId="0" fillId="5" borderId="0" pivotButton="0" quotePrefix="0" xfId="0"/>
    <xf numFmtId="0" fontId="11" fillId="5" borderId="0" pivotButton="0" quotePrefix="0" xfId="0"/>
    <xf numFmtId="0" fontId="0" fillId="5" borderId="0" applyAlignment="1" pivotButton="0" quotePrefix="0" xfId="0">
      <alignment vertical="top" wrapText="1"/>
    </xf>
    <xf numFmtId="0" fontId="0" fillId="6" borderId="0" pivotButton="0" quotePrefix="0" xfId="0"/>
    <xf numFmtId="0" fontId="0" fillId="6" borderId="0" applyAlignment="1" pivotButton="0" quotePrefix="0" xfId="0">
      <alignment vertical="top" wrapText="1"/>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87"/>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INVUS20240625003805461</t>
        </is>
      </c>
      <c r="D2" s="2" t="inlineStr">
        <is>
          <t>2024-06-25</t>
        </is>
      </c>
      <c r="E2" s="2" t="inlineStr">
        <is>
          <t>Headphones and earphones, whether or not combined with a microphone, and sets...</t>
        </is>
      </c>
      <c r="F2" s="2" t="inlineStr">
        <is>
          <t>85183000</t>
        </is>
      </c>
      <c r="G2" s="2" t="n"/>
      <c r="H2" s="2" t="n"/>
      <c r="I2" s="2" t="inlineStr">
        <is>
          <t>SHEIN-1</t>
        </is>
      </c>
      <c r="J2" s="2" t="inlineStr">
        <is>
          <t>New Transparent Touch Control, Low Latency, Tws Wireless Headphones, Suitable...</t>
        </is>
      </c>
      <c r="K2" s="2" t="n">
        <v>1</v>
      </c>
      <c r="L2" s="2" t="n"/>
      <c r="M2" s="2" t="n"/>
      <c r="N2" s="2" t="inlineStr">
        <is>
          <t>USD</t>
        </is>
      </c>
      <c r="O2" s="3" t="n">
        <v>0.01</v>
      </c>
      <c r="P2" s="3" t="n">
        <v>0.01</v>
      </c>
      <c r="Q2" s="3">
        <f>O2*K2</f>
        <v/>
      </c>
      <c r="R2" s="3">
        <f>P2-Q2</f>
        <v/>
      </c>
      <c r="S2" s="3" t="n">
        <v>0.01</v>
      </c>
      <c r="T2" s="3" t="n">
        <v>0</v>
      </c>
      <c r="U2" s="3" t="n">
        <v>0</v>
      </c>
      <c r="V2" s="3" t="n">
        <v>0</v>
      </c>
      <c r="W2" s="3" t="n">
        <v>0</v>
      </c>
      <c r="X2" s="2" t="n">
        <v>1</v>
      </c>
      <c r="Y2" s="2" t="n"/>
      <c r="Z2" s="2" t="inlineStr">
        <is>
          <t>SHEIN</t>
        </is>
      </c>
      <c r="AA2" s="2" t="inlineStr">
        <is>
          <t>SHEIN US Services, LLC</t>
        </is>
      </c>
      <c r="AB2" s="2" t="inlineStr">
        <is>
          <t>777 S. Alameda St., Second Floor, Los Angeles, CA 90021</t>
        </is>
      </c>
      <c r="AC2" s="2" t="inlineStr">
        <is>
          <t>US</t>
        </is>
      </c>
      <c r="AD2" s="2" t="n"/>
      <c r="AE2" s="2" t="n"/>
      <c r="AF2" s="2" t="n"/>
      <c r="AG2" s="2" t="n"/>
      <c r="AH2" s="2" t="n"/>
      <c r="AI2" s="2" t="n"/>
      <c r="AJ2" s="2" t="n"/>
      <c r="AK2" s="2" t="inlineStr">
        <is>
          <t>85183000</t>
        </is>
      </c>
    </row>
    <row r="3">
      <c r="A3" s="4" t="n"/>
      <c r="B3" s="4" t="n"/>
      <c r="C3" s="4" t="n"/>
      <c r="D3" s="4" t="n"/>
      <c r="E3" s="4" t="n"/>
      <c r="F3" s="4" t="n"/>
      <c r="G3" s="4" t="n"/>
      <c r="H3" s="4" t="n"/>
      <c r="I3" s="4" t="n"/>
      <c r="J3" s="4" t="inlineStr">
        <is>
          <t>SUBTOTAL</t>
        </is>
      </c>
      <c r="K3" s="4" t="n"/>
      <c r="L3" s="4" t="n"/>
      <c r="M3" s="4" t="n"/>
      <c r="N3" s="4" t="n"/>
      <c r="O3" s="4" t="n"/>
      <c r="P3" s="5">
        <f>P2</f>
        <v/>
      </c>
      <c r="Q3" s="4" t="n"/>
      <c r="R3" s="4" t="n"/>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n"/>
      <c r="G4" s="4" t="n"/>
      <c r="H4" s="4" t="n"/>
      <c r="I4" s="4" t="n"/>
      <c r="J4" s="4" t="inlineStr">
        <is>
          <t>ADJUSTMENTS</t>
        </is>
      </c>
      <c r="K4" s="4" t="n"/>
      <c r="L4" s="4" t="n"/>
      <c r="M4" s="4" t="n"/>
      <c r="N4" s="4" t="n"/>
      <c r="O4" s="4" t="n"/>
      <c r="P4" s="5">
        <f>(T2+U2+V2-W2)</f>
        <v/>
      </c>
      <c r="Q4" s="4" t="n"/>
      <c r="R4" s="4" t="n"/>
      <c r="S4" s="4" t="n"/>
      <c r="T4" s="4" t="n"/>
      <c r="U4" s="4" t="n"/>
      <c r="V4" s="4" t="n"/>
      <c r="W4" s="4" t="n"/>
      <c r="X4" s="4" t="n"/>
      <c r="Y4" s="4" t="n"/>
      <c r="Z4" s="4" t="n"/>
      <c r="AA4" s="4" t="n"/>
      <c r="AB4" s="4" t="n"/>
      <c r="AC4" s="4" t="n"/>
      <c r="AD4" s="4" t="n"/>
      <c r="AE4" s="4" t="n"/>
      <c r="AF4" s="4" t="n"/>
      <c r="AG4" s="4" t="n"/>
      <c r="AH4" s="4" t="n"/>
      <c r="AI4" s="4" t="n"/>
      <c r="AJ4" s="4" t="n"/>
      <c r="AK4" s="4" t="n"/>
    </row>
    <row r="5">
      <c r="A5" s="4" t="n"/>
      <c r="B5" s="4" t="n"/>
      <c r="C5" s="4" t="n"/>
      <c r="D5" s="4" t="n"/>
      <c r="E5" s="4" t="n"/>
      <c r="F5" s="4" t="n"/>
      <c r="G5" s="4" t="n"/>
      <c r="H5" s="4" t="n"/>
      <c r="I5" s="4" t="n"/>
      <c r="J5" s="4" t="inlineStr">
        <is>
          <t>NET TOTAL</t>
        </is>
      </c>
      <c r="K5" s="4" t="n"/>
      <c r="L5" s="4" t="n"/>
      <c r="M5" s="4" t="n"/>
      <c r="N5" s="4" t="n"/>
      <c r="O5" s="4" t="n"/>
      <c r="P5" s="5">
        <f>(P3+P4)</f>
        <v/>
      </c>
      <c r="Q5" s="4" t="n"/>
      <c r="R5" s="4" t="n"/>
      <c r="S5" s="4" t="n"/>
      <c r="T5" s="4" t="n"/>
      <c r="U5" s="4" t="n"/>
      <c r="V5" s="4" t="n"/>
      <c r="W5" s="4" t="n"/>
      <c r="X5" s="4" t="n"/>
      <c r="Y5" s="4" t="n"/>
      <c r="Z5" s="4" t="n"/>
      <c r="AA5" s="4" t="n"/>
      <c r="AB5" s="4" t="n"/>
      <c r="AC5" s="4" t="n"/>
      <c r="AD5" s="4" t="n"/>
      <c r="AE5" s="4" t="n"/>
      <c r="AF5" s="4" t="n"/>
      <c r="AG5" s="4" t="n"/>
      <c r="AH5" s="4" t="n"/>
      <c r="AI5" s="4" t="n"/>
      <c r="AJ5" s="4" t="n"/>
      <c r="AK5" s="4" t="n"/>
    </row>
    <row r="6">
      <c r="A6" s="4" t="n"/>
      <c r="B6" s="4" t="n"/>
      <c r="C6" s="4" t="n"/>
      <c r="D6" s="4" t="n"/>
      <c r="E6" s="4" t="n"/>
      <c r="F6" s="4" t="n"/>
      <c r="G6" s="4" t="n"/>
      <c r="H6" s="4" t="n"/>
      <c r="I6" s="4" t="n"/>
      <c r="J6" s="4" t="inlineStr">
        <is>
          <t>VARIANCE CHECK</t>
        </is>
      </c>
      <c r="K6" s="4" t="n"/>
      <c r="L6" s="4" t="n"/>
      <c r="M6" s="4" t="n"/>
      <c r="N6" s="4" t="n"/>
      <c r="O6" s="4" t="n"/>
      <c r="P6" s="5">
        <f>(S2-P5)</f>
        <v/>
      </c>
      <c r="Q6" s="4" t="n"/>
      <c r="R6" s="4" t="n"/>
      <c r="S6" s="4" t="n"/>
      <c r="T6" s="4" t="n"/>
      <c r="U6" s="4" t="n"/>
      <c r="V6" s="4" t="n"/>
      <c r="W6" s="4" t="n"/>
      <c r="X6" s="4" t="n"/>
      <c r="Y6" s="4" t="n"/>
      <c r="Z6" s="4" t="n"/>
      <c r="AA6" s="4" t="n"/>
      <c r="AB6" s="4" t="n"/>
      <c r="AC6" s="4" t="n"/>
      <c r="AD6" s="4" t="n"/>
      <c r="AE6" s="4" t="n"/>
      <c r="AF6" s="4" t="n"/>
      <c r="AG6" s="4" t="n"/>
      <c r="AH6" s="4" t="n"/>
      <c r="AI6" s="4" t="n"/>
      <c r="AJ6" s="4" t="n"/>
      <c r="AK6" s="4" t="n"/>
    </row>
    <row r="7"/>
    <row r="8">
      <c r="A8" s="6" t="n"/>
      <c r="B8" s="6" t="n"/>
      <c r="C8" s="6" t="n"/>
      <c r="D8" s="6" t="n"/>
      <c r="E8" s="6" t="n"/>
      <c r="F8" s="6" t="n"/>
      <c r="G8" s="6" t="n"/>
      <c r="H8" s="6" t="n"/>
      <c r="I8" s="6" t="n"/>
      <c r="J8" s="6" t="inlineStr">
        <is>
          <t>DUTY ESTIMATION (Classification Cross-Check)</t>
        </is>
      </c>
      <c r="K8" s="6" t="n"/>
      <c r="L8" s="6" t="n"/>
      <c r="M8" s="6" t="n"/>
      <c r="N8" s="6" t="n"/>
      <c r="O8" s="6" t="n"/>
      <c r="P8" s="6" t="n"/>
      <c r="Q8" s="6" t="n"/>
      <c r="R8" s="6" t="n"/>
      <c r="S8" s="6" t="n"/>
      <c r="T8" s="6" t="n"/>
      <c r="U8" s="6" t="n"/>
      <c r="V8" s="6" t="n"/>
      <c r="W8" s="6" t="n"/>
      <c r="X8" s="6" t="n"/>
      <c r="Y8" s="6" t="n"/>
      <c r="Z8" s="6" t="n"/>
      <c r="AA8" s="6" t="n"/>
      <c r="AB8" s="6" t="n"/>
      <c r="AC8" s="6" t="n"/>
      <c r="AD8" s="6" t="n"/>
      <c r="AE8" s="6" t="n"/>
      <c r="AF8" s="6" t="n"/>
      <c r="AG8" s="6" t="n"/>
      <c r="AH8" s="6" t="n"/>
      <c r="AI8" s="6" t="n"/>
      <c r="AJ8" s="6" t="n"/>
      <c r="AK8" s="6" t="n"/>
    </row>
    <row r="9">
      <c r="A9" s="7" t="n"/>
      <c r="B9" s="7" t="n"/>
      <c r="C9" s="7" t="n"/>
      <c r="D9" s="7" t="n"/>
      <c r="E9" s="7" t="n"/>
      <c r="F9" s="7" t="n"/>
      <c r="G9" s="7" t="n"/>
      <c r="H9" s="7" t="n"/>
      <c r="I9" s="7" t="n"/>
      <c r="J9" s="8" t="inlineStr">
        <is>
          <t>CIF (USD) = InvTotal + Freight + Insurance</t>
        </is>
      </c>
      <c r="K9" s="7" t="n"/>
      <c r="L9" s="7" t="n"/>
      <c r="M9" s="7" t="n"/>
      <c r="N9" s="7" t="n"/>
      <c r="O9" s="7" t="n"/>
      <c r="P9" s="9" t="n">
        <v>0.01</v>
      </c>
      <c r="Q9" s="7" t="n"/>
      <c r="R9" s="7" t="n"/>
      <c r="S9" s="7" t="n"/>
      <c r="T9" s="7" t="n"/>
      <c r="U9" s="7" t="n"/>
      <c r="V9" s="7" t="n"/>
      <c r="W9" s="7" t="n"/>
      <c r="X9" s="7" t="n"/>
      <c r="Y9" s="7" t="n"/>
      <c r="Z9" s="7" t="n"/>
      <c r="AA9" s="7" t="n"/>
      <c r="AB9" s="7" t="n"/>
      <c r="AC9" s="7" t="n"/>
      <c r="AD9" s="7" t="n"/>
      <c r="AE9" s="7" t="n"/>
      <c r="AF9" s="7" t="n"/>
      <c r="AG9" s="7" t="n"/>
      <c r="AH9" s="7" t="n"/>
      <c r="AI9" s="7" t="n"/>
      <c r="AJ9" s="7" t="n"/>
      <c r="AK9" s="7" t="n"/>
    </row>
    <row r="10">
      <c r="A10" s="7" t="n"/>
      <c r="B10" s="7" t="n"/>
      <c r="C10" s="7" t="n"/>
      <c r="D10" s="7" t="n"/>
      <c r="E10" s="7" t="n"/>
      <c r="F10" s="7" t="n"/>
      <c r="G10" s="7" t="n"/>
      <c r="H10" s="7" t="n"/>
      <c r="I10" s="7" t="n"/>
      <c r="J10" s="8" t="inlineStr">
        <is>
          <t>CIF (XCD) = CIF × 2.7169</t>
        </is>
      </c>
      <c r="K10" s="7" t="n"/>
      <c r="L10" s="7" t="n"/>
      <c r="M10" s="7" t="n"/>
      <c r="N10" s="7" t="n"/>
      <c r="O10" s="7" t="n"/>
      <c r="P10" s="9" t="n">
        <v>0.03</v>
      </c>
      <c r="Q10" s="7" t="n"/>
      <c r="R10" s="7" t="n"/>
      <c r="S10" s="7" t="n"/>
      <c r="T10" s="7" t="n"/>
      <c r="U10" s="7" t="n"/>
      <c r="V10" s="7" t="n"/>
      <c r="W10" s="7" t="n"/>
      <c r="X10" s="7" t="n"/>
      <c r="Y10" s="7" t="n"/>
      <c r="Z10" s="7" t="n"/>
      <c r="AA10" s="7" t="n"/>
      <c r="AB10" s="7" t="n"/>
      <c r="AC10" s="7" t="n"/>
      <c r="AD10" s="7" t="n"/>
      <c r="AE10" s="7" t="n"/>
      <c r="AF10" s="7" t="n"/>
      <c r="AG10" s="7" t="n"/>
      <c r="AH10" s="7" t="n"/>
      <c r="AI10" s="7" t="n"/>
      <c r="AJ10" s="7" t="n"/>
      <c r="AK10" s="7" t="n"/>
    </row>
    <row r="11">
      <c r="A11" s="7" t="n"/>
      <c r="B11" s="7" t="n"/>
      <c r="C11" s="7" t="n"/>
      <c r="D11" s="7" t="n"/>
      <c r="E11" s="7" t="n"/>
      <c r="F11" s="7" t="n"/>
      <c r="G11" s="7" t="n"/>
      <c r="H11" s="7" t="n"/>
      <c r="I11" s="7" t="n"/>
      <c r="J11" s="8" t="inlineStr">
        <is>
          <t>CET (20%) — Tariff 85183000</t>
        </is>
      </c>
      <c r="K11" s="7" t="n"/>
      <c r="L11" s="7" t="n"/>
      <c r="M11" s="7" t="n"/>
      <c r="N11" s="7" t="n"/>
      <c r="O11" s="7" t="n"/>
      <c r="P11" s="9" t="n">
        <v>0.01</v>
      </c>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row>
    <row r="12">
      <c r="A12" s="7" t="n"/>
      <c r="B12" s="7" t="n"/>
      <c r="C12" s="7" t="n"/>
      <c r="D12" s="7" t="n"/>
      <c r="E12" s="7" t="n"/>
      <c r="F12" s="7" t="n"/>
      <c r="G12" s="7" t="n"/>
      <c r="H12" s="7" t="n"/>
      <c r="I12" s="7" t="n"/>
      <c r="J12" s="8" t="inlineStr">
        <is>
          <t>CSC (6%)</t>
        </is>
      </c>
      <c r="K12" s="7" t="n"/>
      <c r="L12" s="7" t="n"/>
      <c r="M12" s="7" t="n"/>
      <c r="N12" s="7" t="n"/>
      <c r="O12" s="7" t="n"/>
      <c r="P12" s="9" t="n">
        <v>0</v>
      </c>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row>
    <row r="13">
      <c r="A13" s="7" t="n"/>
      <c r="B13" s="7" t="n"/>
      <c r="C13" s="7" t="n"/>
      <c r="D13" s="7" t="n"/>
      <c r="E13" s="7" t="n"/>
      <c r="F13" s="7" t="n"/>
      <c r="G13" s="7" t="n"/>
      <c r="H13" s="7" t="n"/>
      <c r="I13" s="7" t="n"/>
      <c r="J13" s="8" t="inlineStr">
        <is>
          <t>VAT (15%) on CIF+CET+CSC</t>
        </is>
      </c>
      <c r="K13" s="7" t="n"/>
      <c r="L13" s="7" t="n"/>
      <c r="M13" s="7" t="n"/>
      <c r="N13" s="7" t="n"/>
      <c r="O13" s="7" t="n"/>
      <c r="P13" s="9" t="n">
        <v>0.01</v>
      </c>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row>
    <row r="14">
      <c r="A14" s="10" t="n"/>
      <c r="B14" s="10" t="n"/>
      <c r="C14" s="10" t="n"/>
      <c r="D14" s="10" t="n"/>
      <c r="E14" s="10" t="n"/>
      <c r="F14" s="10" t="n"/>
      <c r="G14" s="10" t="n"/>
      <c r="H14" s="10" t="n"/>
      <c r="I14" s="10" t="n"/>
      <c r="J14" s="6" t="inlineStr">
        <is>
          <t>ESTIMATED TOTAL DUTIES</t>
        </is>
      </c>
      <c r="K14" s="10" t="n"/>
      <c r="L14" s="10" t="n"/>
      <c r="M14" s="10" t="n"/>
      <c r="N14" s="10" t="n"/>
      <c r="O14" s="10" t="n"/>
      <c r="P14" s="11" t="n">
        <v>0.02</v>
      </c>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row>
    <row r="15">
      <c r="A15" s="7" t="n"/>
      <c r="B15" s="7" t="n"/>
      <c r="C15" s="7" t="n"/>
      <c r="D15" s="7" t="n"/>
      <c r="E15" s="7" t="n"/>
      <c r="F15" s="7" t="n"/>
      <c r="G15" s="7" t="n"/>
      <c r="H15" s="7" t="n"/>
      <c r="I15" s="7" t="n"/>
      <c r="J15" s="8" t="inlineStr">
        <is>
          <t>Effective Duty Rate</t>
        </is>
      </c>
      <c r="K15" s="7" t="n"/>
      <c r="L15" s="7" t="n"/>
      <c r="M15" s="7" t="n"/>
      <c r="N15" s="7" t="n"/>
      <c r="O15" s="7" t="n"/>
      <c r="P15" s="12" t="n">
        <v>0.6666666666666667</v>
      </c>
      <c r="Q15" s="7" t="n"/>
      <c r="R15" s="7" t="n"/>
      <c r="S15" s="7" t="n"/>
      <c r="T15" s="7" t="n"/>
      <c r="U15" s="7" t="n"/>
      <c r="V15" s="7" t="n"/>
      <c r="W15" s="7" t="n"/>
      <c r="X15" s="7" t="n"/>
      <c r="Y15" s="7" t="n"/>
      <c r="Z15" s="7" t="n"/>
      <c r="AA15" s="7" t="n"/>
      <c r="AB15" s="7" t="n"/>
      <c r="AC15" s="7" t="n"/>
      <c r="AD15" s="7" t="n"/>
      <c r="AE15" s="7" t="n"/>
      <c r="AF15" s="7" t="n"/>
      <c r="AG15" s="7" t="n"/>
      <c r="AH15" s="7" t="n"/>
      <c r="AI15" s="7" t="n"/>
      <c r="AJ15" s="7" t="n"/>
      <c r="AK15" s="7" t="n"/>
    </row>
    <row r="16">
      <c r="A16" s="13" t="n"/>
      <c r="B16" s="13" t="n"/>
      <c r="C16" s="13" t="n"/>
      <c r="D16" s="13" t="n"/>
      <c r="E16" s="13" t="n"/>
      <c r="F16" s="13" t="n"/>
      <c r="G16" s="13" t="n"/>
      <c r="H16" s="13" t="n"/>
      <c r="I16" s="13" t="n"/>
      <c r="J16" s="13" t="n"/>
      <c r="K16" s="13" t="n"/>
      <c r="L16" s="13" t="n"/>
      <c r="M16" s="13" t="n"/>
      <c r="N16" s="13" t="n"/>
      <c r="O16" s="13" t="n"/>
      <c r="P16" s="13" t="n"/>
      <c r="Q16" s="13" t="n"/>
      <c r="R16" s="13" t="n"/>
      <c r="S16" s="13" t="n"/>
      <c r="T16" s="13" t="n"/>
      <c r="U16" s="13" t="n"/>
      <c r="V16" s="13" t="n"/>
      <c r="W16" s="13" t="n"/>
      <c r="X16" s="13" t="n"/>
      <c r="Y16" s="13" t="n"/>
      <c r="Z16" s="13" t="n"/>
      <c r="AA16" s="13" t="n"/>
      <c r="AB16" s="13" t="n"/>
      <c r="AC16" s="13" t="n"/>
      <c r="AD16" s="13" t="n"/>
      <c r="AE16" s="13" t="n"/>
      <c r="AF16" s="13" t="n"/>
      <c r="AG16" s="13" t="n"/>
      <c r="AH16" s="13" t="n"/>
      <c r="AI16" s="13" t="n"/>
      <c r="AJ16" s="13" t="n"/>
      <c r="AK16" s="13" t="n"/>
    </row>
    <row r="17">
      <c r="A17" s="2" t="inlineStr">
        <is>
          <t>4000-000</t>
        </is>
      </c>
      <c r="B17" s="2" t="n"/>
      <c r="C17" s="2" t="inlineStr">
        <is>
          <t>INVUS20240625003817698</t>
        </is>
      </c>
      <c r="D17" s="2" t="inlineStr">
        <is>
          <t>2024-06-25</t>
        </is>
      </c>
      <c r="E17" s="2" t="inlineStr">
        <is>
          <t>Brassiéres</t>
        </is>
      </c>
      <c r="F17" s="2" t="inlineStr">
        <is>
          <t>62121000</t>
        </is>
      </c>
      <c r="G17" s="2" t="n"/>
      <c r="H17" s="2" t="n"/>
      <c r="I17" s="2" t="inlineStr">
        <is>
          <t>SHEIN-1</t>
        </is>
      </c>
      <c r="J17" s="2" t="inlineStr">
        <is>
          <t>5pcs Women Detachable Shoulder Strap Bra With Bow And Steel Support</t>
        </is>
      </c>
      <c r="K17" s="2" t="n">
        <v>1</v>
      </c>
      <c r="L17" s="2" t="n"/>
      <c r="M17" s="2" t="n"/>
      <c r="N17" s="2" t="inlineStr">
        <is>
          <t>USD</t>
        </is>
      </c>
      <c r="O17" s="3" t="n">
        <v>0.01</v>
      </c>
      <c r="P17" s="3" t="n">
        <v>0.01</v>
      </c>
      <c r="Q17" s="3">
        <f>O17*K17</f>
        <v/>
      </c>
      <c r="R17" s="3">
        <f>P17-Q17</f>
        <v/>
      </c>
      <c r="S17" s="3" t="n">
        <v>0.01</v>
      </c>
      <c r="T17" s="3" t="n">
        <v>0</v>
      </c>
      <c r="U17" s="3" t="n">
        <v>0</v>
      </c>
      <c r="V17" s="3" t="n">
        <v>0</v>
      </c>
      <c r="W17" s="3" t="n">
        <v>0</v>
      </c>
      <c r="X17" s="2" t="n"/>
      <c r="Y17" s="2" t="n"/>
      <c r="Z17" s="2" t="inlineStr">
        <is>
          <t>SHEIN</t>
        </is>
      </c>
      <c r="AA17" s="2" t="inlineStr">
        <is>
          <t>SHEIN US Services, LLC</t>
        </is>
      </c>
      <c r="AB17" s="2" t="inlineStr">
        <is>
          <t>777 S. Alameda St., Second Floor, Los Angeles, CA 90021</t>
        </is>
      </c>
      <c r="AC17" s="2" t="inlineStr">
        <is>
          <t>US</t>
        </is>
      </c>
      <c r="AD17" s="2" t="n"/>
      <c r="AE17" s="2" t="n"/>
      <c r="AF17" s="2" t="n"/>
      <c r="AG17" s="2" t="n"/>
      <c r="AH17" s="2" t="n"/>
      <c r="AI17" s="2" t="n"/>
      <c r="AJ17" s="2" t="n"/>
      <c r="AK17" s="2" t="inlineStr">
        <is>
          <t>62121000</t>
        </is>
      </c>
    </row>
    <row r="18">
      <c r="A18" s="4" t="n"/>
      <c r="B18" s="4" t="n"/>
      <c r="C18" s="4" t="n"/>
      <c r="D18" s="4" t="n"/>
      <c r="E18" s="4" t="n"/>
      <c r="F18" s="4" t="n"/>
      <c r="G18" s="4" t="n"/>
      <c r="H18" s="4" t="n"/>
      <c r="I18" s="4" t="n"/>
      <c r="J18" s="4" t="inlineStr">
        <is>
          <t>SUBTOTAL</t>
        </is>
      </c>
      <c r="K18" s="4" t="n"/>
      <c r="L18" s="4" t="n"/>
      <c r="M18" s="4" t="n"/>
      <c r="N18" s="4" t="n"/>
      <c r="O18" s="4" t="n"/>
      <c r="P18" s="5">
        <f>P17</f>
        <v/>
      </c>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row>
    <row r="19">
      <c r="A19" s="4" t="n"/>
      <c r="B19" s="4" t="n"/>
      <c r="C19" s="4" t="n"/>
      <c r="D19" s="4" t="n"/>
      <c r="E19" s="4" t="n"/>
      <c r="F19" s="4" t="n"/>
      <c r="G19" s="4" t="n"/>
      <c r="H19" s="4" t="n"/>
      <c r="I19" s="4" t="n"/>
      <c r="J19" s="4" t="inlineStr">
        <is>
          <t>ADJUSTMENTS</t>
        </is>
      </c>
      <c r="K19" s="4" t="n"/>
      <c r="L19" s="4" t="n"/>
      <c r="M19" s="4" t="n"/>
      <c r="N19" s="4" t="n"/>
      <c r="O19" s="4" t="n"/>
      <c r="P19" s="5">
        <f>(T17+U17+V17-W17)</f>
        <v/>
      </c>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row>
    <row r="20">
      <c r="A20" s="4" t="n"/>
      <c r="B20" s="4" t="n"/>
      <c r="C20" s="4" t="n"/>
      <c r="D20" s="4" t="n"/>
      <c r="E20" s="4" t="n"/>
      <c r="F20" s="4" t="n"/>
      <c r="G20" s="4" t="n"/>
      <c r="H20" s="4" t="n"/>
      <c r="I20" s="4" t="n"/>
      <c r="J20" s="4" t="inlineStr">
        <is>
          <t>NET TOTAL</t>
        </is>
      </c>
      <c r="K20" s="4" t="n"/>
      <c r="L20" s="4" t="n"/>
      <c r="M20" s="4" t="n"/>
      <c r="N20" s="4" t="n"/>
      <c r="O20" s="4" t="n"/>
      <c r="P20" s="5">
        <f>(P18+P19)</f>
        <v/>
      </c>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row>
    <row r="21">
      <c r="A21" s="4" t="n"/>
      <c r="B21" s="4" t="n"/>
      <c r="C21" s="4" t="n"/>
      <c r="D21" s="4" t="n"/>
      <c r="E21" s="4" t="n"/>
      <c r="F21" s="4" t="n"/>
      <c r="G21" s="4" t="n"/>
      <c r="H21" s="4" t="n"/>
      <c r="I21" s="4" t="n"/>
      <c r="J21" s="4" t="inlineStr">
        <is>
          <t>VARIANCE CHECK</t>
        </is>
      </c>
      <c r="K21" s="4" t="n"/>
      <c r="L21" s="4" t="n"/>
      <c r="M21" s="4" t="n"/>
      <c r="N21" s="4" t="n"/>
      <c r="O21" s="4" t="n"/>
      <c r="P21" s="5">
        <f>(S17-P20)</f>
        <v/>
      </c>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row>
    <row r="22"/>
    <row r="23">
      <c r="A23" s="6" t="n"/>
      <c r="B23" s="6" t="n"/>
      <c r="C23" s="6" t="n"/>
      <c r="D23" s="6" t="n"/>
      <c r="E23" s="6" t="n"/>
      <c r="F23" s="6" t="n"/>
      <c r="G23" s="6" t="n"/>
      <c r="H23" s="6" t="n"/>
      <c r="I23" s="6" t="n"/>
      <c r="J23" s="6" t="inlineStr">
        <is>
          <t>DUTY ESTIMATION (Classification Cross-Check)</t>
        </is>
      </c>
      <c r="K23" s="6" t="n"/>
      <c r="L23" s="6" t="n"/>
      <c r="M23" s="6" t="n"/>
      <c r="N23" s="6" t="n"/>
      <c r="O23" s="6" t="n"/>
      <c r="P23" s="6" t="n"/>
      <c r="Q23" s="6" t="n"/>
      <c r="R23" s="6" t="n"/>
      <c r="S23" s="6" t="n"/>
      <c r="T23" s="6" t="n"/>
      <c r="U23" s="6" t="n"/>
      <c r="V23" s="6" t="n"/>
      <c r="W23" s="6" t="n"/>
      <c r="X23" s="6" t="n"/>
      <c r="Y23" s="6" t="n"/>
      <c r="Z23" s="6" t="n"/>
      <c r="AA23" s="6" t="n"/>
      <c r="AB23" s="6" t="n"/>
      <c r="AC23" s="6" t="n"/>
      <c r="AD23" s="6" t="n"/>
      <c r="AE23" s="6" t="n"/>
      <c r="AF23" s="6" t="n"/>
      <c r="AG23" s="6" t="n"/>
      <c r="AH23" s="6" t="n"/>
      <c r="AI23" s="6" t="n"/>
      <c r="AJ23" s="6" t="n"/>
      <c r="AK23" s="6" t="n"/>
    </row>
    <row r="24">
      <c r="A24" s="7" t="n"/>
      <c r="B24" s="7" t="n"/>
      <c r="C24" s="7" t="n"/>
      <c r="D24" s="7" t="n"/>
      <c r="E24" s="7" t="n"/>
      <c r="F24" s="7" t="n"/>
      <c r="G24" s="7" t="n"/>
      <c r="H24" s="7" t="n"/>
      <c r="I24" s="7" t="n"/>
      <c r="J24" s="8" t="inlineStr">
        <is>
          <t>CIF (USD) = InvTotal + Freight + Insurance</t>
        </is>
      </c>
      <c r="K24" s="7" t="n"/>
      <c r="L24" s="7" t="n"/>
      <c r="M24" s="7" t="n"/>
      <c r="N24" s="7" t="n"/>
      <c r="O24" s="7" t="n"/>
      <c r="P24" s="9" t="n">
        <v>0.01</v>
      </c>
      <c r="Q24" s="7" t="n"/>
      <c r="R24" s="7" t="n"/>
      <c r="S24" s="7" t="n"/>
      <c r="T24" s="7" t="n"/>
      <c r="U24" s="7" t="n"/>
      <c r="V24" s="7" t="n"/>
      <c r="W24" s="7" t="n"/>
      <c r="X24" s="7" t="n"/>
      <c r="Y24" s="7" t="n"/>
      <c r="Z24" s="7" t="n"/>
      <c r="AA24" s="7" t="n"/>
      <c r="AB24" s="7" t="n"/>
      <c r="AC24" s="7" t="n"/>
      <c r="AD24" s="7" t="n"/>
      <c r="AE24" s="7" t="n"/>
      <c r="AF24" s="7" t="n"/>
      <c r="AG24" s="7" t="n"/>
      <c r="AH24" s="7" t="n"/>
      <c r="AI24" s="7" t="n"/>
      <c r="AJ24" s="7" t="n"/>
      <c r="AK24" s="7" t="n"/>
    </row>
    <row r="25">
      <c r="A25" s="7" t="n"/>
      <c r="B25" s="7" t="n"/>
      <c r="C25" s="7" t="n"/>
      <c r="D25" s="7" t="n"/>
      <c r="E25" s="7" t="n"/>
      <c r="F25" s="7" t="n"/>
      <c r="G25" s="7" t="n"/>
      <c r="H25" s="7" t="n"/>
      <c r="I25" s="7" t="n"/>
      <c r="J25" s="8" t="inlineStr">
        <is>
          <t>CIF (XCD) = CIF × 2.7169</t>
        </is>
      </c>
      <c r="K25" s="7" t="n"/>
      <c r="L25" s="7" t="n"/>
      <c r="M25" s="7" t="n"/>
      <c r="N25" s="7" t="n"/>
      <c r="O25" s="7" t="n"/>
      <c r="P25" s="9" t="n">
        <v>0.03</v>
      </c>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row>
    <row r="26">
      <c r="A26" s="7" t="n"/>
      <c r="B26" s="7" t="n"/>
      <c r="C26" s="7" t="n"/>
      <c r="D26" s="7" t="n"/>
      <c r="E26" s="7" t="n"/>
      <c r="F26" s="7" t="n"/>
      <c r="G26" s="7" t="n"/>
      <c r="H26" s="7" t="n"/>
      <c r="I26" s="7" t="n"/>
      <c r="J26" s="8" t="inlineStr">
        <is>
          <t>CET (20%) — Tariff 62121000</t>
        </is>
      </c>
      <c r="K26" s="7" t="n"/>
      <c r="L26" s="7" t="n"/>
      <c r="M26" s="7" t="n"/>
      <c r="N26" s="7" t="n"/>
      <c r="O26" s="7" t="n"/>
      <c r="P26" s="9" t="n">
        <v>0.01</v>
      </c>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row>
    <row r="27">
      <c r="A27" s="7" t="n"/>
      <c r="B27" s="7" t="n"/>
      <c r="C27" s="7" t="n"/>
      <c r="D27" s="7" t="n"/>
      <c r="E27" s="7" t="n"/>
      <c r="F27" s="7" t="n"/>
      <c r="G27" s="7" t="n"/>
      <c r="H27" s="7" t="n"/>
      <c r="I27" s="7" t="n"/>
      <c r="J27" s="8" t="inlineStr">
        <is>
          <t>CSC (6%)</t>
        </is>
      </c>
      <c r="K27" s="7" t="n"/>
      <c r="L27" s="7" t="n"/>
      <c r="M27" s="7" t="n"/>
      <c r="N27" s="7" t="n"/>
      <c r="O27" s="7" t="n"/>
      <c r="P27" s="9" t="n">
        <v>0</v>
      </c>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row>
    <row r="28">
      <c r="A28" s="7" t="n"/>
      <c r="B28" s="7" t="n"/>
      <c r="C28" s="7" t="n"/>
      <c r="D28" s="7" t="n"/>
      <c r="E28" s="7" t="n"/>
      <c r="F28" s="7" t="n"/>
      <c r="G28" s="7" t="n"/>
      <c r="H28" s="7" t="n"/>
      <c r="I28" s="7" t="n"/>
      <c r="J28" s="8" t="inlineStr">
        <is>
          <t>VAT (15%) on CIF+CET+CSC</t>
        </is>
      </c>
      <c r="K28" s="7" t="n"/>
      <c r="L28" s="7" t="n"/>
      <c r="M28" s="7" t="n"/>
      <c r="N28" s="7" t="n"/>
      <c r="O28" s="7" t="n"/>
      <c r="P28" s="9" t="n">
        <v>0.01</v>
      </c>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row>
    <row r="29">
      <c r="A29" s="10" t="n"/>
      <c r="B29" s="10" t="n"/>
      <c r="C29" s="10" t="n"/>
      <c r="D29" s="10" t="n"/>
      <c r="E29" s="10" t="n"/>
      <c r="F29" s="10" t="n"/>
      <c r="G29" s="10" t="n"/>
      <c r="H29" s="10" t="n"/>
      <c r="I29" s="10" t="n"/>
      <c r="J29" s="6" t="inlineStr">
        <is>
          <t>ESTIMATED TOTAL DUTIES</t>
        </is>
      </c>
      <c r="K29" s="10" t="n"/>
      <c r="L29" s="10" t="n"/>
      <c r="M29" s="10" t="n"/>
      <c r="N29" s="10" t="n"/>
      <c r="O29" s="10" t="n"/>
      <c r="P29" s="11" t="n">
        <v>0.02</v>
      </c>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row>
    <row r="30">
      <c r="A30" s="7" t="n"/>
      <c r="B30" s="7" t="n"/>
      <c r="C30" s="7" t="n"/>
      <c r="D30" s="7" t="n"/>
      <c r="E30" s="7" t="n"/>
      <c r="F30" s="7" t="n"/>
      <c r="G30" s="7" t="n"/>
      <c r="H30" s="7" t="n"/>
      <c r="I30" s="7" t="n"/>
      <c r="J30" s="8" t="inlineStr">
        <is>
          <t>Effective Duty Rate</t>
        </is>
      </c>
      <c r="K30" s="7" t="n"/>
      <c r="L30" s="7" t="n"/>
      <c r="M30" s="7" t="n"/>
      <c r="N30" s="7" t="n"/>
      <c r="O30" s="7" t="n"/>
      <c r="P30" s="12" t="n">
        <v>0.6666666666666667</v>
      </c>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row>
    <row r="31">
      <c r="A31" s="13" t="n"/>
      <c r="B31" s="13" t="n"/>
      <c r="C31" s="13" t="n"/>
      <c r="D31" s="13" t="n"/>
      <c r="E31" s="13" t="n"/>
      <c r="F31" s="13" t="n"/>
      <c r="G31" s="13" t="n"/>
      <c r="H31" s="13" t="n"/>
      <c r="I31" s="13" t="n"/>
      <c r="J31" s="13" t="n"/>
      <c r="K31" s="13" t="n"/>
      <c r="L31" s="13" t="n"/>
      <c r="M31" s="13" t="n"/>
      <c r="N31" s="13" t="n"/>
      <c r="O31" s="13" t="n"/>
      <c r="P31" s="13" t="n"/>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row>
    <row r="32">
      <c r="A32" s="2" t="inlineStr">
        <is>
          <t>4000-000</t>
        </is>
      </c>
      <c r="B32" s="2" t="n"/>
      <c r="C32" s="2" t="inlineStr">
        <is>
          <t>INVUS202406250038</t>
        </is>
      </c>
      <c r="D32" s="2" t="n"/>
      <c r="E32" s="2" t="inlineStr">
        <is>
          <t>Apparel and clothing accessories, knitted or crocheted</t>
        </is>
      </c>
      <c r="F32" s="2" t="inlineStr">
        <is>
          <t>61034290</t>
        </is>
      </c>
      <c r="G32" s="2" t="n"/>
      <c r="H32" s="2" t="n"/>
      <c r="I32" s="2" t="inlineStr">
        <is>
          <t>SHEIN-1</t>
        </is>
      </c>
      <c r="J32" s="2" t="inlineStr">
        <is>
          <t>SHEIN EZwear 3 pcs Letter Graphic Elastic Waist Thermal Lined Sweatpants</t>
        </is>
      </c>
      <c r="K32" s="2" t="n">
        <v>1</v>
      </c>
      <c r="L32" s="2" t="n"/>
      <c r="M32" s="2" t="n"/>
      <c r="N32" s="2" t="inlineStr">
        <is>
          <t>USD</t>
        </is>
      </c>
      <c r="O32" s="3" t="n">
        <v>0.01</v>
      </c>
      <c r="P32" s="3" t="n">
        <v>0.01</v>
      </c>
      <c r="Q32" s="3">
        <f>O32*K32</f>
        <v/>
      </c>
      <c r="R32" s="3">
        <f>P32-Q32</f>
        <v/>
      </c>
      <c r="S32" s="3" t="n">
        <v>0.01</v>
      </c>
      <c r="T32" s="3" t="n">
        <v>0</v>
      </c>
      <c r="U32" s="3" t="n">
        <v>0</v>
      </c>
      <c r="V32" s="3" t="n">
        <v>0</v>
      </c>
      <c r="W32" s="3" t="n">
        <v>0</v>
      </c>
      <c r="X32" s="2" t="n"/>
      <c r="Y32" s="2" t="n"/>
      <c r="Z32" s="2" t="inlineStr">
        <is>
          <t>SHEIN</t>
        </is>
      </c>
      <c r="AA32" s="2" t="inlineStr">
        <is>
          <t>SHEIN US Services, LLC</t>
        </is>
      </c>
      <c r="AB32" s="2" t="inlineStr">
        <is>
          <t>777 S. Alameda St., Second Floor, Los Angeles, CA 90021</t>
        </is>
      </c>
      <c r="AC32" s="2" t="inlineStr">
        <is>
          <t>US</t>
        </is>
      </c>
      <c r="AD32" s="2" t="n"/>
      <c r="AE32" s="2" t="n"/>
      <c r="AF32" s="2" t="n"/>
      <c r="AG32" s="2" t="n"/>
      <c r="AH32" s="2" t="n"/>
      <c r="AI32" s="2" t="n"/>
      <c r="AJ32" s="2" t="n"/>
      <c r="AK32" s="2" t="inlineStr">
        <is>
          <t>61034290</t>
        </is>
      </c>
    </row>
    <row r="33">
      <c r="A33" s="4" t="n"/>
      <c r="B33" s="4" t="n"/>
      <c r="C33" s="4" t="n"/>
      <c r="D33" s="4" t="n"/>
      <c r="E33" s="4" t="n"/>
      <c r="F33" s="4" t="n"/>
      <c r="G33" s="4" t="n"/>
      <c r="H33" s="4" t="n"/>
      <c r="I33" s="4" t="n"/>
      <c r="J33" s="4" t="inlineStr">
        <is>
          <t>SUBTOTAL</t>
        </is>
      </c>
      <c r="K33" s="4" t="n"/>
      <c r="L33" s="4" t="n"/>
      <c r="M33" s="4" t="n"/>
      <c r="N33" s="4" t="n"/>
      <c r="O33" s="4" t="n"/>
      <c r="P33" s="5">
        <f>P32</f>
        <v/>
      </c>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row>
    <row r="34">
      <c r="A34" s="4" t="n"/>
      <c r="B34" s="4" t="n"/>
      <c r="C34" s="4" t="n"/>
      <c r="D34" s="4" t="n"/>
      <c r="E34" s="4" t="n"/>
      <c r="F34" s="4" t="n"/>
      <c r="G34" s="4" t="n"/>
      <c r="H34" s="4" t="n"/>
      <c r="I34" s="4" t="n"/>
      <c r="J34" s="4" t="inlineStr">
        <is>
          <t>ADJUSTMENTS</t>
        </is>
      </c>
      <c r="K34" s="4" t="n"/>
      <c r="L34" s="4" t="n"/>
      <c r="M34" s="4" t="n"/>
      <c r="N34" s="4" t="n"/>
      <c r="O34" s="4" t="n"/>
      <c r="P34" s="5">
        <f>(T32+U32+V32-W32)</f>
        <v/>
      </c>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row>
    <row r="35">
      <c r="A35" s="4" t="n"/>
      <c r="B35" s="4" t="n"/>
      <c r="C35" s="4" t="n"/>
      <c r="D35" s="4" t="n"/>
      <c r="E35" s="4" t="n"/>
      <c r="F35" s="4" t="n"/>
      <c r="G35" s="4" t="n"/>
      <c r="H35" s="4" t="n"/>
      <c r="I35" s="4" t="n"/>
      <c r="J35" s="4" t="inlineStr">
        <is>
          <t>NET TOTAL</t>
        </is>
      </c>
      <c r="K35" s="4" t="n"/>
      <c r="L35" s="4" t="n"/>
      <c r="M35" s="4" t="n"/>
      <c r="N35" s="4" t="n"/>
      <c r="O35" s="4" t="n"/>
      <c r="P35" s="5">
        <f>(P33+P34)</f>
        <v/>
      </c>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row>
    <row r="36">
      <c r="A36" s="4" t="n"/>
      <c r="B36" s="4" t="n"/>
      <c r="C36" s="4" t="n"/>
      <c r="D36" s="4" t="n"/>
      <c r="E36" s="4" t="n"/>
      <c r="F36" s="4" t="n"/>
      <c r="G36" s="4" t="n"/>
      <c r="H36" s="4" t="n"/>
      <c r="I36" s="4" t="n"/>
      <c r="J36" s="4" t="inlineStr">
        <is>
          <t>VARIANCE CHECK</t>
        </is>
      </c>
      <c r="K36" s="4" t="n"/>
      <c r="L36" s="4" t="n"/>
      <c r="M36" s="4" t="n"/>
      <c r="N36" s="4" t="n"/>
      <c r="O36" s="4" t="n"/>
      <c r="P36" s="5">
        <f>(S32-P35)</f>
        <v/>
      </c>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row>
    <row r="37"/>
    <row r="38">
      <c r="A38" s="6" t="n"/>
      <c r="B38" s="6" t="n"/>
      <c r="C38" s="6" t="n"/>
      <c r="D38" s="6" t="n"/>
      <c r="E38" s="6" t="n"/>
      <c r="F38" s="6" t="n"/>
      <c r="G38" s="6" t="n"/>
      <c r="H38" s="6" t="n"/>
      <c r="I38" s="6" t="n"/>
      <c r="J38" s="6" t="inlineStr">
        <is>
          <t>DUTY ESTIMATION (Classification Cross-Check)</t>
        </is>
      </c>
      <c r="K38" s="6" t="n"/>
      <c r="L38" s="6" t="n"/>
      <c r="M38" s="6" t="n"/>
      <c r="N38" s="6" t="n"/>
      <c r="O38" s="6" t="n"/>
      <c r="P38" s="6" t="n"/>
      <c r="Q38" s="6" t="n"/>
      <c r="R38" s="6" t="n"/>
      <c r="S38" s="6" t="n"/>
      <c r="T38" s="6" t="n"/>
      <c r="U38" s="6" t="n"/>
      <c r="V38" s="6" t="n"/>
      <c r="W38" s="6" t="n"/>
      <c r="X38" s="6" t="n"/>
      <c r="Y38" s="6" t="n"/>
      <c r="Z38" s="6" t="n"/>
      <c r="AA38" s="6" t="n"/>
      <c r="AB38" s="6" t="n"/>
      <c r="AC38" s="6" t="n"/>
      <c r="AD38" s="6" t="n"/>
      <c r="AE38" s="6" t="n"/>
      <c r="AF38" s="6" t="n"/>
      <c r="AG38" s="6" t="n"/>
      <c r="AH38" s="6" t="n"/>
      <c r="AI38" s="6" t="n"/>
      <c r="AJ38" s="6" t="n"/>
      <c r="AK38" s="6" t="n"/>
    </row>
    <row r="39">
      <c r="A39" s="7" t="n"/>
      <c r="B39" s="7" t="n"/>
      <c r="C39" s="7" t="n"/>
      <c r="D39" s="7" t="n"/>
      <c r="E39" s="7" t="n"/>
      <c r="F39" s="7" t="n"/>
      <c r="G39" s="7" t="n"/>
      <c r="H39" s="7" t="n"/>
      <c r="I39" s="7" t="n"/>
      <c r="J39" s="8" t="inlineStr">
        <is>
          <t>CIF (USD) = InvTotal + Freight + Insurance</t>
        </is>
      </c>
      <c r="K39" s="7" t="n"/>
      <c r="L39" s="7" t="n"/>
      <c r="M39" s="7" t="n"/>
      <c r="N39" s="7" t="n"/>
      <c r="O39" s="7" t="n"/>
      <c r="P39" s="9" t="n">
        <v>0.01</v>
      </c>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7" t="n"/>
    </row>
    <row r="40">
      <c r="A40" s="7" t="n"/>
      <c r="B40" s="7" t="n"/>
      <c r="C40" s="7" t="n"/>
      <c r="D40" s="7" t="n"/>
      <c r="E40" s="7" t="n"/>
      <c r="F40" s="7" t="n"/>
      <c r="G40" s="7" t="n"/>
      <c r="H40" s="7" t="n"/>
      <c r="I40" s="7" t="n"/>
      <c r="J40" s="8" t="inlineStr">
        <is>
          <t>CIF (XCD) = CIF × 2.7169</t>
        </is>
      </c>
      <c r="K40" s="7" t="n"/>
      <c r="L40" s="7" t="n"/>
      <c r="M40" s="7" t="n"/>
      <c r="N40" s="7" t="n"/>
      <c r="O40" s="7" t="n"/>
      <c r="P40" s="9" t="n">
        <v>0.03</v>
      </c>
      <c r="Q40" s="7" t="n"/>
      <c r="R40" s="7" t="n"/>
      <c r="S40" s="7" t="n"/>
      <c r="T40" s="7" t="n"/>
      <c r="U40" s="7" t="n"/>
      <c r="V40" s="7" t="n"/>
      <c r="W40" s="7" t="n"/>
      <c r="X40" s="7" t="n"/>
      <c r="Y40" s="7" t="n"/>
      <c r="Z40" s="7" t="n"/>
      <c r="AA40" s="7" t="n"/>
      <c r="AB40" s="7" t="n"/>
      <c r="AC40" s="7" t="n"/>
      <c r="AD40" s="7" t="n"/>
      <c r="AE40" s="7" t="n"/>
      <c r="AF40" s="7" t="n"/>
      <c r="AG40" s="7" t="n"/>
      <c r="AH40" s="7" t="n"/>
      <c r="AI40" s="7" t="n"/>
      <c r="AJ40" s="7" t="n"/>
      <c r="AK40" s="7" t="n"/>
    </row>
    <row r="41">
      <c r="A41" s="7" t="n"/>
      <c r="B41" s="7" t="n"/>
      <c r="C41" s="7" t="n"/>
      <c r="D41" s="7" t="n"/>
      <c r="E41" s="7" t="n"/>
      <c r="F41" s="7" t="n"/>
      <c r="G41" s="7" t="n"/>
      <c r="H41" s="7" t="n"/>
      <c r="I41" s="7" t="n"/>
      <c r="J41" s="8" t="inlineStr">
        <is>
          <t>CET (20%) — Tariff 61034290</t>
        </is>
      </c>
      <c r="K41" s="7" t="n"/>
      <c r="L41" s="7" t="n"/>
      <c r="M41" s="7" t="n"/>
      <c r="N41" s="7" t="n"/>
      <c r="O41" s="7" t="n"/>
      <c r="P41" s="9" t="n">
        <v>0.01</v>
      </c>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7" t="n"/>
    </row>
    <row r="42">
      <c r="A42" s="7" t="n"/>
      <c r="B42" s="7" t="n"/>
      <c r="C42" s="7" t="n"/>
      <c r="D42" s="7" t="n"/>
      <c r="E42" s="7" t="n"/>
      <c r="F42" s="7" t="n"/>
      <c r="G42" s="7" t="n"/>
      <c r="H42" s="7" t="n"/>
      <c r="I42" s="7" t="n"/>
      <c r="J42" s="8" t="inlineStr">
        <is>
          <t>CSC (6%)</t>
        </is>
      </c>
      <c r="K42" s="7" t="n"/>
      <c r="L42" s="7" t="n"/>
      <c r="M42" s="7" t="n"/>
      <c r="N42" s="7" t="n"/>
      <c r="O42" s="7" t="n"/>
      <c r="P42" s="9" t="n">
        <v>0</v>
      </c>
      <c r="Q42" s="7" t="n"/>
      <c r="R42" s="7" t="n"/>
      <c r="S42" s="7" t="n"/>
      <c r="T42" s="7" t="n"/>
      <c r="U42" s="7" t="n"/>
      <c r="V42" s="7" t="n"/>
      <c r="W42" s="7" t="n"/>
      <c r="X42" s="7" t="n"/>
      <c r="Y42" s="7" t="n"/>
      <c r="Z42" s="7" t="n"/>
      <c r="AA42" s="7" t="n"/>
      <c r="AB42" s="7" t="n"/>
      <c r="AC42" s="7" t="n"/>
      <c r="AD42" s="7" t="n"/>
      <c r="AE42" s="7" t="n"/>
      <c r="AF42" s="7" t="n"/>
      <c r="AG42" s="7" t="n"/>
      <c r="AH42" s="7" t="n"/>
      <c r="AI42" s="7" t="n"/>
      <c r="AJ42" s="7" t="n"/>
      <c r="AK42" s="7" t="n"/>
    </row>
    <row r="43">
      <c r="A43" s="7" t="n"/>
      <c r="B43" s="7" t="n"/>
      <c r="C43" s="7" t="n"/>
      <c r="D43" s="7" t="n"/>
      <c r="E43" s="7" t="n"/>
      <c r="F43" s="7" t="n"/>
      <c r="G43" s="7" t="n"/>
      <c r="H43" s="7" t="n"/>
      <c r="I43" s="7" t="n"/>
      <c r="J43" s="8" t="inlineStr">
        <is>
          <t>VAT (15%) on CIF+CET+CSC</t>
        </is>
      </c>
      <c r="K43" s="7" t="n"/>
      <c r="L43" s="7" t="n"/>
      <c r="M43" s="7" t="n"/>
      <c r="N43" s="7" t="n"/>
      <c r="O43" s="7" t="n"/>
      <c r="P43" s="9" t="n">
        <v>0.01</v>
      </c>
      <c r="Q43" s="7" t="n"/>
      <c r="R43" s="7" t="n"/>
      <c r="S43" s="7" t="n"/>
      <c r="T43" s="7" t="n"/>
      <c r="U43" s="7" t="n"/>
      <c r="V43" s="7" t="n"/>
      <c r="W43" s="7" t="n"/>
      <c r="X43" s="7" t="n"/>
      <c r="Y43" s="7" t="n"/>
      <c r="Z43" s="7" t="n"/>
      <c r="AA43" s="7" t="n"/>
      <c r="AB43" s="7" t="n"/>
      <c r="AC43" s="7" t="n"/>
      <c r="AD43" s="7" t="n"/>
      <c r="AE43" s="7" t="n"/>
      <c r="AF43" s="7" t="n"/>
      <c r="AG43" s="7" t="n"/>
      <c r="AH43" s="7" t="n"/>
      <c r="AI43" s="7" t="n"/>
      <c r="AJ43" s="7" t="n"/>
      <c r="AK43" s="7" t="n"/>
    </row>
    <row r="44">
      <c r="A44" s="10" t="n"/>
      <c r="B44" s="10" t="n"/>
      <c r="C44" s="10" t="n"/>
      <c r="D44" s="10" t="n"/>
      <c r="E44" s="10" t="n"/>
      <c r="F44" s="10" t="n"/>
      <c r="G44" s="10" t="n"/>
      <c r="H44" s="10" t="n"/>
      <c r="I44" s="10" t="n"/>
      <c r="J44" s="6" t="inlineStr">
        <is>
          <t>ESTIMATED TOTAL DUTIES</t>
        </is>
      </c>
      <c r="K44" s="10" t="n"/>
      <c r="L44" s="10" t="n"/>
      <c r="M44" s="10" t="n"/>
      <c r="N44" s="10" t="n"/>
      <c r="O44" s="10" t="n"/>
      <c r="P44" s="11" t="n">
        <v>0.02</v>
      </c>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row>
    <row r="45">
      <c r="A45" s="7" t="n"/>
      <c r="B45" s="7" t="n"/>
      <c r="C45" s="7" t="n"/>
      <c r="D45" s="7" t="n"/>
      <c r="E45" s="7" t="n"/>
      <c r="F45" s="7" t="n"/>
      <c r="G45" s="7" t="n"/>
      <c r="H45" s="7" t="n"/>
      <c r="I45" s="7" t="n"/>
      <c r="J45" s="8" t="inlineStr">
        <is>
          <t>Effective Duty Rate</t>
        </is>
      </c>
      <c r="K45" s="7" t="n"/>
      <c r="L45" s="7" t="n"/>
      <c r="M45" s="7" t="n"/>
      <c r="N45" s="7" t="n"/>
      <c r="O45" s="7" t="n"/>
      <c r="P45" s="12" t="n">
        <v>0.6666666666666667</v>
      </c>
      <c r="Q45" s="7" t="n"/>
      <c r="R45" s="7" t="n"/>
      <c r="S45" s="7" t="n"/>
      <c r="T45" s="7" t="n"/>
      <c r="U45" s="7" t="n"/>
      <c r="V45" s="7" t="n"/>
      <c r="W45" s="7" t="n"/>
      <c r="X45" s="7" t="n"/>
      <c r="Y45" s="7" t="n"/>
      <c r="Z45" s="7" t="n"/>
      <c r="AA45" s="7" t="n"/>
      <c r="AB45" s="7" t="n"/>
      <c r="AC45" s="7" t="n"/>
      <c r="AD45" s="7" t="n"/>
      <c r="AE45" s="7" t="n"/>
      <c r="AF45" s="7" t="n"/>
      <c r="AG45" s="7" t="n"/>
      <c r="AH45" s="7" t="n"/>
      <c r="AI45" s="7" t="n"/>
      <c r="AJ45" s="7" t="n"/>
      <c r="AK45" s="7" t="n"/>
    </row>
    <row r="46">
      <c r="A46" s="13" t="n"/>
      <c r="B46" s="13" t="n"/>
      <c r="C46" s="13" t="n"/>
      <c r="D46" s="13" t="n"/>
      <c r="E46" s="13" t="n"/>
      <c r="F46" s="13" t="n"/>
      <c r="G46" s="13" t="n"/>
      <c r="H46" s="13" t="n"/>
      <c r="I46" s="13" t="n"/>
      <c r="J46" s="13" t="n"/>
      <c r="K46" s="13" t="n"/>
      <c r="L46" s="13" t="n"/>
      <c r="M46" s="13" t="n"/>
      <c r="N46" s="13" t="n"/>
      <c r="O46" s="13" t="n"/>
      <c r="P46" s="13" t="n"/>
      <c r="Q46" s="13" t="n"/>
      <c r="R46" s="13" t="n"/>
      <c r="S46" s="13" t="n"/>
      <c r="T46" s="13" t="n"/>
      <c r="U46" s="13" t="n"/>
      <c r="V46" s="13" t="n"/>
      <c r="W46" s="13" t="n"/>
      <c r="X46" s="13" t="n"/>
      <c r="Y46" s="13" t="n"/>
      <c r="Z46" s="13" t="n"/>
      <c r="AA46" s="13" t="n"/>
      <c r="AB46" s="13" t="n"/>
      <c r="AC46" s="13" t="n"/>
      <c r="AD46" s="13" t="n"/>
      <c r="AE46" s="13" t="n"/>
      <c r="AF46" s="13" t="n"/>
      <c r="AG46" s="13" t="n"/>
      <c r="AH46" s="13" t="n"/>
      <c r="AI46" s="13" t="n"/>
      <c r="AJ46" s="13" t="n"/>
      <c r="AK46" s="13" t="n"/>
    </row>
    <row r="47">
      <c r="A47" s="2" t="inlineStr">
        <is>
          <t>4000-000</t>
        </is>
      </c>
      <c r="B47" s="2" t="n"/>
      <c r="C47" s="2" t="inlineStr">
        <is>
          <t>INVUS20240625003826226</t>
        </is>
      </c>
      <c r="D47" s="2" t="inlineStr">
        <is>
          <t>2024-06-25</t>
        </is>
      </c>
      <c r="E47" s="2" t="inlineStr">
        <is>
          <t>Floor-cloths, dish-cloths, dusters and similar cleaning cloths</t>
        </is>
      </c>
      <c r="F47" s="2" t="inlineStr">
        <is>
          <t>63071000</t>
        </is>
      </c>
      <c r="G47" s="2" t="n"/>
      <c r="H47" s="2" t="n"/>
      <c r="I47" s="2" t="inlineStr">
        <is>
          <t>SHEIN-1</t>
        </is>
      </c>
      <c r="J47" s="2" t="inlineStr">
        <is>
          <t>3pcs Gray Flat Kitchen Dish Towels Set</t>
        </is>
      </c>
      <c r="K47" s="2" t="n">
        <v>1</v>
      </c>
      <c r="L47" s="2" t="n"/>
      <c r="M47" s="2" t="n"/>
      <c r="N47" s="2" t="inlineStr">
        <is>
          <t>USD</t>
        </is>
      </c>
      <c r="O47" s="3" t="n">
        <v>0.01</v>
      </c>
      <c r="P47" s="3" t="n">
        <v>0.01</v>
      </c>
      <c r="Q47" s="3">
        <f>O47*K47</f>
        <v/>
      </c>
      <c r="R47" s="3">
        <f>P47-Q47</f>
        <v/>
      </c>
      <c r="S47" s="3" t="n">
        <v>0.01</v>
      </c>
      <c r="T47" s="3" t="n">
        <v>0</v>
      </c>
      <c r="U47" s="3" t="n">
        <v>0</v>
      </c>
      <c r="V47" s="3" t="n">
        <v>0</v>
      </c>
      <c r="W47" s="3" t="n">
        <v>0</v>
      </c>
      <c r="X47" s="2" t="n"/>
      <c r="Y47" s="2" t="n"/>
      <c r="Z47" s="2" t="inlineStr">
        <is>
          <t>SHEIN</t>
        </is>
      </c>
      <c r="AA47" s="2" t="inlineStr">
        <is>
          <t>SHEIN US Services, LLC</t>
        </is>
      </c>
      <c r="AB47" s="2" t="inlineStr">
        <is>
          <t>777 S. Alameda St., Second Floor, Los Angeles, CA 90021</t>
        </is>
      </c>
      <c r="AC47" s="2" t="inlineStr">
        <is>
          <t>US</t>
        </is>
      </c>
      <c r="AD47" s="2" t="n"/>
      <c r="AE47" s="2" t="n"/>
      <c r="AF47" s="2" t="n"/>
      <c r="AG47" s="2" t="n"/>
      <c r="AH47" s="2" t="n"/>
      <c r="AI47" s="2" t="n"/>
      <c r="AJ47" s="2" t="n"/>
      <c r="AK47" s="2" t="inlineStr">
        <is>
          <t>63071000</t>
        </is>
      </c>
    </row>
    <row r="48">
      <c r="A48" s="4" t="n"/>
      <c r="B48" s="4" t="n"/>
      <c r="C48" s="4" t="n"/>
      <c r="D48" s="4" t="n"/>
      <c r="E48" s="4" t="n"/>
      <c r="F48" s="4" t="n"/>
      <c r="G48" s="4" t="n"/>
      <c r="H48" s="4" t="n"/>
      <c r="I48" s="4" t="n"/>
      <c r="J48" s="4" t="inlineStr">
        <is>
          <t>SUBTOTAL</t>
        </is>
      </c>
      <c r="K48" s="4" t="n"/>
      <c r="L48" s="4" t="n"/>
      <c r="M48" s="4" t="n"/>
      <c r="N48" s="4" t="n"/>
      <c r="O48" s="4" t="n"/>
      <c r="P48" s="5">
        <f>P47</f>
        <v/>
      </c>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row>
    <row r="49">
      <c r="A49" s="4" t="n"/>
      <c r="B49" s="4" t="n"/>
      <c r="C49" s="4" t="n"/>
      <c r="D49" s="4" t="n"/>
      <c r="E49" s="4" t="n"/>
      <c r="F49" s="4" t="n"/>
      <c r="G49" s="4" t="n"/>
      <c r="H49" s="4" t="n"/>
      <c r="I49" s="4" t="n"/>
      <c r="J49" s="4" t="inlineStr">
        <is>
          <t>ADJUSTMENTS</t>
        </is>
      </c>
      <c r="K49" s="4" t="n"/>
      <c r="L49" s="4" t="n"/>
      <c r="M49" s="4" t="n"/>
      <c r="N49" s="4" t="n"/>
      <c r="O49" s="4" t="n"/>
      <c r="P49" s="5">
        <f>(T47+U47+V47-W47)</f>
        <v/>
      </c>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row>
    <row r="50">
      <c r="A50" s="4" t="n"/>
      <c r="B50" s="4" t="n"/>
      <c r="C50" s="4" t="n"/>
      <c r="D50" s="4" t="n"/>
      <c r="E50" s="4" t="n"/>
      <c r="F50" s="4" t="n"/>
      <c r="G50" s="4" t="n"/>
      <c r="H50" s="4" t="n"/>
      <c r="I50" s="4" t="n"/>
      <c r="J50" s="4" t="inlineStr">
        <is>
          <t>NET TOTAL</t>
        </is>
      </c>
      <c r="K50" s="4" t="n"/>
      <c r="L50" s="4" t="n"/>
      <c r="M50" s="4" t="n"/>
      <c r="N50" s="4" t="n"/>
      <c r="O50" s="4" t="n"/>
      <c r="P50" s="5">
        <f>(P48+P49)</f>
        <v/>
      </c>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row>
    <row r="51">
      <c r="A51" s="4" t="n"/>
      <c r="B51" s="4" t="n"/>
      <c r="C51" s="4" t="n"/>
      <c r="D51" s="4" t="n"/>
      <c r="E51" s="4" t="n"/>
      <c r="F51" s="4" t="n"/>
      <c r="G51" s="4" t="n"/>
      <c r="H51" s="4" t="n"/>
      <c r="I51" s="4" t="n"/>
      <c r="J51" s="4" t="inlineStr">
        <is>
          <t>VARIANCE CHECK</t>
        </is>
      </c>
      <c r="K51" s="4" t="n"/>
      <c r="L51" s="4" t="n"/>
      <c r="M51" s="4" t="n"/>
      <c r="N51" s="4" t="n"/>
      <c r="O51" s="4" t="n"/>
      <c r="P51" s="5">
        <f>(S47-P50)</f>
        <v/>
      </c>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row>
    <row r="52"/>
    <row r="53">
      <c r="A53" s="6" t="n"/>
      <c r="B53" s="6" t="n"/>
      <c r="C53" s="6" t="n"/>
      <c r="D53" s="6" t="n"/>
      <c r="E53" s="6" t="n"/>
      <c r="F53" s="6" t="n"/>
      <c r="G53" s="6" t="n"/>
      <c r="H53" s="6" t="n"/>
      <c r="I53" s="6" t="n"/>
      <c r="J53" s="6" t="inlineStr">
        <is>
          <t>DUTY ESTIMATION (Classification Cross-Check)</t>
        </is>
      </c>
      <c r="K53" s="6" t="n"/>
      <c r="L53" s="6" t="n"/>
      <c r="M53" s="6" t="n"/>
      <c r="N53" s="6" t="n"/>
      <c r="O53" s="6" t="n"/>
      <c r="P53" s="6" t="n"/>
      <c r="Q53" s="6" t="n"/>
      <c r="R53" s="6" t="n"/>
      <c r="S53" s="6" t="n"/>
      <c r="T53" s="6" t="n"/>
      <c r="U53" s="6" t="n"/>
      <c r="V53" s="6" t="n"/>
      <c r="W53" s="6" t="n"/>
      <c r="X53" s="6" t="n"/>
      <c r="Y53" s="6" t="n"/>
      <c r="Z53" s="6" t="n"/>
      <c r="AA53" s="6" t="n"/>
      <c r="AB53" s="6" t="n"/>
      <c r="AC53" s="6" t="n"/>
      <c r="AD53" s="6" t="n"/>
      <c r="AE53" s="6" t="n"/>
      <c r="AF53" s="6" t="n"/>
      <c r="AG53" s="6" t="n"/>
      <c r="AH53" s="6" t="n"/>
      <c r="AI53" s="6" t="n"/>
      <c r="AJ53" s="6" t="n"/>
      <c r="AK53" s="6" t="n"/>
    </row>
    <row r="54">
      <c r="A54" s="7" t="n"/>
      <c r="B54" s="7" t="n"/>
      <c r="C54" s="7" t="n"/>
      <c r="D54" s="7" t="n"/>
      <c r="E54" s="7" t="n"/>
      <c r="F54" s="7" t="n"/>
      <c r="G54" s="7" t="n"/>
      <c r="H54" s="7" t="n"/>
      <c r="I54" s="7" t="n"/>
      <c r="J54" s="8" t="inlineStr">
        <is>
          <t>CIF (USD) = InvTotal + Freight + Insurance</t>
        </is>
      </c>
      <c r="K54" s="7" t="n"/>
      <c r="L54" s="7" t="n"/>
      <c r="M54" s="7" t="n"/>
      <c r="N54" s="7" t="n"/>
      <c r="O54" s="7" t="n"/>
      <c r="P54" s="9" t="n">
        <v>0.01</v>
      </c>
      <c r="Q54" s="7" t="n"/>
      <c r="R54" s="7" t="n"/>
      <c r="S54" s="7" t="n"/>
      <c r="T54" s="7" t="n"/>
      <c r="U54" s="7" t="n"/>
      <c r="V54" s="7" t="n"/>
      <c r="W54" s="7" t="n"/>
      <c r="X54" s="7" t="n"/>
      <c r="Y54" s="7" t="n"/>
      <c r="Z54" s="7" t="n"/>
      <c r="AA54" s="7" t="n"/>
      <c r="AB54" s="7" t="n"/>
      <c r="AC54" s="7" t="n"/>
      <c r="AD54" s="7" t="n"/>
      <c r="AE54" s="7" t="n"/>
      <c r="AF54" s="7" t="n"/>
      <c r="AG54" s="7" t="n"/>
      <c r="AH54" s="7" t="n"/>
      <c r="AI54" s="7" t="n"/>
      <c r="AJ54" s="7" t="n"/>
      <c r="AK54" s="7" t="n"/>
    </row>
    <row r="55">
      <c r="A55" s="7" t="n"/>
      <c r="B55" s="7" t="n"/>
      <c r="C55" s="7" t="n"/>
      <c r="D55" s="7" t="n"/>
      <c r="E55" s="7" t="n"/>
      <c r="F55" s="7" t="n"/>
      <c r="G55" s="7" t="n"/>
      <c r="H55" s="7" t="n"/>
      <c r="I55" s="7" t="n"/>
      <c r="J55" s="8" t="inlineStr">
        <is>
          <t>CIF (XCD) = CIF × 2.7169</t>
        </is>
      </c>
      <c r="K55" s="7" t="n"/>
      <c r="L55" s="7" t="n"/>
      <c r="M55" s="7" t="n"/>
      <c r="N55" s="7" t="n"/>
      <c r="O55" s="7" t="n"/>
      <c r="P55" s="9" t="n">
        <v>0.03</v>
      </c>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7" t="n"/>
    </row>
    <row r="56">
      <c r="A56" s="7" t="n"/>
      <c r="B56" s="7" t="n"/>
      <c r="C56" s="7" t="n"/>
      <c r="D56" s="7" t="n"/>
      <c r="E56" s="7" t="n"/>
      <c r="F56" s="7" t="n"/>
      <c r="G56" s="7" t="n"/>
      <c r="H56" s="7" t="n"/>
      <c r="I56" s="7" t="n"/>
      <c r="J56" s="8" t="inlineStr">
        <is>
          <t>CET (20%) — Tariff 63071000</t>
        </is>
      </c>
      <c r="K56" s="7" t="n"/>
      <c r="L56" s="7" t="n"/>
      <c r="M56" s="7" t="n"/>
      <c r="N56" s="7" t="n"/>
      <c r="O56" s="7" t="n"/>
      <c r="P56" s="9" t="n">
        <v>0.01</v>
      </c>
      <c r="Q56" s="7" t="n"/>
      <c r="R56" s="7" t="n"/>
      <c r="S56" s="7" t="n"/>
      <c r="T56" s="7" t="n"/>
      <c r="U56" s="7" t="n"/>
      <c r="V56" s="7" t="n"/>
      <c r="W56" s="7" t="n"/>
      <c r="X56" s="7" t="n"/>
      <c r="Y56" s="7" t="n"/>
      <c r="Z56" s="7" t="n"/>
      <c r="AA56" s="7" t="n"/>
      <c r="AB56" s="7" t="n"/>
      <c r="AC56" s="7" t="n"/>
      <c r="AD56" s="7" t="n"/>
      <c r="AE56" s="7" t="n"/>
      <c r="AF56" s="7" t="n"/>
      <c r="AG56" s="7" t="n"/>
      <c r="AH56" s="7" t="n"/>
      <c r="AI56" s="7" t="n"/>
      <c r="AJ56" s="7" t="n"/>
      <c r="AK56" s="7" t="n"/>
    </row>
    <row r="57">
      <c r="A57" s="7" t="n"/>
      <c r="B57" s="7" t="n"/>
      <c r="C57" s="7" t="n"/>
      <c r="D57" s="7" t="n"/>
      <c r="E57" s="7" t="n"/>
      <c r="F57" s="7" t="n"/>
      <c r="G57" s="7" t="n"/>
      <c r="H57" s="7" t="n"/>
      <c r="I57" s="7" t="n"/>
      <c r="J57" s="8" t="inlineStr">
        <is>
          <t>CSC (6%)</t>
        </is>
      </c>
      <c r="K57" s="7" t="n"/>
      <c r="L57" s="7" t="n"/>
      <c r="M57" s="7" t="n"/>
      <c r="N57" s="7" t="n"/>
      <c r="O57" s="7" t="n"/>
      <c r="P57" s="9" t="n">
        <v>0</v>
      </c>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7" t="n"/>
    </row>
    <row r="58">
      <c r="A58" s="7" t="n"/>
      <c r="B58" s="7" t="n"/>
      <c r="C58" s="7" t="n"/>
      <c r="D58" s="7" t="n"/>
      <c r="E58" s="7" t="n"/>
      <c r="F58" s="7" t="n"/>
      <c r="G58" s="7" t="n"/>
      <c r="H58" s="7" t="n"/>
      <c r="I58" s="7" t="n"/>
      <c r="J58" s="8" t="inlineStr">
        <is>
          <t>VAT (15%) on CIF+CET+CSC</t>
        </is>
      </c>
      <c r="K58" s="7" t="n"/>
      <c r="L58" s="7" t="n"/>
      <c r="M58" s="7" t="n"/>
      <c r="N58" s="7" t="n"/>
      <c r="O58" s="7" t="n"/>
      <c r="P58" s="9" t="n">
        <v>0.01</v>
      </c>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7" t="n"/>
    </row>
    <row r="59">
      <c r="A59" s="10" t="n"/>
      <c r="B59" s="10" t="n"/>
      <c r="C59" s="10" t="n"/>
      <c r="D59" s="10" t="n"/>
      <c r="E59" s="10" t="n"/>
      <c r="F59" s="10" t="n"/>
      <c r="G59" s="10" t="n"/>
      <c r="H59" s="10" t="n"/>
      <c r="I59" s="10" t="n"/>
      <c r="J59" s="6" t="inlineStr">
        <is>
          <t>ESTIMATED TOTAL DUTIES</t>
        </is>
      </c>
      <c r="K59" s="10" t="n"/>
      <c r="L59" s="10" t="n"/>
      <c r="M59" s="10" t="n"/>
      <c r="N59" s="10" t="n"/>
      <c r="O59" s="10" t="n"/>
      <c r="P59" s="11" t="n">
        <v>0.02</v>
      </c>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row>
    <row r="60">
      <c r="A60" s="7" t="n"/>
      <c r="B60" s="7" t="n"/>
      <c r="C60" s="7" t="n"/>
      <c r="D60" s="7" t="n"/>
      <c r="E60" s="7" t="n"/>
      <c r="F60" s="7" t="n"/>
      <c r="G60" s="7" t="n"/>
      <c r="H60" s="7" t="n"/>
      <c r="I60" s="7" t="n"/>
      <c r="J60" s="8" t="inlineStr">
        <is>
          <t>Effective Duty Rate</t>
        </is>
      </c>
      <c r="K60" s="7" t="n"/>
      <c r="L60" s="7" t="n"/>
      <c r="M60" s="7" t="n"/>
      <c r="N60" s="7" t="n"/>
      <c r="O60" s="7" t="n"/>
      <c r="P60" s="12" t="n">
        <v>0.6666666666666667</v>
      </c>
      <c r="Q60" s="7" t="n"/>
      <c r="R60" s="7" t="n"/>
      <c r="S60" s="7" t="n"/>
      <c r="T60" s="7" t="n"/>
      <c r="U60" s="7" t="n"/>
      <c r="V60" s="7" t="n"/>
      <c r="W60" s="7" t="n"/>
      <c r="X60" s="7" t="n"/>
      <c r="Y60" s="7" t="n"/>
      <c r="Z60" s="7" t="n"/>
      <c r="AA60" s="7" t="n"/>
      <c r="AB60" s="7" t="n"/>
      <c r="AC60" s="7" t="n"/>
      <c r="AD60" s="7" t="n"/>
      <c r="AE60" s="7" t="n"/>
      <c r="AF60" s="7" t="n"/>
      <c r="AG60" s="7" t="n"/>
      <c r="AH60" s="7" t="n"/>
      <c r="AI60" s="7" t="n"/>
      <c r="AJ60" s="7" t="n"/>
      <c r="AK60" s="7" t="n"/>
    </row>
    <row r="61">
      <c r="A61" s="13" t="n"/>
      <c r="B61" s="13" t="n"/>
      <c r="C61" s="13" t="n"/>
      <c r="D61" s="13" t="n"/>
      <c r="E61" s="13" t="n"/>
      <c r="F61" s="13" t="n"/>
      <c r="G61" s="13" t="n"/>
      <c r="H61" s="13" t="n"/>
      <c r="I61" s="13" t="n"/>
      <c r="J61" s="13" t="n"/>
      <c r="K61" s="13" t="n"/>
      <c r="L61" s="13" t="n"/>
      <c r="M61" s="13" t="n"/>
      <c r="N61" s="13" t="n"/>
      <c r="O61" s="13" t="n"/>
      <c r="P61" s="13" t="n"/>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row>
    <row r="62">
      <c r="A62" s="2" t="inlineStr">
        <is>
          <t>4000-000</t>
        </is>
      </c>
      <c r="B62" s="2" t="n"/>
      <c r="C62" s="2" t="inlineStr">
        <is>
          <t>INVUS20240625003809588</t>
        </is>
      </c>
      <c r="D62" s="2" t="inlineStr">
        <is>
          <t>2024-06-25</t>
        </is>
      </c>
      <c r="E62" s="2" t="inlineStr">
        <is>
          <t>BAGS &amp; LUGGAGE</t>
        </is>
      </c>
      <c r="F62" s="2" t="inlineStr">
        <is>
          <t>42022200</t>
        </is>
      </c>
      <c r="G62" s="2" t="n"/>
      <c r="H62" s="2" t="n"/>
      <c r="I62" s="2" t="inlineStr">
        <is>
          <t>SHEIN-1</t>
        </is>
      </c>
      <c r="J62" s="2" t="inlineStr">
        <is>
          <t>Lightweight,Business Casual Large Shoulder Tote Bag Geometric Pattern Studded...</t>
        </is>
      </c>
      <c r="K62" s="2" t="n">
        <v>1</v>
      </c>
      <c r="L62" s="2" t="n"/>
      <c r="M62" s="2" t="n"/>
      <c r="N62" s="2" t="inlineStr">
        <is>
          <t>USD</t>
        </is>
      </c>
      <c r="O62" s="3" t="n">
        <v>6.9</v>
      </c>
      <c r="P62" s="3" t="n">
        <v>6.9</v>
      </c>
      <c r="Q62" s="3">
        <f>O62*K62</f>
        <v/>
      </c>
      <c r="R62" s="3">
        <f>P62-Q62</f>
        <v/>
      </c>
      <c r="S62" s="3" t="n">
        <v>7.38</v>
      </c>
      <c r="T62" s="3" t="n">
        <v>0</v>
      </c>
      <c r="U62" s="3" t="n">
        <v>0</v>
      </c>
      <c r="V62" s="3" t="n">
        <v>0.48</v>
      </c>
      <c r="W62" s="3" t="n">
        <v>0</v>
      </c>
      <c r="X62" s="2" t="n"/>
      <c r="Y62" s="2" t="n"/>
      <c r="Z62" s="2" t="inlineStr">
        <is>
          <t>SHEIN</t>
        </is>
      </c>
      <c r="AA62" s="2" t="inlineStr">
        <is>
          <t>SHEIN US Services, LLC</t>
        </is>
      </c>
      <c r="AB62" s="2" t="inlineStr">
        <is>
          <t>777 S. Alameda St., Second Floor, Los Angeles, CA 90021</t>
        </is>
      </c>
      <c r="AC62" s="2" t="inlineStr">
        <is>
          <t>US</t>
        </is>
      </c>
      <c r="AD62" s="2" t="n"/>
      <c r="AE62" s="2" t="n"/>
      <c r="AF62" s="2" t="n"/>
      <c r="AG62" s="2" t="n"/>
      <c r="AH62" s="2" t="n"/>
      <c r="AI62" s="2" t="n"/>
      <c r="AJ62" s="2" t="n"/>
      <c r="AK62" s="2" t="inlineStr">
        <is>
          <t>42022200</t>
        </is>
      </c>
    </row>
    <row r="63">
      <c r="A63" s="4" t="n"/>
      <c r="B63" s="4" t="n"/>
      <c r="C63" s="4" t="n"/>
      <c r="D63" s="4" t="n"/>
      <c r="E63" s="4" t="n"/>
      <c r="F63" s="4" t="n"/>
      <c r="G63" s="4" t="n"/>
      <c r="H63" s="4" t="n"/>
      <c r="I63" s="4" t="n"/>
      <c r="J63" s="4" t="inlineStr">
        <is>
          <t>SUBTOTAL</t>
        </is>
      </c>
      <c r="K63" s="4" t="n"/>
      <c r="L63" s="4" t="n"/>
      <c r="M63" s="4" t="n"/>
      <c r="N63" s="4" t="n"/>
      <c r="O63" s="4" t="n"/>
      <c r="P63" s="5">
        <f>P62</f>
        <v/>
      </c>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row>
    <row r="64">
      <c r="A64" s="4" t="n"/>
      <c r="B64" s="4" t="n"/>
      <c r="C64" s="4" t="n"/>
      <c r="D64" s="4" t="n"/>
      <c r="E64" s="4" t="n"/>
      <c r="F64" s="4" t="n"/>
      <c r="G64" s="4" t="n"/>
      <c r="H64" s="4" t="n"/>
      <c r="I64" s="4" t="n"/>
      <c r="J64" s="4" t="inlineStr">
        <is>
          <t>ADJUSTMENTS</t>
        </is>
      </c>
      <c r="K64" s="4" t="n"/>
      <c r="L64" s="4" t="n"/>
      <c r="M64" s="4" t="n"/>
      <c r="N64" s="4" t="n"/>
      <c r="O64" s="4" t="n"/>
      <c r="P64" s="5">
        <f>(T62+U62+V62-W62)</f>
        <v/>
      </c>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row>
    <row r="65">
      <c r="A65" s="4" t="n"/>
      <c r="B65" s="4" t="n"/>
      <c r="C65" s="4" t="n"/>
      <c r="D65" s="4" t="n"/>
      <c r="E65" s="4" t="n"/>
      <c r="F65" s="4" t="n"/>
      <c r="G65" s="4" t="n"/>
      <c r="H65" s="4" t="n"/>
      <c r="I65" s="4" t="n"/>
      <c r="J65" s="4" t="inlineStr">
        <is>
          <t>NET TOTAL</t>
        </is>
      </c>
      <c r="K65" s="4" t="n"/>
      <c r="L65" s="4" t="n"/>
      <c r="M65" s="4" t="n"/>
      <c r="N65" s="4" t="n"/>
      <c r="O65" s="4" t="n"/>
      <c r="P65" s="5">
        <f>(P63+P64)</f>
        <v/>
      </c>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row>
    <row r="66">
      <c r="A66" s="4" t="n"/>
      <c r="B66" s="4" t="n"/>
      <c r="C66" s="4" t="n"/>
      <c r="D66" s="4" t="n"/>
      <c r="E66" s="4" t="n"/>
      <c r="F66" s="4" t="n"/>
      <c r="G66" s="4" t="n"/>
      <c r="H66" s="4" t="n"/>
      <c r="I66" s="4" t="n"/>
      <c r="J66" s="4" t="inlineStr">
        <is>
          <t>VARIANCE CHECK</t>
        </is>
      </c>
      <c r="K66" s="4" t="n"/>
      <c r="L66" s="4" t="n"/>
      <c r="M66" s="4" t="n"/>
      <c r="N66" s="4" t="n"/>
      <c r="O66" s="4" t="n"/>
      <c r="P66" s="5">
        <f>(S62-P65)</f>
        <v/>
      </c>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row>
    <row r="67"/>
    <row r="68">
      <c r="A68" s="6" t="n"/>
      <c r="B68" s="6" t="n"/>
      <c r="C68" s="6" t="n"/>
      <c r="D68" s="6" t="n"/>
      <c r="E68" s="6" t="n"/>
      <c r="F68" s="6" t="n"/>
      <c r="G68" s="6" t="n"/>
      <c r="H68" s="6" t="n"/>
      <c r="I68" s="6" t="n"/>
      <c r="J68" s="6" t="inlineStr">
        <is>
          <t>DUTY ESTIMATION (Classification Cross-Check)</t>
        </is>
      </c>
      <c r="K68" s="6" t="n"/>
      <c r="L68" s="6" t="n"/>
      <c r="M68" s="6" t="n"/>
      <c r="N68" s="6" t="n"/>
      <c r="O68" s="6" t="n"/>
      <c r="P68" s="6" t="n"/>
      <c r="Q68" s="6" t="n"/>
      <c r="R68" s="6" t="n"/>
      <c r="S68" s="6" t="n"/>
      <c r="T68" s="6" t="n"/>
      <c r="U68" s="6" t="n"/>
      <c r="V68" s="6" t="n"/>
      <c r="W68" s="6" t="n"/>
      <c r="X68" s="6" t="n"/>
      <c r="Y68" s="6" t="n"/>
      <c r="Z68" s="6" t="n"/>
      <c r="AA68" s="6" t="n"/>
      <c r="AB68" s="6" t="n"/>
      <c r="AC68" s="6" t="n"/>
      <c r="AD68" s="6" t="n"/>
      <c r="AE68" s="6" t="n"/>
      <c r="AF68" s="6" t="n"/>
      <c r="AG68" s="6" t="n"/>
      <c r="AH68" s="6" t="n"/>
      <c r="AI68" s="6" t="n"/>
      <c r="AJ68" s="6" t="n"/>
      <c r="AK68" s="6" t="n"/>
    </row>
    <row r="69">
      <c r="A69" s="7" t="n"/>
      <c r="B69" s="7" t="n"/>
      <c r="C69" s="7" t="n"/>
      <c r="D69" s="7" t="n"/>
      <c r="E69" s="7" t="n"/>
      <c r="F69" s="7" t="n"/>
      <c r="G69" s="7" t="n"/>
      <c r="H69" s="7" t="n"/>
      <c r="I69" s="7" t="n"/>
      <c r="J69" s="8" t="inlineStr">
        <is>
          <t>CIF (USD) = InvTotal + Freight + Insurance</t>
        </is>
      </c>
      <c r="K69" s="7" t="n"/>
      <c r="L69" s="7" t="n"/>
      <c r="M69" s="7" t="n"/>
      <c r="N69" s="7" t="n"/>
      <c r="O69" s="7" t="n"/>
      <c r="P69" s="9" t="n">
        <v>7.38</v>
      </c>
      <c r="Q69" s="7" t="n"/>
      <c r="R69" s="7" t="n"/>
      <c r="S69" s="7" t="n"/>
      <c r="T69" s="7" t="n"/>
      <c r="U69" s="7" t="n"/>
      <c r="V69" s="7" t="n"/>
      <c r="W69" s="7" t="n"/>
      <c r="X69" s="7" t="n"/>
      <c r="Y69" s="7" t="n"/>
      <c r="Z69" s="7" t="n"/>
      <c r="AA69" s="7" t="n"/>
      <c r="AB69" s="7" t="n"/>
      <c r="AC69" s="7" t="n"/>
      <c r="AD69" s="7" t="n"/>
      <c r="AE69" s="7" t="n"/>
      <c r="AF69" s="7" t="n"/>
      <c r="AG69" s="7" t="n"/>
      <c r="AH69" s="7" t="n"/>
      <c r="AI69" s="7" t="n"/>
      <c r="AJ69" s="7" t="n"/>
      <c r="AK69" s="7" t="n"/>
    </row>
    <row r="70">
      <c r="A70" s="7" t="n"/>
      <c r="B70" s="7" t="n"/>
      <c r="C70" s="7" t="n"/>
      <c r="D70" s="7" t="n"/>
      <c r="E70" s="7" t="n"/>
      <c r="F70" s="7" t="n"/>
      <c r="G70" s="7" t="n"/>
      <c r="H70" s="7" t="n"/>
      <c r="I70" s="7" t="n"/>
      <c r="J70" s="8" t="inlineStr">
        <is>
          <t>CIF (XCD) = CIF × 2.7169</t>
        </is>
      </c>
      <c r="K70" s="7" t="n"/>
      <c r="L70" s="7" t="n"/>
      <c r="M70" s="7" t="n"/>
      <c r="N70" s="7" t="n"/>
      <c r="O70" s="7" t="n"/>
      <c r="P70" s="9" t="n">
        <v>20.05</v>
      </c>
      <c r="Q70" s="7" t="n"/>
      <c r="R70" s="7" t="n"/>
      <c r="S70" s="7" t="n"/>
      <c r="T70" s="7" t="n"/>
      <c r="U70" s="7" t="n"/>
      <c r="V70" s="7" t="n"/>
      <c r="W70" s="7" t="n"/>
      <c r="X70" s="7" t="n"/>
      <c r="Y70" s="7" t="n"/>
      <c r="Z70" s="7" t="n"/>
      <c r="AA70" s="7" t="n"/>
      <c r="AB70" s="7" t="n"/>
      <c r="AC70" s="7" t="n"/>
      <c r="AD70" s="7" t="n"/>
      <c r="AE70" s="7" t="n"/>
      <c r="AF70" s="7" t="n"/>
      <c r="AG70" s="7" t="n"/>
      <c r="AH70" s="7" t="n"/>
      <c r="AI70" s="7" t="n"/>
      <c r="AJ70" s="7" t="n"/>
      <c r="AK70" s="7" t="n"/>
    </row>
    <row r="71">
      <c r="A71" s="7" t="n"/>
      <c r="B71" s="7" t="n"/>
      <c r="C71" s="7" t="n"/>
      <c r="D71" s="7" t="n"/>
      <c r="E71" s="7" t="n"/>
      <c r="F71" s="7" t="n"/>
      <c r="G71" s="7" t="n"/>
      <c r="H71" s="7" t="n"/>
      <c r="I71" s="7" t="n"/>
      <c r="J71" s="8" t="inlineStr">
        <is>
          <t>CET (20%) — Tariff 42022200</t>
        </is>
      </c>
      <c r="K71" s="7" t="n"/>
      <c r="L71" s="7" t="n"/>
      <c r="M71" s="7" t="n"/>
      <c r="N71" s="7" t="n"/>
      <c r="O71" s="7" t="n"/>
      <c r="P71" s="9" t="n">
        <v>4.01</v>
      </c>
      <c r="Q71" s="7" t="n"/>
      <c r="R71" s="7" t="n"/>
      <c r="S71" s="7" t="n"/>
      <c r="T71" s="7" t="n"/>
      <c r="U71" s="7" t="n"/>
      <c r="V71" s="7" t="n"/>
      <c r="W71" s="7" t="n"/>
      <c r="X71" s="7" t="n"/>
      <c r="Y71" s="7" t="n"/>
      <c r="Z71" s="7" t="n"/>
      <c r="AA71" s="7" t="n"/>
      <c r="AB71" s="7" t="n"/>
      <c r="AC71" s="7" t="n"/>
      <c r="AD71" s="7" t="n"/>
      <c r="AE71" s="7" t="n"/>
      <c r="AF71" s="7" t="n"/>
      <c r="AG71" s="7" t="n"/>
      <c r="AH71" s="7" t="n"/>
      <c r="AI71" s="7" t="n"/>
      <c r="AJ71" s="7" t="n"/>
      <c r="AK71" s="7" t="n"/>
    </row>
    <row r="72">
      <c r="A72" s="7" t="n"/>
      <c r="B72" s="7" t="n"/>
      <c r="C72" s="7" t="n"/>
      <c r="D72" s="7" t="n"/>
      <c r="E72" s="7" t="n"/>
      <c r="F72" s="7" t="n"/>
      <c r="G72" s="7" t="n"/>
      <c r="H72" s="7" t="n"/>
      <c r="I72" s="7" t="n"/>
      <c r="J72" s="8" t="inlineStr">
        <is>
          <t>CSC (6%)</t>
        </is>
      </c>
      <c r="K72" s="7" t="n"/>
      <c r="L72" s="7" t="n"/>
      <c r="M72" s="7" t="n"/>
      <c r="N72" s="7" t="n"/>
      <c r="O72" s="7" t="n"/>
      <c r="P72" s="9" t="n">
        <v>1.2</v>
      </c>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7" t="n"/>
    </row>
    <row r="73">
      <c r="A73" s="7" t="n"/>
      <c r="B73" s="7" t="n"/>
      <c r="C73" s="7" t="n"/>
      <c r="D73" s="7" t="n"/>
      <c r="E73" s="7" t="n"/>
      <c r="F73" s="7" t="n"/>
      <c r="G73" s="7" t="n"/>
      <c r="H73" s="7" t="n"/>
      <c r="I73" s="7" t="n"/>
      <c r="J73" s="8" t="inlineStr">
        <is>
          <t>VAT (15%) on CIF+CET+CSC</t>
        </is>
      </c>
      <c r="K73" s="7" t="n"/>
      <c r="L73" s="7" t="n"/>
      <c r="M73" s="7" t="n"/>
      <c r="N73" s="7" t="n"/>
      <c r="O73" s="7" t="n"/>
      <c r="P73" s="9" t="n">
        <v>3.79</v>
      </c>
      <c r="Q73" s="7" t="n"/>
      <c r="R73" s="7" t="n"/>
      <c r="S73" s="7" t="n"/>
      <c r="T73" s="7" t="n"/>
      <c r="U73" s="7" t="n"/>
      <c r="V73" s="7" t="n"/>
      <c r="W73" s="7" t="n"/>
      <c r="X73" s="7" t="n"/>
      <c r="Y73" s="7" t="n"/>
      <c r="Z73" s="7" t="n"/>
      <c r="AA73" s="7" t="n"/>
      <c r="AB73" s="7" t="n"/>
      <c r="AC73" s="7" t="n"/>
      <c r="AD73" s="7" t="n"/>
      <c r="AE73" s="7" t="n"/>
      <c r="AF73" s="7" t="n"/>
      <c r="AG73" s="7" t="n"/>
      <c r="AH73" s="7" t="n"/>
      <c r="AI73" s="7" t="n"/>
      <c r="AJ73" s="7" t="n"/>
      <c r="AK73" s="7" t="n"/>
    </row>
    <row r="74">
      <c r="A74" s="10" t="n"/>
      <c r="B74" s="10" t="n"/>
      <c r="C74" s="10" t="n"/>
      <c r="D74" s="10" t="n"/>
      <c r="E74" s="10" t="n"/>
      <c r="F74" s="10" t="n"/>
      <c r="G74" s="10" t="n"/>
      <c r="H74" s="10" t="n"/>
      <c r="I74" s="10" t="n"/>
      <c r="J74" s="6" t="inlineStr">
        <is>
          <t>ESTIMATED TOTAL DUTIES</t>
        </is>
      </c>
      <c r="K74" s="10" t="n"/>
      <c r="L74" s="10" t="n"/>
      <c r="M74" s="10" t="n"/>
      <c r="N74" s="10" t="n"/>
      <c r="O74" s="10" t="n"/>
      <c r="P74" s="11" t="n">
        <v>9</v>
      </c>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row>
    <row r="75">
      <c r="A75" s="7" t="n"/>
      <c r="B75" s="7" t="n"/>
      <c r="C75" s="7" t="n"/>
      <c r="D75" s="7" t="n"/>
      <c r="E75" s="7" t="n"/>
      <c r="F75" s="7" t="n"/>
      <c r="G75" s="7" t="n"/>
      <c r="H75" s="7" t="n"/>
      <c r="I75" s="7" t="n"/>
      <c r="J75" s="8" t="inlineStr">
        <is>
          <t>Effective Duty Rate</t>
        </is>
      </c>
      <c r="K75" s="7" t="n"/>
      <c r="L75" s="7" t="n"/>
      <c r="M75" s="7" t="n"/>
      <c r="N75" s="7" t="n"/>
      <c r="O75" s="7" t="n"/>
      <c r="P75" s="12" t="n">
        <v>0.4488778054862843</v>
      </c>
      <c r="Q75" s="7" t="n"/>
      <c r="R75" s="7" t="n"/>
      <c r="S75" s="7" t="n"/>
      <c r="T75" s="7" t="n"/>
      <c r="U75" s="7" t="n"/>
      <c r="V75" s="7" t="n"/>
      <c r="W75" s="7" t="n"/>
      <c r="X75" s="7" t="n"/>
      <c r="Y75" s="7" t="n"/>
      <c r="Z75" s="7" t="n"/>
      <c r="AA75" s="7" t="n"/>
      <c r="AB75" s="7" t="n"/>
      <c r="AC75" s="7" t="n"/>
      <c r="AD75" s="7" t="n"/>
      <c r="AE75" s="7" t="n"/>
      <c r="AF75" s="7" t="n"/>
      <c r="AG75" s="7" t="n"/>
      <c r="AH75" s="7" t="n"/>
      <c r="AI75" s="7" t="n"/>
      <c r="AJ75" s="7" t="n"/>
      <c r="AK75" s="7" t="n"/>
    </row>
    <row r="76"/>
    <row r="77">
      <c r="A77" s="14" t="n"/>
      <c r="B77" s="14" t="n"/>
      <c r="C77" s="14" t="n"/>
      <c r="D77" s="14" t="n"/>
      <c r="E77" s="14" t="n"/>
      <c r="F77" s="14"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c r="AA77" s="14" t="n"/>
      <c r="AB77" s="14" t="n"/>
      <c r="AC77" s="14" t="n"/>
      <c r="AD77" s="14" t="n"/>
      <c r="AE77" s="14" t="n"/>
      <c r="AF77" s="14" t="n"/>
      <c r="AG77" s="14" t="n"/>
      <c r="AH77" s="14" t="n"/>
      <c r="AI77" s="14" t="n"/>
      <c r="AJ77" s="14" t="n"/>
      <c r="AK77" s="14" t="n"/>
    </row>
    <row r="78">
      <c r="A78" s="14" t="n"/>
      <c r="B78" s="14" t="n"/>
      <c r="C78" s="14" t="n"/>
      <c r="D78" s="14" t="n"/>
      <c r="E78" s="14" t="n"/>
      <c r="F78" s="14" t="n"/>
      <c r="G78" s="14" t="n"/>
      <c r="H78" s="14" t="n"/>
      <c r="I78" s="14" t="n"/>
      <c r="J78" s="14" t="n"/>
      <c r="K78" s="14" t="n"/>
      <c r="L78" s="15" t="inlineStr">
        <is>
          <t>═══ COMBINED GRAND SUMMARY ═══</t>
        </is>
      </c>
      <c r="M78" s="14" t="n"/>
      <c r="N78" s="14" t="n"/>
      <c r="O78" s="14" t="n"/>
      <c r="P78" s="14" t="n"/>
      <c r="Q78" s="14" t="n"/>
      <c r="R78" s="14" t="n"/>
      <c r="S78" s="14" t="n"/>
      <c r="T78" s="14" t="n"/>
      <c r="U78" s="14" t="n"/>
      <c r="V78" s="14" t="n"/>
      <c r="W78" s="14" t="n"/>
      <c r="X78" s="14" t="n"/>
      <c r="Y78" s="14" t="n"/>
      <c r="Z78" s="14" t="n"/>
      <c r="AA78" s="14" t="n"/>
      <c r="AB78" s="14" t="n"/>
      <c r="AC78" s="14" t="n"/>
      <c r="AD78" s="14" t="n"/>
      <c r="AE78" s="14" t="n"/>
      <c r="AF78" s="14" t="n"/>
      <c r="AG78" s="14" t="n"/>
      <c r="AH78" s="14" t="n"/>
      <c r="AI78" s="14" t="n"/>
      <c r="AJ78" s="14" t="n"/>
      <c r="AK78" s="14" t="n"/>
    </row>
    <row r="79">
      <c r="L79" s="16" t="inlineStr">
        <is>
          <t>Invoice INVUS20240625003805461</t>
        </is>
      </c>
      <c r="P79" s="17" t="n">
        <v>0.76</v>
      </c>
      <c r="Q79" s="18" t="n">
        <v>-0.75</v>
      </c>
    </row>
    <row r="80">
      <c r="L80" s="16" t="inlineStr">
        <is>
          <t>Invoice INVUS20240625003817698</t>
        </is>
      </c>
      <c r="P80" s="17" t="n">
        <v>0.76</v>
      </c>
      <c r="Q80" s="18" t="n">
        <v>-0.75</v>
      </c>
    </row>
    <row r="81">
      <c r="L81" s="16" t="inlineStr">
        <is>
          <t>Invoice INVUS202406250038</t>
        </is>
      </c>
      <c r="P81" s="17" t="n">
        <v>0.76</v>
      </c>
      <c r="Q81" s="18" t="n">
        <v>-0.75</v>
      </c>
    </row>
    <row r="82">
      <c r="L82" s="16" t="inlineStr">
        <is>
          <t>Invoice INVUS20240625003826226</t>
        </is>
      </c>
      <c r="P82" s="17" t="n">
        <v>0.76</v>
      </c>
      <c r="Q82" s="18" t="n">
        <v>-0.75</v>
      </c>
    </row>
    <row r="83">
      <c r="L83" s="16" t="inlineStr">
        <is>
          <t>Invoice INVUS20240625003809588</t>
        </is>
      </c>
      <c r="P83" s="17" t="n">
        <v>53.26</v>
      </c>
      <c r="Q83" s="18" t="n">
        <v>-45.88</v>
      </c>
    </row>
    <row r="84"/>
    <row r="85">
      <c r="L85" s="19" t="inlineStr">
        <is>
          <t>GRAND TOTAL</t>
        </is>
      </c>
      <c r="P85" s="20" t="n">
        <v>56.3</v>
      </c>
    </row>
    <row r="86">
      <c r="L86" s="21" t="inlineStr">
        <is>
          <t>GRAND VARIANCE CHECK</t>
        </is>
      </c>
      <c r="P86" s="18" t="n">
        <v>-48.88</v>
      </c>
    </row>
    <row r="87">
      <c r="L87" s="22" t="inlineStr">
        <is>
          <t>Combined 5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23" t="inlineStr">
        <is>
          <t>PDF File</t>
        </is>
      </c>
      <c r="B1" s="23" t="inlineStr">
        <is>
          <t>Quality Score</t>
        </is>
      </c>
      <c r="C1" s="23" t="inlineStr">
        <is>
          <t>Rating</t>
        </is>
      </c>
      <c r="D1" s="23" t="inlineStr">
        <is>
          <t>Details</t>
        </is>
      </c>
      <c r="E1" s="23" t="inlineStr">
        <is>
          <t>OCR Text (first 2000 chars)</t>
        </is>
      </c>
    </row>
    <row r="2">
      <c r="A2" s="24" t="inlineStr">
        <is>
          <t>INVUS20240625003805461.pdf</t>
        </is>
      </c>
      <c r="B2" s="24" t="inlineStr">
        <is>
          <t>35/100</t>
        </is>
      </c>
      <c r="C2" s="25" t="inlineStr">
        <is>
          <t>POOR</t>
        </is>
      </c>
      <c r="D2" s="24" t="inlineStr">
        <is>
          <t>Text: 865 chars; Prices: 0 ($-sign), 0 (decimal); Total: $0.01 (placeholder); Invoice#: INVUS20240625003805461; Real items: 0/1; Structure words: 10/12</t>
        </is>
      </c>
      <c r="E2" s="26" t="inlineStr">
        <is>
          <t>SHEIN US Services, LLC.
777 S Alameda St Fl 2, Los Angeles, CA 90021-1633
Sales Invoice
Bill To:
Nakisha Cornwall
Billing Address:
10813 NW 30th Street BLDG 115 GRE 369 Miami, FLORIDA
33172
Invoice No.:
INVUS20240625003805461
Invoice Date:
2024-06-25
Delivery Address:
10813 NW 30th Street BLDG 115 GRE 369 Miami, FLORIDA
33172
Order Information
Order Number:
GSUNHG59F004YQ8
Order Date:
2024-06-25
Seller Information
Sold By:
Woka Power
Address:
ChinaGuangdong Shenzhen, Longhua, Longhua District,
Shenzhen, China
Invoice Detail
Description
Quantity
Amount(USD)
New Transparent Touch Control, Low Latency, Tws Wireless Headphones, Suitable For Sports, Office, And
Gaming, With Type-C Charging Port. 5.3 True Wireless Earbuds With Semi-In-Ear Design And Ultra-Long
Battery Life 1 0.00
Item(s) Subtotal:
0.00
Shipping/Handling:
0.00
Sales Tax:
0.00
Grand Total:
0.00</t>
        </is>
      </c>
    </row>
    <row r="3">
      <c r="A3" s="24" t="inlineStr">
        <is>
          <t>INVUS20240625003817698.pdf</t>
        </is>
      </c>
      <c r="B3" s="24" t="inlineStr">
        <is>
          <t>35/100</t>
        </is>
      </c>
      <c r="C3" s="25" t="inlineStr">
        <is>
          <t>POOR</t>
        </is>
      </c>
      <c r="D3" s="24" t="inlineStr">
        <is>
          <t>Text: 752 chars; Prices: 0 ($-sign), 0 (decimal); Total: $0.01 (placeholder); Invoice#: INVUS20240625003817698; Real items: 0/1; Structure words: 10/12</t>
        </is>
      </c>
      <c r="E3" s="26" t="inlineStr">
        <is>
          <t>SHEIN US Services, LLC.
777 S Alameda St Fl 2, Los Angeles, CA 90021-1633
Sales Invoice
Bill To:
Nakisha Cornwall
Invoice No.:
INVUS20240625003817698
Billing Address:
10813 NW 30th Street BLDG 115 GRE 369 Miami, FLORIDA
33172
Invoice Date:
2024-06-25
Delivery Address:
10813 NW 30th Street BLDG 115 GRE 369 Miami, FLORIDA
33172
Order Information
Order Number:
GSUNHG59F004YQS
Order Date:
2024-06-25
Seller Information
Sold By:
Aifenman
Address:
Room 101, No. 16, Zhuyuan Street, Bantian Community, Bantian
Street, Longgang District, Shenzhen, China
Invoice Detail
Description	Quantity	Amount(USD)
5pcs Women Detachable Shoulder Strap Bra With Bow And Steel Support	1	0.00
Item(s) Subtotal:	0.00
Shipping/Handling:	0.00
Sales Tax:	0.00
Grand Total:	0.00</t>
        </is>
      </c>
    </row>
    <row r="4">
      <c r="A4" s="24" t="inlineStr">
        <is>
          <t>INVUS20240625003819696.pdf</t>
        </is>
      </c>
      <c r="B4" s="24" t="inlineStr">
        <is>
          <t>35/100</t>
        </is>
      </c>
      <c r="C4" s="25" t="inlineStr">
        <is>
          <t>POOR</t>
        </is>
      </c>
      <c r="D4" s="24" t="inlineStr">
        <is>
          <t>Text: 792 chars; Prices: 0 ($-sign), 0 (decimal); Total: $0.01 (placeholder); Invoice#: INVUS202406250038; Real items: 0/1; Structure words: 8/12</t>
        </is>
      </c>
      <c r="E4" s="26" t="inlineStr">
        <is>
          <t>' . rvi LL s 4
SHEIN US Services , LLC Sales Invoice
777 S Alameda St Fl 2 , Los Angeles , CA 90021 - 1633
Bill To : Invoice No . :
Nakisha Cornwall INVUS202406250038 19696
Billing Address : Invoice Date :
10813 NW 30 th Street BLDG 115 GRE 369 Miami , FLORIDA 2024 - 06 - 25
33172
Delivery Address :
10813 NW 30 th Street BLDG 115 GRE 369 Miami , FLORIDA
33172
Order Information
Order Number : Order Date :
GSUNHGS 59 F 004 YQY 2024 - 06 - 25
Seller Information
Sold By : Address :
SHEIN DISTRIBUTION CORPORATION United StatesCALIFORNIALos Angeles 777 S . Alamaeda St .
Suite 340 , Los Angeles , CA 90021
Invoice Detail
SHEIN EZwear 3 pcs Letter Graphic Elastic Waist Thermal Lined Sweatpants 1 0.00
Item ( s ) Subtotal : 0.00
Shipping / Handiling : 0.00
Sales Tax : 0.00
Grand Total: : 0.00</t>
        </is>
      </c>
    </row>
    <row r="5">
      <c r="A5" s="24" t="inlineStr">
        <is>
          <t>INVUS20240625003826226.pdf</t>
        </is>
      </c>
      <c r="B5" s="24" t="inlineStr">
        <is>
          <t>35/100</t>
        </is>
      </c>
      <c r="C5" s="25" t="inlineStr">
        <is>
          <t>POOR</t>
        </is>
      </c>
      <c r="D5" s="24" t="inlineStr">
        <is>
          <t>Text: 735 chars; Prices: 0 ($-sign), 0 (decimal); Total: $0.01 (placeholder); Invoice#: INVUS20240625003826226; Real items: 0/1; Structure words: 10/12</t>
        </is>
      </c>
      <c r="E5" s="26" t="inlineStr">
        <is>
          <t>SHEIN US Services, LLC.
777 S Alameda St Fl 2, Los Angeles, CA 90021-1633
Sales Invoice
Bill To:
Nakisha Cornwall
Invoice No.:
INVUS20240625003826226
Billing Address:
10813 NW 30th Street BLDG 115 GRE 369 Miami, FLORIDA
33172
Invoice Date:
2024-06-25
Delivery Address:
10813 NW 30th Street BLDG 115 GRE 369 Miami, FLORIDA
33172
Order Information
Order Number:
GSUNHG59F004YQR
Order Date:
2024-06-25
Seller Information
Sold By:
Towelmaster
Address:
ChinaZhejiang Jinhua Jindong No. 671 Donggang North Street,
Jindong Economic Development Zone, Zhejiang Province
Invoice Detail
Description
Quantity
Amount(USD)
3pcs Gray Flat Kitchen Dish Towels Set 1 0.00
Item(s) Subtotal:
0.00
Shipping/Handling:
0.00
Sales Tax:
0.00
Grand Total:
0.00</t>
        </is>
      </c>
    </row>
    <row r="6">
      <c r="A6" s="27" t="inlineStr">
        <is>
          <t>INVUS20240625003809588.pdf</t>
        </is>
      </c>
      <c r="B6" s="27" t="inlineStr">
        <is>
          <t>65/100</t>
        </is>
      </c>
      <c r="C6" s="27" t="inlineStr">
        <is>
          <t>FAIR</t>
        </is>
      </c>
      <c r="D6" s="27" t="inlineStr">
        <is>
          <t>Text: 1208 chars; Prices: 0 ($-sign), 0 (decimal); Total: $7.38; Invoice#: INVUS20240625003809588; Real items: 1/1; Structure words: 10/12</t>
        </is>
      </c>
      <c r="E6" s="28" t="inlineStr">
        <is>
          <t>5705
SHEIN US Services, LLC.
777 S Alameda St Fl 2, Los Angeles, CA 90021-1633
Sales Invoice
Bill To:
Nakisha Cornwall
Invoice No.:
INVUS20240625003809588
Billing Address:
10813 NW 30th Street BLDG 115 GRE 369 Miami, FLORIDA
33172
Invoice Date:
2024-06-25
Delivery Address:
10813 NW 30th Street BLDG 115 GRE 369 Miami, FLORIDA
33172
Order Information
Order Number:
GSUNHG59F004YQ7
Order Date:
2024-06-25
Seller Information
Sold By:
Love-fuchsia
Address:
ChinaHebei Baoding Gaobeidian Village South Xiejaying Village,
Xincheng Town, Gaobeidian City, Baoding City, Hebei Province
Invoice Detail
Description	Quantity	Amount(USD)
Lightweight,Business Casual Large Shoulder Tote Bag Geometric Pattern Studded Decor, Black and white
color contrast, rivet decoration, large capacity, suitable for mobile phones, tablets, ipads, travel, travel, outings,
outdoors, back to school, college students in the library, young people, girls, high school students, the elderly
For Teen Girls Women College Students,Rookies &amp; White-collar Workers Perfect for Office,College,Work
,Business,Commute,Outdoors, Travel, Outings	1	6.90
Item(s) Subtotal:	6.90
Shipping/Handling:	0.00
Sales Tax:	0.48
Grand Total:	7.38</t>
        </is>
      </c>
    </row>
    <row r="8">
      <c r="A8" s="29" t="inlineStr">
        <is>
          <t>WARNING: OCR text quality is too bad for some pages. Consider rescanning and resubmitting the email.</t>
        </is>
      </c>
    </row>
  </sheetData>
  <mergeCells count="1">
    <mergeCell ref="A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2026-04-26T00:42:12Z</dcterms:created>
  <dcterms:modified xmlns:dcterms="http://purl.org/dc/terms/" xmlns:xsi="http://www.w3.org/2001/XMLSchema-instance" xsi:type="dcterms:W3CDTF">2026-04-26T00:42:12Z</dcterms:modified>
</cp:coreProperties>
</file>