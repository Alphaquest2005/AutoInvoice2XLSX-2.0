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nvoices" sheetId="1" state="visible" r:id="rId1"/>
    <sheet xmlns:r="http://schemas.openxmlformats.org/officeDocument/2006/relationships"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0000FF"/>
      <sz val="11"/>
    </font>
    <font>
      <b val="1"/>
      <color rgb="00FF0000"/>
      <sz val="11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0" fillId="4" borderId="0" pivotButton="0" quotePrefix="0" xfId="0"/>
    <xf numFmtId="0" fontId="3" fillId="5" borderId="1" pivotButton="0" quotePrefix="0" xfId="0"/>
    <xf numFmtId="4" fontId="3" fillId="5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0" borderId="0" pivotButton="0" quotePrefix="0" xfId="0"/>
    <xf numFmtId="166" fontId="0" fillId="0" borderId="0" pivotButton="0" quotePrefix="0" xfId="0"/>
    <xf numFmtId="166" fontId="10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INVUS20240715002895460</t>
        </is>
      </c>
      <c r="D2" s="2" t="inlineStr">
        <is>
          <t>2024-07-15</t>
        </is>
      </c>
      <c r="E2" s="2" t="inlineStr">
        <is>
          <t>Of synthetic fibres</t>
        </is>
      </c>
      <c r="F2" s="2" t="inlineStr">
        <is>
          <t>62044300</t>
        </is>
      </c>
      <c r="G2" s="2" t="n"/>
      <c r="H2" s="2" t="n"/>
      <c r="I2" s="2" t="inlineStr">
        <is>
          <t>SHEIN-1</t>
        </is>
      </c>
      <c r="J2" s="2" t="inlineStr">
        <is>
          <t>SHEIN Clasi SHEIN Clasi Women' Solid Color Ruffle Sleeve Slim Fit Split Dress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6.57</v>
      </c>
      <c r="P2" s="3" t="n">
        <v>6.57</v>
      </c>
      <c r="Q2" s="3">
        <f>O2*K2</f>
        <v/>
      </c>
      <c r="R2" s="3">
        <f>P2-Q2</f>
        <v/>
      </c>
      <c r="S2" s="3" t="n">
        <v>7.04</v>
      </c>
      <c r="T2" s="3" t="n">
        <v>0</v>
      </c>
      <c r="U2" s="3" t="n">
        <v>0</v>
      </c>
      <c r="V2" s="3" t="n">
        <v>0.47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SHEIN US Services, LLC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62044300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7.04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19.13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62044300</t>
        </is>
      </c>
      <c r="K11" s="7" t="n"/>
      <c r="L11" s="7" t="n"/>
      <c r="M11" s="7" t="n"/>
      <c r="N11" s="7" t="n"/>
      <c r="O11" s="7" t="n"/>
      <c r="P11" s="9" t="n">
        <v>3.83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1.15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3.62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8.6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0.4495556717198118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>
      <c r="A17" s="2" t="inlineStr">
        <is>
          <t>4000-000</t>
        </is>
      </c>
      <c r="B17" s="2" t="n"/>
      <c r="C17" s="2" t="inlineStr">
        <is>
          <t>INVUS20240715002902412</t>
        </is>
      </c>
      <c r="D17" s="2" t="inlineStr">
        <is>
          <t>2024-07-15</t>
        </is>
      </c>
      <c r="E17" s="2" t="inlineStr">
        <is>
          <t>FOOTWEAR</t>
        </is>
      </c>
      <c r="F17" s="2" t="inlineStr">
        <is>
          <t>64029910</t>
        </is>
      </c>
      <c r="G17" s="2" t="n"/>
      <c r="H17" s="2" t="n"/>
      <c r="I17" s="2" t="inlineStr">
        <is>
          <t>SHEIN-1</t>
        </is>
      </c>
      <c r="J17" s="2" t="inlineStr">
        <is>
          <t>Women' Square Toe Crisscross Straps Flat Sandals, Simple Style, Slim Ankle St...</t>
        </is>
      </c>
      <c r="K17" s="2" t="n">
        <v>1</v>
      </c>
      <c r="L17" s="2" t="n"/>
      <c r="M17" s="2" t="n"/>
      <c r="N17" s="2" t="inlineStr">
        <is>
          <t>USD</t>
        </is>
      </c>
      <c r="O17" s="3" t="n">
        <v>3.86</v>
      </c>
      <c r="P17" s="3" t="n">
        <v>3.86</v>
      </c>
      <c r="Q17" s="3">
        <f>O17*K17</f>
        <v/>
      </c>
      <c r="R17" s="3">
        <f>P17-Q17</f>
        <v/>
      </c>
      <c r="S17" s="3" t="n">
        <v>4.14</v>
      </c>
      <c r="T17" s="3" t="n">
        <v>0</v>
      </c>
      <c r="U17" s="3" t="n">
        <v>0</v>
      </c>
      <c r="V17" s="3" t="n">
        <v>0.28</v>
      </c>
      <c r="W17" s="3" t="n">
        <v>0</v>
      </c>
      <c r="X17" s="2" t="n"/>
      <c r="Y17" s="2" t="n"/>
      <c r="Z17" s="2" t="inlineStr">
        <is>
          <t>SHEIN</t>
        </is>
      </c>
      <c r="AA17" s="2" t="inlineStr">
        <is>
          <t>SHEIN US Services, LLC</t>
        </is>
      </c>
      <c r="AB17" s="2" t="inlineStr">
        <is>
          <t>777 S. Alameda St., Second Floor, Los Angeles, CA 90021</t>
        </is>
      </c>
      <c r="AC17" s="2" t="inlineStr">
        <is>
          <t>US</t>
        </is>
      </c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64029910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inlineStr">
        <is>
          <t>SUBTOTAL</t>
        </is>
      </c>
      <c r="K18" s="4" t="n"/>
      <c r="L18" s="4" t="n"/>
      <c r="M18" s="4" t="n"/>
      <c r="N18" s="4" t="n"/>
      <c r="O18" s="4" t="n"/>
      <c r="P18" s="5">
        <f>P17</f>
        <v/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ADJUSTMENTS</t>
        </is>
      </c>
      <c r="K19" s="4" t="n"/>
      <c r="L19" s="4" t="n"/>
      <c r="M19" s="4" t="n"/>
      <c r="N19" s="4" t="n"/>
      <c r="O19" s="4" t="n"/>
      <c r="P19" s="5">
        <f>(T17+U17+V17-W17)</f>
        <v/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inlineStr">
        <is>
          <t>NET TOTAL</t>
        </is>
      </c>
      <c r="K20" s="4" t="n"/>
      <c r="L20" s="4" t="n"/>
      <c r="M20" s="4" t="n"/>
      <c r="N20" s="4" t="n"/>
      <c r="O20" s="4" t="n"/>
      <c r="P20" s="5">
        <f>(P18+P19)</f>
        <v/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inlineStr">
        <is>
          <t>VARIANCE CHECK</t>
        </is>
      </c>
      <c r="K21" s="4" t="n"/>
      <c r="L21" s="4" t="n"/>
      <c r="M21" s="4" t="n"/>
      <c r="N21" s="4" t="n"/>
      <c r="O21" s="4" t="n"/>
      <c r="P21" s="5">
        <f>(S17-P20)</f>
        <v/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DUTY ESTIMATION (Classification Cross-Check)</t>
        </is>
      </c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inlineStr">
        <is>
          <t>CIF (USD) = InvTotal + Freight + Insurance</t>
        </is>
      </c>
      <c r="K24" s="7" t="n"/>
      <c r="L24" s="7" t="n"/>
      <c r="M24" s="7" t="n"/>
      <c r="N24" s="7" t="n"/>
      <c r="O24" s="7" t="n"/>
      <c r="P24" s="9" t="n">
        <v>4.14</v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inlineStr">
        <is>
          <t>CIF (XCD) = CIF × 2.7169</t>
        </is>
      </c>
      <c r="K25" s="7" t="n"/>
      <c r="L25" s="7" t="n"/>
      <c r="M25" s="7" t="n"/>
      <c r="N25" s="7" t="n"/>
      <c r="O25" s="7" t="n"/>
      <c r="P25" s="9" t="n">
        <v>11.25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inlineStr">
        <is>
          <t>CET (20%) — Tariff 64029910</t>
        </is>
      </c>
      <c r="K26" s="7" t="n"/>
      <c r="L26" s="7" t="n"/>
      <c r="M26" s="7" t="n"/>
      <c r="N26" s="7" t="n"/>
      <c r="O26" s="7" t="n"/>
      <c r="P26" s="9" t="n">
        <v>2.25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inlineStr">
        <is>
          <t>CSC (6%)</t>
        </is>
      </c>
      <c r="K27" s="7" t="n"/>
      <c r="L27" s="7" t="n"/>
      <c r="M27" s="7" t="n"/>
      <c r="N27" s="7" t="n"/>
      <c r="O27" s="7" t="n"/>
      <c r="P27" s="9" t="n">
        <v>0.67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inlineStr">
        <is>
          <t>VAT (15%) on CIF+CET+CSC</t>
        </is>
      </c>
      <c r="K28" s="7" t="n"/>
      <c r="L28" s="7" t="n"/>
      <c r="M28" s="7" t="n"/>
      <c r="N28" s="7" t="n"/>
      <c r="O28" s="7" t="n"/>
      <c r="P28" s="9" t="n">
        <v>2.13</v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6" t="inlineStr">
        <is>
          <t>ESTIMATED TOTAL DUTIES</t>
        </is>
      </c>
      <c r="K29" s="10" t="n"/>
      <c r="L29" s="10" t="n"/>
      <c r="M29" s="10" t="n"/>
      <c r="N29" s="10" t="n"/>
      <c r="O29" s="10" t="n"/>
      <c r="P29" s="11" t="n">
        <v>5.05</v>
      </c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inlineStr">
        <is>
          <t>Effective Duty Rate</t>
        </is>
      </c>
      <c r="K30" s="7" t="n"/>
      <c r="L30" s="7" t="n"/>
      <c r="M30" s="7" t="n"/>
      <c r="N30" s="7" t="n"/>
      <c r="O30" s="7" t="n"/>
      <c r="P30" s="12" t="n">
        <v>0.4488888888888889</v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2" t="inlineStr">
        <is>
          <t>4000-000</t>
        </is>
      </c>
      <c r="B32" s="2" t="n"/>
      <c r="C32" s="2" t="inlineStr">
        <is>
          <t>INVUS20240715002913907</t>
        </is>
      </c>
      <c r="D32" s="2" t="inlineStr">
        <is>
          <t>2024-07-15</t>
        </is>
      </c>
      <c r="E32" s="2" t="inlineStr">
        <is>
          <t>Of cotton</t>
        </is>
      </c>
      <c r="F32" s="2" t="inlineStr">
        <is>
          <t>61082100</t>
        </is>
      </c>
      <c r="G32" s="2" t="n"/>
      <c r="H32" s="2" t="n"/>
      <c r="I32" s="2" t="inlineStr">
        <is>
          <t>SHEIN-1</t>
        </is>
      </c>
      <c r="J32" s="2" t="inlineStr">
        <is>
          <t>Lace Criss Cross Panty Lingerie</t>
        </is>
      </c>
      <c r="K32" s="2" t="n">
        <v>1</v>
      </c>
      <c r="L32" s="2" t="n"/>
      <c r="M32" s="2" t="n"/>
      <c r="N32" s="2" t="inlineStr">
        <is>
          <t>USD</t>
        </is>
      </c>
      <c r="O32" s="3" t="n">
        <v>2.2</v>
      </c>
      <c r="P32" s="3" t="n">
        <v>2.2</v>
      </c>
      <c r="Q32" s="3">
        <f>O32*K32</f>
        <v/>
      </c>
      <c r="R32" s="3">
        <f>P32-Q32</f>
        <v/>
      </c>
      <c r="S32" s="3" t="n">
        <v>2.36</v>
      </c>
      <c r="T32" s="3" t="n">
        <v>0</v>
      </c>
      <c r="U32" s="3" t="n">
        <v>0</v>
      </c>
      <c r="V32" s="3" t="n">
        <v>0.16</v>
      </c>
      <c r="W32" s="3" t="n">
        <v>0</v>
      </c>
      <c r="X32" s="2" t="n"/>
      <c r="Y32" s="2" t="n"/>
      <c r="Z32" s="2" t="inlineStr">
        <is>
          <t>SHEIN</t>
        </is>
      </c>
      <c r="AA32" s="2" t="inlineStr">
        <is>
          <t>SHEIN US Services, LLC</t>
        </is>
      </c>
      <c r="AB32" s="2" t="inlineStr">
        <is>
          <t>777 S. Alameda St., Second Floor, Los Angeles, CA 90021</t>
        </is>
      </c>
      <c r="AC32" s="2" t="inlineStr">
        <is>
          <t>US</t>
        </is>
      </c>
      <c r="AD32" s="2" t="n"/>
      <c r="AE32" s="2" t="n"/>
      <c r="AF32" s="2" t="n"/>
      <c r="AG32" s="2" t="n"/>
      <c r="AH32" s="2" t="n"/>
      <c r="AI32" s="2" t="n"/>
      <c r="AJ32" s="2" t="n"/>
      <c r="AK32" s="2" t="inlineStr">
        <is>
          <t>61082100</t>
        </is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inlineStr">
        <is>
          <t>SUBTOTAL</t>
        </is>
      </c>
      <c r="K33" s="4" t="n"/>
      <c r="L33" s="4" t="n"/>
      <c r="M33" s="4" t="n"/>
      <c r="N33" s="4" t="n"/>
      <c r="O33" s="4" t="n"/>
      <c r="P33" s="5">
        <f>P32</f>
        <v/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inlineStr">
        <is>
          <t>ADJUSTMENTS</t>
        </is>
      </c>
      <c r="K34" s="4" t="n"/>
      <c r="L34" s="4" t="n"/>
      <c r="M34" s="4" t="n"/>
      <c r="N34" s="4" t="n"/>
      <c r="O34" s="4" t="n"/>
      <c r="P34" s="5">
        <f>(T32+U32+V32-W32)</f>
        <v/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inlineStr">
        <is>
          <t>NET TOTAL</t>
        </is>
      </c>
      <c r="K35" s="4" t="n"/>
      <c r="L35" s="4" t="n"/>
      <c r="M35" s="4" t="n"/>
      <c r="N35" s="4" t="n"/>
      <c r="O35" s="4" t="n"/>
      <c r="P35" s="5">
        <f>(P33+P34)</f>
        <v/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inlineStr">
        <is>
          <t>VARIANCE CHECK</t>
        </is>
      </c>
      <c r="K36" s="4" t="n"/>
      <c r="L36" s="4" t="n"/>
      <c r="M36" s="4" t="n"/>
      <c r="N36" s="4" t="n"/>
      <c r="O36" s="4" t="n"/>
      <c r="P36" s="5">
        <f>(S32-P35)</f>
        <v/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/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inlineStr">
        <is>
          <t>DUTY ESTIMATION (Classification Cross-Check)</t>
        </is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8" t="inlineStr">
        <is>
          <t>CIF (USD) = InvTotal + Freight + Insurance</t>
        </is>
      </c>
      <c r="K39" s="7" t="n"/>
      <c r="L39" s="7" t="n"/>
      <c r="M39" s="7" t="n"/>
      <c r="N39" s="7" t="n"/>
      <c r="O39" s="7" t="n"/>
      <c r="P39" s="9" t="n">
        <v>2.36</v>
      </c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8" t="inlineStr">
        <is>
          <t>CIF (XCD) = CIF × 2.7169</t>
        </is>
      </c>
      <c r="K40" s="7" t="n"/>
      <c r="L40" s="7" t="n"/>
      <c r="M40" s="7" t="n"/>
      <c r="N40" s="7" t="n"/>
      <c r="O40" s="7" t="n"/>
      <c r="P40" s="9" t="n">
        <v>6.41</v>
      </c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8" t="inlineStr">
        <is>
          <t>CET (20%) — Tariff 61082100</t>
        </is>
      </c>
      <c r="K41" s="7" t="n"/>
      <c r="L41" s="7" t="n"/>
      <c r="M41" s="7" t="n"/>
      <c r="N41" s="7" t="n"/>
      <c r="O41" s="7" t="n"/>
      <c r="P41" s="9" t="n">
        <v>1.28</v>
      </c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8" t="inlineStr">
        <is>
          <t>CSC (6%)</t>
        </is>
      </c>
      <c r="K42" s="7" t="n"/>
      <c r="L42" s="7" t="n"/>
      <c r="M42" s="7" t="n"/>
      <c r="N42" s="7" t="n"/>
      <c r="O42" s="7" t="n"/>
      <c r="P42" s="9" t="n">
        <v>0.38</v>
      </c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8" t="inlineStr">
        <is>
          <t>VAT (15%) on CIF+CET+CSC</t>
        </is>
      </c>
      <c r="K43" s="7" t="n"/>
      <c r="L43" s="7" t="n"/>
      <c r="M43" s="7" t="n"/>
      <c r="N43" s="7" t="n"/>
      <c r="O43" s="7" t="n"/>
      <c r="P43" s="9" t="n">
        <v>1.21</v>
      </c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6" t="inlineStr">
        <is>
          <t>ESTIMATED TOTAL DUTIES</t>
        </is>
      </c>
      <c r="K44" s="10" t="n"/>
      <c r="L44" s="10" t="n"/>
      <c r="M44" s="10" t="n"/>
      <c r="N44" s="10" t="n"/>
      <c r="O44" s="10" t="n"/>
      <c r="P44" s="11" t="n">
        <v>2.87</v>
      </c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8" t="inlineStr">
        <is>
          <t>Effective Duty Rate</t>
        </is>
      </c>
      <c r="K45" s="7" t="n"/>
      <c r="L45" s="7" t="n"/>
      <c r="M45" s="7" t="n"/>
      <c r="N45" s="7" t="n"/>
      <c r="O45" s="7" t="n"/>
      <c r="P45" s="12" t="n">
        <v>0.4477379095163806</v>
      </c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</row>
    <row r="47">
      <c r="A47" s="14" t="inlineStr">
        <is>
          <t>4000-000</t>
        </is>
      </c>
      <c r="B47" s="14" t="n"/>
      <c r="C47" s="14" t="inlineStr">
        <is>
          <t>INVUS20240715002892173</t>
        </is>
      </c>
      <c r="D47" s="14" t="inlineStr">
        <is>
          <t>2024-07-15</t>
        </is>
      </c>
      <c r="E47" s="14" t="inlineStr">
        <is>
          <t>Singlets and other vests</t>
        </is>
      </c>
      <c r="F47" s="14" t="inlineStr">
        <is>
          <t>61091020</t>
        </is>
      </c>
      <c r="G47" s="14" t="n"/>
      <c r="H47" s="14" t="n"/>
      <c r="I47" s="14" t="inlineStr">
        <is>
          <t>61091020</t>
        </is>
      </c>
      <c r="J47" s="14" t="inlineStr">
        <is>
          <t>SHEIN LUNE Ruffle Cuff Solid Tee 1 (+1 more) (2 items)</t>
        </is>
      </c>
      <c r="K47" s="14" t="n">
        <v>2</v>
      </c>
      <c r="L47" s="14" t="n"/>
      <c r="M47" s="14" t="n"/>
      <c r="N47" s="14" t="inlineStr">
        <is>
          <t>USD</t>
        </is>
      </c>
      <c r="O47" s="15" t="n">
        <v>3.465</v>
      </c>
      <c r="P47" s="15" t="n">
        <v>6.93</v>
      </c>
      <c r="Q47" s="15">
        <f>O47*K47</f>
        <v/>
      </c>
      <c r="R47" s="15">
        <f>P47-Q47</f>
        <v/>
      </c>
      <c r="S47" s="15" t="n">
        <v>7.42</v>
      </c>
      <c r="T47" s="15" t="n">
        <v>0</v>
      </c>
      <c r="U47" s="15" t="n">
        <v>0</v>
      </c>
      <c r="V47" s="15" t="n">
        <v>0.49</v>
      </c>
      <c r="W47" s="15" t="n">
        <v>0</v>
      </c>
      <c r="X47" s="14" t="n"/>
      <c r="Y47" s="14" t="n"/>
      <c r="Z47" s="14" t="inlineStr">
        <is>
          <t>SHEIN</t>
        </is>
      </c>
      <c r="AA47" s="14" t="inlineStr">
        <is>
          <t>SHEIN US Services, LLC</t>
        </is>
      </c>
      <c r="AB47" s="14" t="inlineStr">
        <is>
          <t>777 S. Alameda St., Second Floor, Los Angeles, CA 90021</t>
        </is>
      </c>
      <c r="AC47" s="14" t="inlineStr">
        <is>
          <t>US</t>
        </is>
      </c>
      <c r="AD47" s="14" t="n"/>
      <c r="AE47" s="14" t="n"/>
      <c r="AF47" s="14" t="n"/>
      <c r="AG47" s="14" t="n"/>
      <c r="AH47" s="14" t="n"/>
      <c r="AI47" s="14" t="n"/>
      <c r="AJ47" s="14" t="n"/>
      <c r="AK47" s="14" t="inlineStr">
        <is>
          <t>61091020</t>
        </is>
      </c>
    </row>
    <row r="48">
      <c r="A48" s="2" t="n"/>
      <c r="B48" s="2" t="n"/>
      <c r="C48" s="2" t="n"/>
      <c r="D48" s="2" t="n"/>
      <c r="E48" s="2" t="n"/>
      <c r="F48" s="2" t="inlineStr">
        <is>
          <t>61091020</t>
        </is>
      </c>
      <c r="G48" s="2" t="n"/>
      <c r="H48" s="2" t="n"/>
      <c r="I48" s="2" t="inlineStr">
        <is>
          <t>SHEIN-1</t>
        </is>
      </c>
      <c r="J48" s="2" t="inlineStr">
        <is>
          <t>SHEIN LUNE Ruffle Cuff Solid Tee 1</t>
        </is>
      </c>
      <c r="K48" s="2" t="n">
        <v>1</v>
      </c>
      <c r="L48" s="2" t="n"/>
      <c r="M48" s="2" t="n"/>
      <c r="N48" s="2" t="inlineStr">
        <is>
          <t>USD</t>
        </is>
      </c>
      <c r="O48" s="3" t="n">
        <v>3.82</v>
      </c>
      <c r="P48" s="3" t="n">
        <v>3.82</v>
      </c>
      <c r="Q48" s="3">
        <f>O48*K48</f>
        <v/>
      </c>
      <c r="R48" s="3">
        <f>P48-Q48</f>
        <v/>
      </c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n"/>
      <c r="B49" s="2" t="n"/>
      <c r="C49" s="2" t="n"/>
      <c r="D49" s="2" t="n"/>
      <c r="E49" s="2" t="n"/>
      <c r="F49" s="2" t="inlineStr">
        <is>
          <t>61091020</t>
        </is>
      </c>
      <c r="G49" s="2" t="n"/>
      <c r="H49" s="2" t="n"/>
      <c r="I49" s="2" t="inlineStr">
        <is>
          <t>SHEIN-2</t>
        </is>
      </c>
      <c r="J49" s="2" t="inlineStr">
        <is>
          <t>SHEIN LUNE Floral And Butterfly Print Tee 1</t>
        </is>
      </c>
      <c r="K49" s="2" t="n">
        <v>1</v>
      </c>
      <c r="L49" s="2" t="n"/>
      <c r="M49" s="2" t="n"/>
      <c r="N49" s="2" t="inlineStr">
        <is>
          <t>USD</t>
        </is>
      </c>
      <c r="O49" s="3" t="n">
        <v>3.11</v>
      </c>
      <c r="P49" s="3" t="n">
        <v>3.11</v>
      </c>
      <c r="Q49" s="3">
        <f>O49*K49</f>
        <v/>
      </c>
      <c r="R49" s="3">
        <f>P49-Q49</f>
        <v/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inlineStr">
        <is>
          <t>SUBTOTAL (GROUPED)</t>
        </is>
      </c>
      <c r="K50" s="4" t="n"/>
      <c r="L50" s="4" t="n"/>
      <c r="M50" s="4" t="n"/>
      <c r="N50" s="4" t="n"/>
      <c r="O50" s="4" t="n"/>
      <c r="P50" s="5">
        <f>P47</f>
        <v/>
      </c>
      <c r="Q50" s="5">
        <f>Q47</f>
        <v/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inlineStr">
        <is>
          <t>SUBTOTAL (DETAILS)</t>
        </is>
      </c>
      <c r="K51" s="4" t="n"/>
      <c r="L51" s="4" t="n"/>
      <c r="M51" s="4" t="n"/>
      <c r="N51" s="4" t="n"/>
      <c r="O51" s="4" t="n"/>
      <c r="P51" s="5">
        <f>SUM(P47:P49)-P50</f>
        <v/>
      </c>
      <c r="Q51" s="5">
        <f>SUM(Q47:Q49)-Q50</f>
        <v/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inlineStr">
        <is>
          <t>GROUP VERIFICATION</t>
        </is>
      </c>
      <c r="K52" s="16" t="n"/>
      <c r="L52" s="16" t="n"/>
      <c r="M52" s="16" t="n"/>
      <c r="N52" s="16" t="n"/>
      <c r="O52" s="16" t="n"/>
      <c r="P52" s="17">
        <f>P50-P51</f>
        <v/>
      </c>
      <c r="Q52" s="17">
        <f>Q50-Q51</f>
        <v/>
      </c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</row>
    <row r="53"/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inlineStr">
        <is>
          <t>TOTAL INTERNAL FREIGHT</t>
        </is>
      </c>
      <c r="K54" s="4" t="n"/>
      <c r="L54" s="4" t="n"/>
      <c r="M54" s="4" t="n"/>
      <c r="N54" s="4" t="n"/>
      <c r="O54" s="4" t="n"/>
      <c r="P54" s="5" t="n">
        <v>0</v>
      </c>
      <c r="Q54" s="5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inlineStr">
        <is>
          <t>TOTAL INSURANCE</t>
        </is>
      </c>
      <c r="K55" s="4" t="n"/>
      <c r="L55" s="4" t="n"/>
      <c r="M55" s="4" t="n"/>
      <c r="N55" s="4" t="n"/>
      <c r="O55" s="4" t="n"/>
      <c r="P55" s="5" t="n">
        <v>0</v>
      </c>
      <c r="Q55" s="5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inlineStr">
        <is>
          <t>TOTAL OTHER COST</t>
        </is>
      </c>
      <c r="K56" s="4" t="n"/>
      <c r="L56" s="4" t="n"/>
      <c r="M56" s="4" t="n"/>
      <c r="N56" s="4" t="n"/>
      <c r="O56" s="4" t="n"/>
      <c r="P56" s="5" t="n">
        <v>0.49</v>
      </c>
      <c r="Q56" s="5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inlineStr">
        <is>
          <t>TOTAL DEDUCTION</t>
        </is>
      </c>
      <c r="K57" s="4" t="n"/>
      <c r="L57" s="4" t="n"/>
      <c r="M57" s="4" t="n"/>
      <c r="N57" s="4" t="n"/>
      <c r="O57" s="4" t="n"/>
      <c r="P57" s="5" t="n">
        <v>0</v>
      </c>
      <c r="Q57" s="5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inlineStr">
        <is>
          <t>ADJUSTMENTS</t>
        </is>
      </c>
      <c r="K58" s="4" t="n"/>
      <c r="L58" s="4" t="n"/>
      <c r="M58" s="4" t="n"/>
      <c r="N58" s="4" t="n"/>
      <c r="O58" s="4" t="n"/>
      <c r="P58" s="5">
        <f>(T47+U47+V47-W47)</f>
        <v/>
      </c>
      <c r="Q58" s="5">
        <f>(T47+U47+V47-W47)</f>
        <v/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</row>
    <row r="59"/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inlineStr">
        <is>
          <t>NET TOTAL</t>
        </is>
      </c>
      <c r="K60" s="4" t="n"/>
      <c r="L60" s="4" t="n"/>
      <c r="M60" s="4" t="n"/>
      <c r="N60" s="4" t="n"/>
      <c r="O60" s="4" t="n"/>
      <c r="P60" s="5">
        <f>P50+P58</f>
        <v/>
      </c>
      <c r="Q60" s="5">
        <f>Q50+Q58</f>
        <v/>
      </c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inlineStr">
        <is>
          <t>INVOICE TOTAL</t>
        </is>
      </c>
      <c r="K61" s="4" t="n"/>
      <c r="L61" s="4" t="n"/>
      <c r="M61" s="4" t="n"/>
      <c r="N61" s="4" t="n"/>
      <c r="O61" s="4" t="n"/>
      <c r="P61" s="5">
        <f>S47</f>
        <v/>
      </c>
      <c r="Q61" s="5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/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inlineStr">
        <is>
          <t>VARIANCE CHECK</t>
        </is>
      </c>
      <c r="K63" s="18" t="n"/>
      <c r="L63" s="18" t="n"/>
      <c r="M63" s="18" t="n"/>
      <c r="N63" s="18" t="n"/>
      <c r="O63" s="18" t="n"/>
      <c r="P63" s="19">
        <f>S47-P60</f>
        <v/>
      </c>
      <c r="Q63" s="19">
        <f>S47-Q60</f>
        <v/>
      </c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</row>
    <row r="64"/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inlineStr">
        <is>
          <t>DUTY ESTIMATION (Classification Cross-Check)</t>
        </is>
      </c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8" t="inlineStr">
        <is>
          <t>CIF (USD) = InvTotal + Freight + Insurance</t>
        </is>
      </c>
      <c r="K66" s="7" t="n"/>
      <c r="L66" s="7" t="n"/>
      <c r="M66" s="7" t="n"/>
      <c r="N66" s="7" t="n"/>
      <c r="O66" s="7" t="n"/>
      <c r="P66" s="9" t="n">
        <v>7.42</v>
      </c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8" t="inlineStr">
        <is>
          <t>CIF (XCD) = CIF × 2.7169</t>
        </is>
      </c>
      <c r="K67" s="7" t="n"/>
      <c r="L67" s="7" t="n"/>
      <c r="M67" s="7" t="n"/>
      <c r="N67" s="7" t="n"/>
      <c r="O67" s="7" t="n"/>
      <c r="P67" s="9" t="n">
        <v>20.16</v>
      </c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8" t="inlineStr">
        <is>
          <t>CET (20%) — Tariff 61091020</t>
        </is>
      </c>
      <c r="K68" s="7" t="n"/>
      <c r="L68" s="7" t="n"/>
      <c r="M68" s="7" t="n"/>
      <c r="N68" s="7" t="n"/>
      <c r="O68" s="7" t="n"/>
      <c r="P68" s="9" t="n">
        <v>4.03</v>
      </c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8" t="inlineStr">
        <is>
          <t>CSC (6%)</t>
        </is>
      </c>
      <c r="K69" s="7" t="n"/>
      <c r="L69" s="7" t="n"/>
      <c r="M69" s="7" t="n"/>
      <c r="N69" s="7" t="n"/>
      <c r="O69" s="7" t="n"/>
      <c r="P69" s="9" t="n">
        <v>1.21</v>
      </c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8" t="inlineStr">
        <is>
          <t>VAT (15%) on CIF+CET+CSC</t>
        </is>
      </c>
      <c r="K70" s="7" t="n"/>
      <c r="L70" s="7" t="n"/>
      <c r="M70" s="7" t="n"/>
      <c r="N70" s="7" t="n"/>
      <c r="O70" s="7" t="n"/>
      <c r="P70" s="9" t="n">
        <v>3.81</v>
      </c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6" t="inlineStr">
        <is>
          <t>ESTIMATED TOTAL DUTIES</t>
        </is>
      </c>
      <c r="K71" s="10" t="n"/>
      <c r="L71" s="10" t="n"/>
      <c r="M71" s="10" t="n"/>
      <c r="N71" s="10" t="n"/>
      <c r="O71" s="10" t="n"/>
      <c r="P71" s="11" t="n">
        <v>9.050000000000001</v>
      </c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8" t="inlineStr">
        <is>
          <t>Effective Duty Rate</t>
        </is>
      </c>
      <c r="K72" s="7" t="n"/>
      <c r="L72" s="7" t="n"/>
      <c r="M72" s="7" t="n"/>
      <c r="N72" s="7" t="n"/>
      <c r="O72" s="7" t="n"/>
      <c r="P72" s="12" t="n">
        <v>0.4489087301587302</v>
      </c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</row>
    <row r="73"/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1" t="inlineStr">
        <is>
          <t>═══ COMBINED GRAND SUMMARY ═══</t>
        </is>
      </c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0" t="n"/>
      <c r="AJ75" s="20" t="n"/>
      <c r="AK75" s="20" t="n"/>
    </row>
    <row r="76">
      <c r="L76" s="22" t="inlineStr">
        <is>
          <t>Invoice INVUS20240715002895460</t>
        </is>
      </c>
      <c r="P76" s="23" t="n">
        <v>50.86</v>
      </c>
      <c r="Q76" s="24" t="n">
        <v>-43.82</v>
      </c>
    </row>
    <row r="77">
      <c r="L77" s="22" t="inlineStr">
        <is>
          <t>Invoice INVUS20240715002902412</t>
        </is>
      </c>
      <c r="P77" s="23" t="n">
        <v>30.08</v>
      </c>
      <c r="Q77" s="24" t="n">
        <v>-25.94</v>
      </c>
    </row>
    <row r="78">
      <c r="L78" s="22" t="inlineStr">
        <is>
          <t>Invoice INVUS20240715002913907</t>
        </is>
      </c>
      <c r="P78" s="23" t="n">
        <v>17.32</v>
      </c>
      <c r="Q78" s="24" t="n">
        <v>-14.96</v>
      </c>
    </row>
    <row r="79">
      <c r="L79" s="22" t="inlineStr">
        <is>
          <t>Invoice INVUS20240715002892173</t>
        </is>
      </c>
      <c r="P79" s="23" t="n">
        <v>53.55</v>
      </c>
      <c r="Q79" s="24" t="n">
        <v>-46.13</v>
      </c>
    </row>
    <row r="80"/>
    <row r="81">
      <c r="L81" s="25" t="inlineStr">
        <is>
          <t>GRAND TOTAL</t>
        </is>
      </c>
      <c r="P81" s="26" t="n">
        <v>151.81</v>
      </c>
    </row>
    <row r="82">
      <c r="L82" s="27" t="inlineStr">
        <is>
          <t>GRAND VARIANCE CHECK</t>
        </is>
      </c>
      <c r="P82" s="24" t="n">
        <v>-130.85</v>
      </c>
    </row>
    <row r="83">
      <c r="L83" s="28" t="inlineStr">
        <is>
          <t>Combined 4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29" t="inlineStr">
        <is>
          <t>PDF File</t>
        </is>
      </c>
      <c r="B1" s="29" t="inlineStr">
        <is>
          <t>Quality Score</t>
        </is>
      </c>
      <c r="C1" s="29" t="inlineStr">
        <is>
          <t>Rating</t>
        </is>
      </c>
      <c r="D1" s="29" t="inlineStr">
        <is>
          <t>Details</t>
        </is>
      </c>
      <c r="E1" s="29" t="inlineStr">
        <is>
          <t>OCR Text (first 2000 chars)</t>
        </is>
      </c>
    </row>
    <row r="2">
      <c r="A2" s="30" t="inlineStr">
        <is>
          <t>INVUS20240715002895460.pdf</t>
        </is>
      </c>
      <c r="B2" s="30" t="inlineStr">
        <is>
          <t>65/100</t>
        </is>
      </c>
      <c r="C2" s="30" t="inlineStr">
        <is>
          <t>FAIR</t>
        </is>
      </c>
      <c r="D2" s="30" t="inlineStr">
        <is>
          <t>Text: 757 chars; Prices: 0 ($-sign), 0 (decimal); Total: $7.04; Invoice#: INVUS20240715002895460; Real items: 1/1; Structure words: 10/12</t>
        </is>
      </c>
      <c r="E2" s="31" t="inlineStr">
        <is>
          <t>SHEIN US Services, LLC.
777 S Alameda St Fl 2, Los Angeles, CA 90021-1633
Sales Invoice
Bill To:
Mollisha Noel
Invoice No.:
INVUS20240715002895460
Billing Address:
10813 NW 30th St BLDG 115 GRE 941 Miami, FLORIDA 33172
Invoice Date:
2024-07-15
Delivery Address:
10813 NW 30th St BLDG 115 GRE 941 Miami, FLORIDA 33172
Order Information
Order Number:
GSUNJ641400YC76
Order Date:
2024-07-15
Seller Information
Sold By:
SHEIN DISTRIBUTION CORPORATION
Address:
United StatesCALIFORNIALos Angeles777 S. Alamaeda St.
Suite 340, Los Angeles, CA 90021
Invoice Detail
Description
Quantity
Amount(USD)
SHEIN Clasi SHEIN Clasi Women'S Solid Color Ruffle Sleeve Slim Fit Split Dress 1 6.57
Item(s) Subtotal:
6.57
Shipping/Handling:
0.00
Sales Tax:
0.47
Grand Total:
7.04</t>
        </is>
      </c>
    </row>
    <row r="3">
      <c r="A3" s="30" t="inlineStr">
        <is>
          <t>INVUS20240715002902412.pdf</t>
        </is>
      </c>
      <c r="B3" s="30" t="inlineStr">
        <is>
          <t>65/100</t>
        </is>
      </c>
      <c r="C3" s="30" t="inlineStr">
        <is>
          <t>FAIR</t>
        </is>
      </c>
      <c r="D3" s="30" t="inlineStr">
        <is>
          <t>Text: 744 chars; Prices: 0 ($-sign), 0 (decimal); Total: $4.14; Invoice#: INVUS20240715002902412; Real items: 1/1; Structure words: 10/12</t>
        </is>
      </c>
      <c r="E3" s="31" t="inlineStr">
        <is>
          <t>SHEIN US Services, LLC.
777 S Alameda St Fl 2, Los Angeles, CA 90021-1633
Sales Invoice
Bill To:
Mollisha Noel
Invoice No.:
INVUS20240715002902412
Billing Address:
10813 NW 30th St BLDG 115 GRE 941 Miami, FLORIDA 33172
Invoice Date:
2024-07-15
Delivery Address:
10813 NW 30th St BLDG 115 GRE 941 Miami, FLORIDA 33172
Order Information
Order Number:
GSUNJ641400YC75
Order Date:
2024-07-15
Seller Information
Sold By:
SHEIN DISTRIBUTION CORPORATION
Address:
757 S. Alameda St. Suite 340, Los Angeles, CA 90021
Invoice Detail
Description
Quantity
Amount(USD)
Women's Square Toe Crisscross Straps Flat Sandals, Simple Style, Slim Ankle Strap Summer Beach Shoes 1 3.86
Item(s) Subtotal:
3.86
Shipping/Handling:
0.00
Sales Tax:
0.28
Grand Total:
4.14</t>
        </is>
      </c>
    </row>
    <row r="4">
      <c r="A4" s="30" t="inlineStr">
        <is>
          <t>INVUS20240715002913907.pdf</t>
        </is>
      </c>
      <c r="B4" s="30" t="inlineStr">
        <is>
          <t>65/100</t>
        </is>
      </c>
      <c r="C4" s="30" t="inlineStr">
        <is>
          <t>FAIR</t>
        </is>
      </c>
      <c r="D4" s="30" t="inlineStr">
        <is>
          <t>Text: 710 chars; Prices: 0 ($-sign), 0 (decimal); Total: $2.36; Invoice#: INVUS20240715002913907; Real items: 1/1; Structure words: 10/12</t>
        </is>
      </c>
      <c r="E4" s="31" t="inlineStr">
        <is>
          <t>SHEIN US Services, LLC.
777 S Alameda St Fl 2, Los Angeles, CA 90021-1633
Sales Invoice
Bill To:
Mollisha Noel
Invoice No.:
INVUS20240715002913907
Billing Address:
10813 NW 30th St BLDG 115 GRE 941 Miami, FLORIDA 33172
Invoice Date:
2024-07-15
Delivery Address:
10813 NW 30th St BLDG 115 GRE 941 Miami, FLORIDA 33172
Order Information
Order Number:
GSUNJ641400YC7T
Order Date:
2024-07-15
Seller Information
Sold By:
SHEIN DISTRIBUTION CORPORATION
Address:
United StatesCALIFORNIALos Angeles777 S. Alamaeda St.
Suite 340, Los Angeles, CA 90021
Invoice Detail
Description	Quantity	Amount(USD)
Lace Criss Cross Panty Lingerie	1	2.20
Item(s) Subtotal:	2.20
Shipping/Handling:	0.00
Sales Tax:	0.16
Grand Total:	2.36</t>
        </is>
      </c>
    </row>
    <row r="5">
      <c r="A5" s="30" t="inlineStr">
        <is>
          <t>INVUS20240715002892173.pdf</t>
        </is>
      </c>
      <c r="B5" s="30" t="inlineStr">
        <is>
          <t>65/100</t>
        </is>
      </c>
      <c r="C5" s="30" t="inlineStr">
        <is>
          <t>FAIR</t>
        </is>
      </c>
      <c r="D5" s="30" t="inlineStr">
        <is>
          <t>Text: 781 chars; Prices: 0 ($-sign), 0 (decimal); Total: $7.42; Invoice#: INVUS20240715002892173; Real items: 2/2; Structure words: 10/12</t>
        </is>
      </c>
      <c r="E5" s="31" t="inlineStr">
        <is>
          <t>SHEIN US Services, LLC.
777 S Alameda St Fl 2, Los Angeles, CA 90021-1633
Sales Invoice
Bill To:
Mollisha Noel
Invoice No.:
INVUS20240715002892173
Billing Address:
10813 NW 30th St BLDG 115 GRE 941 Miami, FLORIDA 33172
Invoice Date:
2024-07-15
Delivery Address:
10813 NW 30th St BLDG 115 GRE 941 Miami, FLORIDA 33172
Order Information
Order Number:
GSUNJ641400YC7X
Order Date:
2024-07-15
Seller Information
Sold By:
SHEIN DISTRIBUTION CORPORATION
Address:
United StatesCALIFORNIALos Angeles777 S. Alamaeda St.
Suite 340, Los Angeles, CA 90021
Invoice Detail
Description | Quantity | Amount(USD)
SHEIN LUNE Ruffle Cuff Solid Tee | 1 | 3.82
SHEIN LUNE Floral And Butterfly Print Tee | 1 | 3.11
Item(s) Subtotal: 6.93
Shipping/Handling: 0.00
Sales Tax: 0.49
Grand Total: 7.42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2026-04-26T01:27:28Z</dcterms:created>
  <dcterms:modified xmlns:dcterms="http://purl.org/dc/terms/" xmlns:xsi="http://www.w3.org/2001/XMLSchema-instance" xsi:type="dcterms:W3CDTF">2026-04-26T01:27:29Z</dcterms:modified>
</cp:coreProperties>
</file>