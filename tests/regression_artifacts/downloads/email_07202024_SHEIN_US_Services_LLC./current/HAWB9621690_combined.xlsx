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Invoices" sheetId="1" state="visible" r:id="rId1"/>
    <sheet xmlns:r="http://schemas.openxmlformats.org/officeDocument/2006/relationships"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0" fillId="6" borderId="0" pivotButton="0" quotePrefix="0" xfId="0"/>
    <xf numFmtId="0" fontId="0" fillId="2" borderId="0" pivotButton="0" quotePrefix="0" xfId="0"/>
    <xf numFmtId="0" fontId="9" fillId="2" borderId="0" pivotButton="0" quotePrefix="0" xfId="0"/>
    <xf numFmtId="0" fontId="10" fillId="0" borderId="0" pivotButton="0" quotePrefix="0" xfId="0"/>
    <xf numFmtId="166" fontId="0" fillId="0" borderId="0" pivotButton="0" quotePrefix="0" xfId="0"/>
    <xf numFmtId="166" fontId="11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INVUS20240720003756965</t>
        </is>
      </c>
      <c r="D2" s="2" t="n"/>
      <c r="E2" s="2" t="inlineStr">
        <is>
          <t>Of synthetic fibres</t>
        </is>
      </c>
      <c r="F2" s="2" t="inlineStr">
        <is>
          <t>62044300</t>
        </is>
      </c>
      <c r="G2" s="2" t="n"/>
      <c r="H2" s="2" t="n"/>
      <c r="I2" s="2" t="inlineStr">
        <is>
          <t>62044300</t>
        </is>
      </c>
      <c r="J2" s="2" t="inlineStr">
        <is>
          <t>SHEIN Clasi Women Elegant Commute Spring Summer Fall Dress With Bowknot Tie Collar Plaid Pencil (+2 more) (3 items)</t>
        </is>
      </c>
      <c r="K2" s="2" t="n">
        <v>6</v>
      </c>
      <c r="L2" s="2" t="n"/>
      <c r="M2" s="2" t="n"/>
      <c r="N2" s="2" t="inlineStr">
        <is>
          <t>USD</t>
        </is>
      </c>
      <c r="O2" s="3" t="n">
        <v>9.203333333333333</v>
      </c>
      <c r="P2" s="3" t="n">
        <v>55.22</v>
      </c>
      <c r="Q2" s="3">
        <f>O2*K2</f>
        <v/>
      </c>
      <c r="R2" s="3">
        <f>P2-Q2</f>
        <v/>
      </c>
      <c r="S2" s="3" t="n">
        <v>55.22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SHEIN</t>
        </is>
      </c>
      <c r="AA2" s="2" t="inlineStr">
        <is>
          <t>SHEIN US Services, LLC</t>
        </is>
      </c>
      <c r="AB2" s="2" t="inlineStr">
        <is>
          <t>777 S. Alameda St., Second Floor, Los Angeles, CA 90021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62044300</t>
        </is>
      </c>
    </row>
    <row r="3">
      <c r="A3" s="4" t="n"/>
      <c r="B3" s="4" t="n"/>
      <c r="C3" s="4" t="n"/>
      <c r="D3" s="4" t="n"/>
      <c r="E3" s="4" t="n"/>
      <c r="F3" s="4" t="inlineStr">
        <is>
          <t>62044300</t>
        </is>
      </c>
      <c r="G3" s="4" t="n"/>
      <c r="H3" s="4" t="n"/>
      <c r="I3" s="4" t="inlineStr">
        <is>
          <t>SHEIN-1</t>
        </is>
      </c>
      <c r="J3" s="4" t="inlineStr">
        <is>
          <t>SHEIN Clasi Women Elegant Commute Spring Summer Fall Dress With Bowknot Tie Collar Plaid Pencil</t>
        </is>
      </c>
      <c r="K3" s="4" t="n">
        <v>4</v>
      </c>
      <c r="L3" s="4" t="n"/>
      <c r="M3" s="4" t="n"/>
      <c r="N3" s="4" t="inlineStr">
        <is>
          <t>USD</t>
        </is>
      </c>
      <c r="O3" s="5" t="n">
        <v>7.8</v>
      </c>
      <c r="P3" s="5" t="n">
        <v>31.2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62044300</t>
        </is>
      </c>
      <c r="G4" s="4" t="n"/>
      <c r="H4" s="4" t="n"/>
      <c r="I4" s="4" t="inlineStr">
        <is>
          <t>SHEIN-2</t>
        </is>
      </c>
      <c r="J4" s="4" t="inlineStr">
        <is>
          <t>Dress Design Slim Fit And Bodycon Navy Blue For Teacher Clothes SHEIN Clasi 2 pcs Set Women Summer Casual Top With Knotted Neckline Ruffled Hem And Pencil Skirt 4 10 40 Decorated With Simple Design Suitable For Work SHEIN Clasi Women Two Piece Set Color Block Leopard Print Crop Top And Skinny Pants</t>
        </is>
      </c>
      <c r="K4" s="4" t="n">
        <v>1</v>
      </c>
      <c r="L4" s="4" t="n"/>
      <c r="M4" s="4" t="n"/>
      <c r="N4" s="4" t="inlineStr">
        <is>
          <t>USD</t>
        </is>
      </c>
      <c r="O4" s="5" t="n">
        <v>14.47</v>
      </c>
      <c r="P4" s="5" t="n">
        <v>14.47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62044300</t>
        </is>
      </c>
      <c r="G5" s="4" t="n"/>
      <c r="H5" s="4" t="n"/>
      <c r="I5" s="4" t="inlineStr">
        <is>
          <t>SHEIN-3</t>
        </is>
      </c>
      <c r="J5" s="4" t="inlineStr">
        <is>
          <t>SHEIN Clasi Women Printed Patchwork Flying Sleeve Top Solid Color Pants Two Piece Set</t>
        </is>
      </c>
      <c r="K5" s="4" t="n">
        <v>1</v>
      </c>
      <c r="L5" s="4" t="n"/>
      <c r="M5" s="4" t="n"/>
      <c r="N5" s="4" t="inlineStr">
        <is>
          <t>USD</t>
        </is>
      </c>
      <c r="O5" s="5" t="n">
        <v>9.550000000000001</v>
      </c>
      <c r="P5" s="5" t="n">
        <v>9.550000000000001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</f>
        <v/>
      </c>
      <c r="Q6" s="7">
        <f>Q2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3" t="inlineStr">
        <is>
          <t>INVOICE NOTES: Invoice total uncertain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/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inlineStr">
        <is>
          <t>DUTY ESTIMATION (Classification Cross-Check)</t>
        </is>
      </c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CIF (USD) = InvTotal + Freight + Insurance</t>
        </is>
      </c>
      <c r="K24" s="15" t="n"/>
      <c r="L24" s="15" t="n"/>
      <c r="M24" s="15" t="n"/>
      <c r="N24" s="15" t="n"/>
      <c r="O24" s="15" t="n"/>
      <c r="P24" s="17" t="n">
        <v>55.22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CIF (XCD) = CIF × 2.7169</t>
        </is>
      </c>
      <c r="K25" s="15" t="n"/>
      <c r="L25" s="15" t="n"/>
      <c r="M25" s="15" t="n"/>
      <c r="N25" s="15" t="n"/>
      <c r="O25" s="15" t="n"/>
      <c r="P25" s="17" t="n">
        <v>150.03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CET (20%) — Tariff 62044300</t>
        </is>
      </c>
      <c r="K26" s="15" t="n"/>
      <c r="L26" s="15" t="n"/>
      <c r="M26" s="15" t="n"/>
      <c r="N26" s="15" t="n"/>
      <c r="O26" s="15" t="n"/>
      <c r="P26" s="17" t="n">
        <v>30.01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CSC (6%)</t>
        </is>
      </c>
      <c r="K27" s="15" t="n"/>
      <c r="L27" s="15" t="n"/>
      <c r="M27" s="15" t="n"/>
      <c r="N27" s="15" t="n"/>
      <c r="O27" s="15" t="n"/>
      <c r="P27" s="17" t="n">
        <v>9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VAT (15%) on CIF+CET+CSC</t>
        </is>
      </c>
      <c r="K28" s="15" t="n"/>
      <c r="L28" s="15" t="n"/>
      <c r="M28" s="15" t="n"/>
      <c r="N28" s="15" t="n"/>
      <c r="O28" s="15" t="n"/>
      <c r="P28" s="17" t="n">
        <v>28.36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4" t="inlineStr">
        <is>
          <t>ESTIMATED TOTAL DUTIES</t>
        </is>
      </c>
      <c r="K29" s="18" t="n"/>
      <c r="L29" s="18" t="n"/>
      <c r="M29" s="18" t="n"/>
      <c r="N29" s="18" t="n"/>
      <c r="O29" s="18" t="n"/>
      <c r="P29" s="19" t="n">
        <v>67.37</v>
      </c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>Effective Duty Rate</t>
        </is>
      </c>
      <c r="K30" s="15" t="n"/>
      <c r="L30" s="15" t="n"/>
      <c r="M30" s="15" t="n"/>
      <c r="N30" s="15" t="n"/>
      <c r="O30" s="15" t="n"/>
      <c r="P30" s="20" t="n">
        <v>0.4490435246284077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" t="inlineStr">
        <is>
          <t>4000-000</t>
        </is>
      </c>
      <c r="B32" s="2" t="n"/>
      <c r="C32" s="2" t="inlineStr">
        <is>
          <t>INVUS20240720003762796</t>
        </is>
      </c>
      <c r="D32" s="2" t="inlineStr">
        <is>
          <t>2024-07-20</t>
        </is>
      </c>
      <c r="E32" s="2" t="inlineStr">
        <is>
          <t>Articles of apparel, not knitted</t>
        </is>
      </c>
      <c r="F32" s="2" t="inlineStr">
        <is>
          <t>62046290</t>
        </is>
      </c>
      <c r="G32" s="2" t="n"/>
      <c r="H32" s="2" t="n"/>
      <c r="I32" s="2" t="inlineStr">
        <is>
          <t>62046290</t>
        </is>
      </c>
      <c r="J32" s="2" t="inlineStr">
        <is>
          <t>SHEIN SXY Summer Trousers Solid Color Work High Waist Trousers (1 items)</t>
        </is>
      </c>
      <c r="K32" s="2" t="n">
        <v>1</v>
      </c>
      <c r="L32" s="2" t="n"/>
      <c r="M32" s="2" t="n"/>
      <c r="N32" s="2" t="inlineStr">
        <is>
          <t>USD</t>
        </is>
      </c>
      <c r="O32" s="3" t="n">
        <v>11.03</v>
      </c>
      <c r="P32" s="3" t="n">
        <v>11.03</v>
      </c>
      <c r="Q32" s="3">
        <f>O32*K32</f>
        <v/>
      </c>
      <c r="R32" s="3">
        <f>P32-Q32</f>
        <v/>
      </c>
      <c r="S32" s="3" t="n">
        <v>23.43</v>
      </c>
      <c r="T32" s="3" t="n">
        <v>0</v>
      </c>
      <c r="U32" s="3" t="n">
        <v>0</v>
      </c>
      <c r="V32" s="3" t="n">
        <v>1.53</v>
      </c>
      <c r="W32" s="3" t="n">
        <v>0</v>
      </c>
      <c r="X32" s="2" t="n"/>
      <c r="Y32" s="2" t="n"/>
      <c r="Z32" s="2" t="inlineStr">
        <is>
          <t>SHEIN</t>
        </is>
      </c>
      <c r="AA32" s="2" t="inlineStr">
        <is>
          <t>SHEIN US Services, LLC</t>
        </is>
      </c>
      <c r="AB32" s="2" t="inlineStr">
        <is>
          <t>777 S. Alameda St., Second Floor, Los Angeles, CA 90021</t>
        </is>
      </c>
      <c r="AC32" s="2" t="inlineStr">
        <is>
          <t>US</t>
        </is>
      </c>
      <c r="AD32" s="2" t="n"/>
      <c r="AE32" s="2" t="n"/>
      <c r="AF32" s="2" t="n"/>
      <c r="AG32" s="2" t="n"/>
      <c r="AH32" s="2" t="n"/>
      <c r="AI32" s="2" t="n"/>
      <c r="AJ32" s="2" t="n"/>
      <c r="AK32" s="2" t="inlineStr">
        <is>
          <t>62046290</t>
        </is>
      </c>
    </row>
    <row r="33">
      <c r="A33" s="4" t="n"/>
      <c r="B33" s="4" t="n"/>
      <c r="C33" s="4" t="n"/>
      <c r="D33" s="4" t="n"/>
      <c r="E33" s="4" t="n"/>
      <c r="F33" s="4" t="inlineStr">
        <is>
          <t>62046290</t>
        </is>
      </c>
      <c r="G33" s="4" t="n"/>
      <c r="H33" s="4" t="n"/>
      <c r="I33" s="4" t="inlineStr">
        <is>
          <t>SHEIN-1</t>
        </is>
      </c>
      <c r="J33" s="4" t="inlineStr">
        <is>
          <t>SHEIN SXY Summer Trousers Solid Color Work High Waist Trousers</t>
        </is>
      </c>
      <c r="K33" s="4" t="n">
        <v>1</v>
      </c>
      <c r="L33" s="4" t="n"/>
      <c r="M33" s="4" t="n"/>
      <c r="N33" s="4" t="inlineStr">
        <is>
          <t>USD</t>
        </is>
      </c>
      <c r="O33" s="5" t="n">
        <v>11.03</v>
      </c>
      <c r="P33" s="5" t="n">
        <v>11.03</v>
      </c>
      <c r="Q33" s="5">
        <f>O33*K33</f>
        <v/>
      </c>
      <c r="R33" s="5">
        <f>P33-Q33</f>
        <v/>
      </c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>
      <c r="A34" s="2" t="n"/>
      <c r="B34" s="2" t="n"/>
      <c r="C34" s="2" t="inlineStr">
        <is>
          <t>INVUS20240720003762796</t>
        </is>
      </c>
      <c r="D34" s="2" t="inlineStr">
        <is>
          <t>2024-07-20</t>
        </is>
      </c>
      <c r="E34" s="2" t="inlineStr">
        <is>
          <t>Trousers and shorts</t>
        </is>
      </c>
      <c r="F34" s="2" t="inlineStr">
        <is>
          <t>62046310</t>
        </is>
      </c>
      <c r="G34" s="2" t="n"/>
      <c r="H34" s="2" t="n"/>
      <c r="I34" s="2" t="inlineStr">
        <is>
          <t>62046310</t>
        </is>
      </c>
      <c r="J34" s="2" t="inlineStr">
        <is>
          <t>SHEIN SXY Ladies Solid Color Straight Leg Pants (1 items)</t>
        </is>
      </c>
      <c r="K34" s="2" t="n">
        <v>1</v>
      </c>
      <c r="L34" s="2" t="n"/>
      <c r="M34" s="2" t="n"/>
      <c r="N34" s="2" t="inlineStr">
        <is>
          <t>USD</t>
        </is>
      </c>
      <c r="O34" s="3" t="n">
        <v>10.87</v>
      </c>
      <c r="P34" s="3" t="n">
        <v>10.87</v>
      </c>
      <c r="Q34" s="3">
        <f>O34*K34</f>
        <v/>
      </c>
      <c r="R34" s="3">
        <f>P34-Q34</f>
        <v/>
      </c>
      <c r="S34" s="3" t="n"/>
      <c r="T34" s="3" t="n"/>
      <c r="U34" s="3" t="n"/>
      <c r="V34" s="3" t="n"/>
      <c r="W34" s="3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inlineStr">
        <is>
          <t>62046310</t>
        </is>
      </c>
    </row>
    <row r="35">
      <c r="A35" s="4" t="n"/>
      <c r="B35" s="4" t="n"/>
      <c r="C35" s="4" t="n"/>
      <c r="D35" s="4" t="n"/>
      <c r="E35" s="4" t="n"/>
      <c r="F35" s="4" t="inlineStr">
        <is>
          <t>62046310</t>
        </is>
      </c>
      <c r="G35" s="4" t="n"/>
      <c r="H35" s="4" t="n"/>
      <c r="I35" s="4" t="inlineStr">
        <is>
          <t>SHEIN-2</t>
        </is>
      </c>
      <c r="J35" s="4" t="inlineStr">
        <is>
          <t>SHEIN SXY Ladies Solid Color Straight Leg Pants</t>
        </is>
      </c>
      <c r="K35" s="4" t="n">
        <v>1</v>
      </c>
      <c r="L35" s="4" t="n"/>
      <c r="M35" s="4" t="n"/>
      <c r="N35" s="4" t="inlineStr">
        <is>
          <t>USD</t>
        </is>
      </c>
      <c r="O35" s="5" t="n">
        <v>10.87</v>
      </c>
      <c r="P35" s="5" t="n">
        <v>10.87</v>
      </c>
      <c r="Q35" s="5">
        <f>O35*K35</f>
        <v/>
      </c>
      <c r="R35" s="5">
        <f>P35-Q35</f>
        <v/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inlineStr">
        <is>
          <t>SUBTOTAL (GROUPED)</t>
        </is>
      </c>
      <c r="K36" s="6" t="n"/>
      <c r="L36" s="6" t="n"/>
      <c r="M36" s="6" t="n"/>
      <c r="N36" s="6" t="n"/>
      <c r="O36" s="6" t="n"/>
      <c r="P36" s="7">
        <f>P32+P34</f>
        <v/>
      </c>
      <c r="Q36" s="7">
        <f>Q32+Q34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inlineStr">
        <is>
          <t>SUBTOTAL (DETAILS)</t>
        </is>
      </c>
      <c r="K37" s="6" t="n"/>
      <c r="L37" s="6" t="n"/>
      <c r="M37" s="6" t="n"/>
      <c r="N37" s="6" t="n"/>
      <c r="O37" s="6" t="n"/>
      <c r="P37" s="7">
        <f>SUM(P32:P35)-P36</f>
        <v/>
      </c>
      <c r="Q37" s="7">
        <f>SUM(Q32:Q35)-Q36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inlineStr">
        <is>
          <t>GROUP VERIFICATION</t>
        </is>
      </c>
      <c r="K38" s="8" t="n"/>
      <c r="L38" s="8" t="n"/>
      <c r="M38" s="8" t="n"/>
      <c r="N38" s="8" t="n"/>
      <c r="O38" s="8" t="n"/>
      <c r="P38" s="9">
        <f>P36-P37</f>
        <v/>
      </c>
      <c r="Q38" s="9">
        <f>Q36-Q37</f>
        <v/>
      </c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</row>
    <row r="39"/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inlineStr">
        <is>
          <t>TOTAL INTERNAL FREIGHT</t>
        </is>
      </c>
      <c r="K40" s="6" t="n"/>
      <c r="L40" s="6" t="n"/>
      <c r="M40" s="6" t="n"/>
      <c r="N40" s="6" t="n"/>
      <c r="O40" s="6" t="n"/>
      <c r="P40" s="7" t="n">
        <v>0</v>
      </c>
      <c r="Q40" s="7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inlineStr">
        <is>
          <t>TOTAL INSURANCE</t>
        </is>
      </c>
      <c r="K41" s="6" t="n"/>
      <c r="L41" s="6" t="n"/>
      <c r="M41" s="6" t="n"/>
      <c r="N41" s="6" t="n"/>
      <c r="O41" s="6" t="n"/>
      <c r="P41" s="7" t="n">
        <v>0</v>
      </c>
      <c r="Q41" s="7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inlineStr">
        <is>
          <t>TOTAL OTHER COST</t>
        </is>
      </c>
      <c r="K42" s="6" t="n"/>
      <c r="L42" s="6" t="n"/>
      <c r="M42" s="6" t="n"/>
      <c r="N42" s="6" t="n"/>
      <c r="O42" s="6" t="n"/>
      <c r="P42" s="7" t="n">
        <v>1.53</v>
      </c>
      <c r="Q42" s="7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inlineStr">
        <is>
          <t>TOTAL DEDUCTION</t>
        </is>
      </c>
      <c r="K43" s="6" t="n"/>
      <c r="L43" s="6" t="n"/>
      <c r="M43" s="6" t="n"/>
      <c r="N43" s="6" t="n"/>
      <c r="O43" s="6" t="n"/>
      <c r="P43" s="7" t="n">
        <v>0</v>
      </c>
      <c r="Q43" s="7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inlineStr">
        <is>
          <t>ADJUSTMENTS</t>
        </is>
      </c>
      <c r="K44" s="6" t="n"/>
      <c r="L44" s="6" t="n"/>
      <c r="M44" s="6" t="n"/>
      <c r="N44" s="6" t="n"/>
      <c r="O44" s="6" t="n"/>
      <c r="P44" s="7">
        <f>(T32+U32+V32-W32)</f>
        <v/>
      </c>
      <c r="Q44" s="7">
        <f>(T32+U32+V32-W32)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/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inlineStr">
        <is>
          <t>NET TOTAL</t>
        </is>
      </c>
      <c r="K46" s="6" t="n"/>
      <c r="L46" s="6" t="n"/>
      <c r="M46" s="6" t="n"/>
      <c r="N46" s="6" t="n"/>
      <c r="O46" s="6" t="n"/>
      <c r="P46" s="7">
        <f>P36+P44</f>
        <v/>
      </c>
      <c r="Q46" s="7">
        <f>Q36+Q44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inlineStr">
        <is>
          <t>INVOICE TOTAL</t>
        </is>
      </c>
      <c r="K47" s="6" t="n"/>
      <c r="L47" s="6" t="n"/>
      <c r="M47" s="6" t="n"/>
      <c r="N47" s="6" t="n"/>
      <c r="O47" s="6" t="n"/>
      <c r="P47" s="7">
        <f>S32</f>
        <v/>
      </c>
      <c r="Q47" s="7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/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inlineStr">
        <is>
          <t>VARIANCE CHECK</t>
        </is>
      </c>
      <c r="K49" s="10" t="n"/>
      <c r="L49" s="10" t="n"/>
      <c r="M49" s="10" t="n"/>
      <c r="N49" s="10" t="n"/>
      <c r="O49" s="10" t="n"/>
      <c r="P49" s="11">
        <f>S32-P46</f>
        <v/>
      </c>
      <c r="Q49" s="11">
        <f>S32-Q46</f>
        <v/>
      </c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</row>
    <row r="50"/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inlineStr">
        <is>
          <t>DUTY ESTIMATION (Classification Cross-Check)</t>
        </is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6" t="inlineStr">
        <is>
          <t>CIF (USD) = InvTotal + Freight + Insurance</t>
        </is>
      </c>
      <c r="K52" s="15" t="n"/>
      <c r="L52" s="15" t="n"/>
      <c r="M52" s="15" t="n"/>
      <c r="N52" s="15" t="n"/>
      <c r="O52" s="15" t="n"/>
      <c r="P52" s="17" t="n">
        <v>23.43</v>
      </c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6" t="inlineStr">
        <is>
          <t>CIF (XCD) = CIF × 2.7169</t>
        </is>
      </c>
      <c r="K53" s="15" t="n"/>
      <c r="L53" s="15" t="n"/>
      <c r="M53" s="15" t="n"/>
      <c r="N53" s="15" t="n"/>
      <c r="O53" s="15" t="n"/>
      <c r="P53" s="17" t="n">
        <v>63.66</v>
      </c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6" t="inlineStr">
        <is>
          <t>CET (weighted avg 20.0%)</t>
        </is>
      </c>
      <c r="K54" s="15" t="n"/>
      <c r="L54" s="15" t="n"/>
      <c r="M54" s="15" t="n"/>
      <c r="N54" s="15" t="n"/>
      <c r="O54" s="15" t="n"/>
      <c r="P54" s="17" t="n">
        <v>12.73</v>
      </c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6" t="inlineStr">
        <is>
          <t xml:space="preserve">  └ 62046290: 20% CET (50% of value)</t>
        </is>
      </c>
      <c r="K55" s="15" t="n"/>
      <c r="L55" s="15" t="n"/>
      <c r="M55" s="15" t="n"/>
      <c r="N55" s="15" t="n"/>
      <c r="O55" s="15" t="n"/>
      <c r="P55" s="17" t="n">
        <v>6.41</v>
      </c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inlineStr">
        <is>
          <t xml:space="preserve">  └ 62046310: 20% CET (50% of value)</t>
        </is>
      </c>
      <c r="K56" s="15" t="n"/>
      <c r="L56" s="15" t="n"/>
      <c r="M56" s="15" t="n"/>
      <c r="N56" s="15" t="n"/>
      <c r="O56" s="15" t="n"/>
      <c r="P56" s="17" t="n">
        <v>6.32</v>
      </c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6" t="inlineStr">
        <is>
          <t>CSC (6%)</t>
        </is>
      </c>
      <c r="K57" s="15" t="n"/>
      <c r="L57" s="15" t="n"/>
      <c r="M57" s="15" t="n"/>
      <c r="N57" s="15" t="n"/>
      <c r="O57" s="15" t="n"/>
      <c r="P57" s="17" t="n">
        <v>3.82</v>
      </c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6" t="inlineStr">
        <is>
          <t>VAT (15%) on CIF+CET+CSC</t>
        </is>
      </c>
      <c r="K58" s="15" t="n"/>
      <c r="L58" s="15" t="n"/>
      <c r="M58" s="15" t="n"/>
      <c r="N58" s="15" t="n"/>
      <c r="O58" s="15" t="n"/>
      <c r="P58" s="17" t="n">
        <v>12.03</v>
      </c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4" t="inlineStr">
        <is>
          <t>ESTIMATED TOTAL DUTIES</t>
        </is>
      </c>
      <c r="K59" s="18" t="n"/>
      <c r="L59" s="18" t="n"/>
      <c r="M59" s="18" t="n"/>
      <c r="N59" s="18" t="n"/>
      <c r="O59" s="18" t="n"/>
      <c r="P59" s="19" t="n">
        <v>28.58</v>
      </c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6" t="inlineStr">
        <is>
          <t>Effective Duty Rate</t>
        </is>
      </c>
      <c r="K60" s="15" t="n"/>
      <c r="L60" s="15" t="n"/>
      <c r="M60" s="15" t="n"/>
      <c r="N60" s="15" t="n"/>
      <c r="O60" s="15" t="n"/>
      <c r="P60" s="20" t="n">
        <v>0.44894753377317</v>
      </c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</row>
    <row r="62">
      <c r="A62" s="2" t="inlineStr">
        <is>
          <t>4000-000</t>
        </is>
      </c>
      <c r="B62" s="2" t="n"/>
      <c r="C62" s="2" t="inlineStr">
        <is>
          <t>INVUS20240720003759507</t>
        </is>
      </c>
      <c r="D62" s="2" t="inlineStr">
        <is>
          <t>2024-07-20</t>
        </is>
      </c>
      <c r="E62" s="2" t="inlineStr">
        <is>
          <t>Articles of apparel, not knitted</t>
        </is>
      </c>
      <c r="F62" s="2" t="inlineStr">
        <is>
          <t>62046290</t>
        </is>
      </c>
      <c r="G62" s="2" t="n"/>
      <c r="H62" s="2" t="n"/>
      <c r="I62" s="2" t="inlineStr">
        <is>
          <t>62046290</t>
        </is>
      </c>
      <c r="J62" s="2" t="inlineStr">
        <is>
          <t>SHEIN Essnce Plus Fold Pleated Detail Slant Pocket Pants (+4 more) (5 items)</t>
        </is>
      </c>
      <c r="K62" s="2" t="n">
        <v>5</v>
      </c>
      <c r="L62" s="2" t="n"/>
      <c r="M62" s="2" t="n"/>
      <c r="N62" s="2" t="inlineStr">
        <is>
          <t>USD</t>
        </is>
      </c>
      <c r="O62" s="3" t="n">
        <v>8.678000000000001</v>
      </c>
      <c r="P62" s="3" t="n">
        <v>43.39</v>
      </c>
      <c r="Q62" s="3">
        <f>O62*K62</f>
        <v/>
      </c>
      <c r="R62" s="3">
        <f>P62-Q62</f>
        <v/>
      </c>
      <c r="S62" s="3" t="n">
        <v>46.42</v>
      </c>
      <c r="T62" s="3" t="n">
        <v>0</v>
      </c>
      <c r="U62" s="3" t="n">
        <v>0</v>
      </c>
      <c r="V62" s="3" t="n">
        <v>3.03</v>
      </c>
      <c r="W62" s="3" t="n">
        <v>0</v>
      </c>
      <c r="X62" s="2" t="n"/>
      <c r="Y62" s="2" t="n"/>
      <c r="Z62" s="2" t="inlineStr">
        <is>
          <t>SHEIN</t>
        </is>
      </c>
      <c r="AA62" s="2" t="inlineStr">
        <is>
          <t>SHEIN US Services, LLC</t>
        </is>
      </c>
      <c r="AB62" s="2" t="inlineStr">
        <is>
          <t>777 S. Alameda St., Second Floor, Los Angeles, CA 90021</t>
        </is>
      </c>
      <c r="AC62" s="2" t="inlineStr">
        <is>
          <t>US</t>
        </is>
      </c>
      <c r="AD62" s="2" t="n"/>
      <c r="AE62" s="2" t="n"/>
      <c r="AF62" s="2" t="n"/>
      <c r="AG62" s="2" t="n"/>
      <c r="AH62" s="2" t="n"/>
      <c r="AI62" s="2" t="n"/>
      <c r="AJ62" s="2" t="n"/>
      <c r="AK62" s="2" t="inlineStr">
        <is>
          <t>62046290</t>
        </is>
      </c>
    </row>
    <row r="63">
      <c r="A63" s="4" t="n"/>
      <c r="B63" s="4" t="n"/>
      <c r="C63" s="4" t="n"/>
      <c r="D63" s="4" t="n"/>
      <c r="E63" s="4" t="n"/>
      <c r="F63" s="4" t="inlineStr">
        <is>
          <t>62046290</t>
        </is>
      </c>
      <c r="G63" s="4" t="n"/>
      <c r="H63" s="4" t="n"/>
      <c r="I63" s="4" t="inlineStr">
        <is>
          <t>SHEIN-1</t>
        </is>
      </c>
      <c r="J63" s="4" t="inlineStr">
        <is>
          <t>SHEIN Essnce Plus Fold Pleated Detail Slant Pocket Pants</t>
        </is>
      </c>
      <c r="K63" s="4" t="n">
        <v>1</v>
      </c>
      <c r="L63" s="4" t="n"/>
      <c r="M63" s="4" t="n"/>
      <c r="N63" s="4" t="inlineStr">
        <is>
          <t>USD</t>
        </is>
      </c>
      <c r="O63" s="5" t="n">
        <v>8.67</v>
      </c>
      <c r="P63" s="5" t="n">
        <v>8.67</v>
      </c>
      <c r="Q63" s="5">
        <f>O63*K63</f>
        <v/>
      </c>
      <c r="R63" s="5">
        <f>P63-Q63</f>
        <v/>
      </c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</row>
    <row r="64">
      <c r="A64" s="4" t="n"/>
      <c r="B64" s="4" t="n"/>
      <c r="C64" s="4" t="n"/>
      <c r="D64" s="4" t="n"/>
      <c r="E64" s="4" t="n"/>
      <c r="F64" s="4" t="inlineStr">
        <is>
          <t>62046290</t>
        </is>
      </c>
      <c r="G64" s="4" t="n"/>
      <c r="H64" s="4" t="n"/>
      <c r="I64" s="4" t="inlineStr">
        <is>
          <t>SHEIN-2</t>
        </is>
      </c>
      <c r="J64" s="4" t="inlineStr">
        <is>
          <t>SHEIN Essnce Plus Fold Pleated Slant Pocket Pants</t>
        </is>
      </c>
      <c r="K64" s="4" t="n">
        <v>1</v>
      </c>
      <c r="L64" s="4" t="n"/>
      <c r="M64" s="4" t="n"/>
      <c r="N64" s="4" t="inlineStr">
        <is>
          <t>USD</t>
        </is>
      </c>
      <c r="O64" s="5" t="n">
        <v>7.72</v>
      </c>
      <c r="P64" s="5" t="n">
        <v>7.72</v>
      </c>
      <c r="Q64" s="5">
        <f>O64*K64</f>
        <v/>
      </c>
      <c r="R64" s="5">
        <f>P64-Q64</f>
        <v/>
      </c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</row>
    <row r="65">
      <c r="A65" s="4" t="n"/>
      <c r="B65" s="4" t="n"/>
      <c r="C65" s="4" t="n"/>
      <c r="D65" s="4" t="n"/>
      <c r="E65" s="4" t="n"/>
      <c r="F65" s="4" t="inlineStr">
        <is>
          <t>62046290</t>
        </is>
      </c>
      <c r="G65" s="4" t="n"/>
      <c r="H65" s="4" t="n"/>
      <c r="I65" s="4" t="inlineStr">
        <is>
          <t>SHEIN-3</t>
        </is>
      </c>
      <c r="J65" s="4" t="inlineStr">
        <is>
          <t>SHEIN Essnce Plus Fold Pleated Slant Pocket Pants</t>
        </is>
      </c>
      <c r="K65" s="4" t="n">
        <v>1</v>
      </c>
      <c r="L65" s="4" t="n"/>
      <c r="M65" s="4" t="n"/>
      <c r="N65" s="4" t="inlineStr">
        <is>
          <t>USD</t>
        </is>
      </c>
      <c r="O65" s="5" t="n">
        <v>8.539999999999999</v>
      </c>
      <c r="P65" s="5" t="n">
        <v>8.539999999999999</v>
      </c>
      <c r="Q65" s="5">
        <f>O65*K65</f>
        <v/>
      </c>
      <c r="R65" s="5">
        <f>P65-Q65</f>
        <v/>
      </c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</row>
    <row r="66">
      <c r="A66" s="4" t="n"/>
      <c r="B66" s="4" t="n"/>
      <c r="C66" s="4" t="n"/>
      <c r="D66" s="4" t="n"/>
      <c r="E66" s="4" t="n"/>
      <c r="F66" s="4" t="inlineStr">
        <is>
          <t>62046290</t>
        </is>
      </c>
      <c r="G66" s="4" t="n"/>
      <c r="H66" s="4" t="n"/>
      <c r="I66" s="4" t="inlineStr">
        <is>
          <t>SHEIN-4</t>
        </is>
      </c>
      <c r="J66" s="4" t="inlineStr">
        <is>
          <t>SHEIN Essnce Plus Fold Pleated Slant Pocket Pants</t>
        </is>
      </c>
      <c r="K66" s="4" t="n">
        <v>1</v>
      </c>
      <c r="L66" s="4" t="n"/>
      <c r="M66" s="4" t="n"/>
      <c r="N66" s="4" t="inlineStr">
        <is>
          <t>USD</t>
        </is>
      </c>
      <c r="O66" s="5" t="n">
        <v>8.1</v>
      </c>
      <c r="P66" s="5" t="n">
        <v>8.1</v>
      </c>
      <c r="Q66" s="5">
        <f>O66*K66</f>
        <v/>
      </c>
      <c r="R66" s="5">
        <f>P66-Q66</f>
        <v/>
      </c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</row>
    <row r="67">
      <c r="A67" s="4" t="n"/>
      <c r="B67" s="4" t="n"/>
      <c r="C67" s="4" t="n"/>
      <c r="D67" s="4" t="n"/>
      <c r="E67" s="4" t="n"/>
      <c r="F67" s="4" t="inlineStr">
        <is>
          <t>62046290</t>
        </is>
      </c>
      <c r="G67" s="4" t="n"/>
      <c r="H67" s="4" t="n"/>
      <c r="I67" s="4" t="inlineStr">
        <is>
          <t>SHEIN-5</t>
        </is>
      </c>
      <c r="J67" s="4" t="inlineStr">
        <is>
          <t>SHEIN Essnce Plus Fold Pleated Slant Pocket Pants</t>
        </is>
      </c>
      <c r="K67" s="4" t="n">
        <v>1</v>
      </c>
      <c r="L67" s="4" t="n"/>
      <c r="M67" s="4" t="n"/>
      <c r="N67" s="4" t="inlineStr">
        <is>
          <t>USD</t>
        </is>
      </c>
      <c r="O67" s="5" t="n">
        <v>10.36</v>
      </c>
      <c r="P67" s="5" t="n">
        <v>10.36</v>
      </c>
      <c r="Q67" s="5">
        <f>O67*K67</f>
        <v/>
      </c>
      <c r="R67" s="5">
        <f>P67-Q67</f>
        <v/>
      </c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inlineStr">
        <is>
          <t>SUBTOTAL (GROUPED)</t>
        </is>
      </c>
      <c r="K68" s="6" t="n"/>
      <c r="L68" s="6" t="n"/>
      <c r="M68" s="6" t="n"/>
      <c r="N68" s="6" t="n"/>
      <c r="O68" s="6" t="n"/>
      <c r="P68" s="7">
        <f>P62</f>
        <v/>
      </c>
      <c r="Q68" s="7">
        <f>Q62</f>
        <v/>
      </c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inlineStr">
        <is>
          <t>SUBTOTAL (DETAILS)</t>
        </is>
      </c>
      <c r="K69" s="6" t="n"/>
      <c r="L69" s="6" t="n"/>
      <c r="M69" s="6" t="n"/>
      <c r="N69" s="6" t="n"/>
      <c r="O69" s="6" t="n"/>
      <c r="P69" s="7">
        <f>SUM(P62:P67)-P68</f>
        <v/>
      </c>
      <c r="Q69" s="7">
        <f>SUM(Q62:Q67)-Q68</f>
        <v/>
      </c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inlineStr">
        <is>
          <t>GROUP VERIFICATION</t>
        </is>
      </c>
      <c r="K70" s="8" t="n"/>
      <c r="L70" s="8" t="n"/>
      <c r="M70" s="8" t="n"/>
      <c r="N70" s="8" t="n"/>
      <c r="O70" s="8" t="n"/>
      <c r="P70" s="9">
        <f>P68-P69</f>
        <v/>
      </c>
      <c r="Q70" s="9">
        <f>Q68-Q69</f>
        <v/>
      </c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</row>
    <row r="71"/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inlineStr">
        <is>
          <t>TOTAL INTERNAL FREIGHT</t>
        </is>
      </c>
      <c r="K72" s="6" t="n"/>
      <c r="L72" s="6" t="n"/>
      <c r="M72" s="6" t="n"/>
      <c r="N72" s="6" t="n"/>
      <c r="O72" s="6" t="n"/>
      <c r="P72" s="7" t="n">
        <v>0</v>
      </c>
      <c r="Q72" s="7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inlineStr">
        <is>
          <t>TOTAL INSURANCE</t>
        </is>
      </c>
      <c r="K73" s="6" t="n"/>
      <c r="L73" s="6" t="n"/>
      <c r="M73" s="6" t="n"/>
      <c r="N73" s="6" t="n"/>
      <c r="O73" s="6" t="n"/>
      <c r="P73" s="7" t="n">
        <v>0</v>
      </c>
      <c r="Q73" s="7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inlineStr">
        <is>
          <t>TOTAL OTHER COST</t>
        </is>
      </c>
      <c r="K74" s="6" t="n"/>
      <c r="L74" s="6" t="n"/>
      <c r="M74" s="6" t="n"/>
      <c r="N74" s="6" t="n"/>
      <c r="O74" s="6" t="n"/>
      <c r="P74" s="7" t="n">
        <v>3.03</v>
      </c>
      <c r="Q74" s="7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inlineStr">
        <is>
          <t>TOTAL DEDUCTION</t>
        </is>
      </c>
      <c r="K75" s="6" t="n"/>
      <c r="L75" s="6" t="n"/>
      <c r="M75" s="6" t="n"/>
      <c r="N75" s="6" t="n"/>
      <c r="O75" s="6" t="n"/>
      <c r="P75" s="7" t="n">
        <v>0</v>
      </c>
      <c r="Q75" s="7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inlineStr">
        <is>
          <t>ADJUSTMENTS</t>
        </is>
      </c>
      <c r="K76" s="6" t="n"/>
      <c r="L76" s="6" t="n"/>
      <c r="M76" s="6" t="n"/>
      <c r="N76" s="6" t="n"/>
      <c r="O76" s="6" t="n"/>
      <c r="P76" s="7">
        <f>(T62+U62+V62-W62)</f>
        <v/>
      </c>
      <c r="Q76" s="7">
        <f>(T62+U62+V62-W62)</f>
        <v/>
      </c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</row>
    <row r="77"/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inlineStr">
        <is>
          <t>NET TOTAL</t>
        </is>
      </c>
      <c r="K78" s="6" t="n"/>
      <c r="L78" s="6" t="n"/>
      <c r="M78" s="6" t="n"/>
      <c r="N78" s="6" t="n"/>
      <c r="O78" s="6" t="n"/>
      <c r="P78" s="7">
        <f>P68+P76</f>
        <v/>
      </c>
      <c r="Q78" s="7">
        <f>Q68+Q76</f>
        <v/>
      </c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inlineStr">
        <is>
          <t>INVOICE TOTAL</t>
        </is>
      </c>
      <c r="K79" s="6" t="n"/>
      <c r="L79" s="6" t="n"/>
      <c r="M79" s="6" t="n"/>
      <c r="N79" s="6" t="n"/>
      <c r="O79" s="6" t="n"/>
      <c r="P79" s="7">
        <f>S62</f>
        <v/>
      </c>
      <c r="Q79" s="7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</row>
    <row r="80"/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inlineStr">
        <is>
          <t>VARIANCE CHECK</t>
        </is>
      </c>
      <c r="K81" s="10" t="n"/>
      <c r="L81" s="10" t="n"/>
      <c r="M81" s="10" t="n"/>
      <c r="N81" s="10" t="n"/>
      <c r="O81" s="10" t="n"/>
      <c r="P81" s="11">
        <f>S62-P78</f>
        <v/>
      </c>
      <c r="Q81" s="11">
        <f>S62-Q78</f>
        <v/>
      </c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</row>
    <row r="82"/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inlineStr">
        <is>
          <t>DUTY ESTIMATION (Classification Cross-Check)</t>
        </is>
      </c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6" t="inlineStr">
        <is>
          <t>CIF (USD) = InvTotal + Freight + Insurance</t>
        </is>
      </c>
      <c r="K84" s="15" t="n"/>
      <c r="L84" s="15" t="n"/>
      <c r="M84" s="15" t="n"/>
      <c r="N84" s="15" t="n"/>
      <c r="O84" s="15" t="n"/>
      <c r="P84" s="17" t="n">
        <v>46.42</v>
      </c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6" t="inlineStr">
        <is>
          <t>CIF (XCD) = CIF × 2.7169</t>
        </is>
      </c>
      <c r="K85" s="15" t="n"/>
      <c r="L85" s="15" t="n"/>
      <c r="M85" s="15" t="n"/>
      <c r="N85" s="15" t="n"/>
      <c r="O85" s="15" t="n"/>
      <c r="P85" s="17" t="n">
        <v>126.12</v>
      </c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6" t="inlineStr">
        <is>
          <t>CET (20%) — Tariff 62046290</t>
        </is>
      </c>
      <c r="K86" s="15" t="n"/>
      <c r="L86" s="15" t="n"/>
      <c r="M86" s="15" t="n"/>
      <c r="N86" s="15" t="n"/>
      <c r="O86" s="15" t="n"/>
      <c r="P86" s="17" t="n">
        <v>25.22</v>
      </c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6" t="inlineStr">
        <is>
          <t>CSC (6%)</t>
        </is>
      </c>
      <c r="K87" s="15" t="n"/>
      <c r="L87" s="15" t="n"/>
      <c r="M87" s="15" t="n"/>
      <c r="N87" s="15" t="n"/>
      <c r="O87" s="15" t="n"/>
      <c r="P87" s="17" t="n">
        <v>7.57</v>
      </c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6" t="inlineStr">
        <is>
          <t>VAT (15%) on CIF+CET+CSC</t>
        </is>
      </c>
      <c r="K88" s="15" t="n"/>
      <c r="L88" s="15" t="n"/>
      <c r="M88" s="15" t="n"/>
      <c r="N88" s="15" t="n"/>
      <c r="O88" s="15" t="n"/>
      <c r="P88" s="17" t="n">
        <v>23.84</v>
      </c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18" t="n"/>
      <c r="J89" s="14" t="inlineStr">
        <is>
          <t>ESTIMATED TOTAL DUTIES</t>
        </is>
      </c>
      <c r="K89" s="18" t="n"/>
      <c r="L89" s="18" t="n"/>
      <c r="M89" s="18" t="n"/>
      <c r="N89" s="18" t="n"/>
      <c r="O89" s="18" t="n"/>
      <c r="P89" s="19" t="n">
        <v>56.63</v>
      </c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6" t="inlineStr">
        <is>
          <t>Effective Duty Rate</t>
        </is>
      </c>
      <c r="K90" s="15" t="n"/>
      <c r="L90" s="15" t="n"/>
      <c r="M90" s="15" t="n"/>
      <c r="N90" s="15" t="n"/>
      <c r="O90" s="15" t="n"/>
      <c r="P90" s="20" t="n">
        <v>0.4490168093878846</v>
      </c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</row>
    <row r="91"/>
    <row r="92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</row>
    <row r="93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inlineStr">
        <is>
          <t>═══ COMBINED GRAND SUMMARY ═══</t>
        </is>
      </c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</row>
    <row r="94">
      <c r="L94" s="24" t="inlineStr">
        <is>
          <t>Invoice INVUS20240720003756965</t>
        </is>
      </c>
      <c r="P94" s="25" t="n">
        <v>395.66</v>
      </c>
      <c r="Q94" s="26" t="n">
        <v>-340.44</v>
      </c>
    </row>
    <row r="95">
      <c r="L95" s="24" t="inlineStr">
        <is>
          <t>Invoice INVUS20240720003762796</t>
        </is>
      </c>
      <c r="P95" s="25" t="n">
        <v>180.86</v>
      </c>
      <c r="Q95" s="26" t="n">
        <v>-157.43</v>
      </c>
    </row>
    <row r="96">
      <c r="L96" s="24" t="inlineStr">
        <is>
          <t>Invoice INVUS20240720003759507</t>
        </is>
      </c>
      <c r="P96" s="25" t="n">
        <v>332.67</v>
      </c>
      <c r="Q96" s="26" t="n">
        <v>-286.25</v>
      </c>
    </row>
    <row r="97"/>
    <row r="98">
      <c r="L98" s="27" t="inlineStr">
        <is>
          <t>GRAND TOTAL</t>
        </is>
      </c>
      <c r="P98" s="28" t="n">
        <v>909.1900000000001</v>
      </c>
    </row>
    <row r="99">
      <c r="L99" s="29" t="inlineStr">
        <is>
          <t>GRAND VARIANCE CHECK</t>
        </is>
      </c>
      <c r="P99" s="26" t="n">
        <v>-784.12</v>
      </c>
    </row>
    <row r="100">
      <c r="L100" s="30" t="inlineStr">
        <is>
          <t>Combined 3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31" t="inlineStr">
        <is>
          <t>PDF File</t>
        </is>
      </c>
      <c r="B1" s="31" t="inlineStr">
        <is>
          <t>Quality Score</t>
        </is>
      </c>
      <c r="C1" s="31" t="inlineStr">
        <is>
          <t>Rating</t>
        </is>
      </c>
      <c r="D1" s="31" t="inlineStr">
        <is>
          <t>Details</t>
        </is>
      </c>
      <c r="E1" s="31" t="inlineStr">
        <is>
          <t>OCR Text (first 2000 chars)</t>
        </is>
      </c>
    </row>
    <row r="2">
      <c r="A2" s="32" t="inlineStr">
        <is>
          <t>INVUS20240720003756965.pdf</t>
        </is>
      </c>
      <c r="B2" s="32" t="inlineStr">
        <is>
          <t>63/100</t>
        </is>
      </c>
      <c r="C2" s="32" t="inlineStr">
        <is>
          <t>FAIR</t>
        </is>
      </c>
      <c r="D2" s="32" t="inlineStr">
        <is>
          <t>Text: 1242 chars; Prices: 0 ($-sign), 3 (decimal); Total: MISSING; Invoice#: INVUS20240720003756965; Real items: 3/3; Structure words: 8/12</t>
        </is>
      </c>
      <c r="E2" s="33" t="inlineStr">
        <is>
          <t>SHEIN US Services , LLC . eee Invoice
777 S Alameda St Fl 2 , Los Angeles , CA 90021 - 1633
Bill To : Invoice No . :
Shornel Albert INVUS20240720003756965
Billing Address : Invoice Date :
10813 NW 30 th ST BLDG 115 GRE 4219 Miami , FLORIDA 2024 - 07 - 20
33172 - 2191
Delivery Address :
10813 NW 30 th ST BLDG 115 GRE 4219 Miami , FLORIDA
33172 - 2191
Order Information
Order Number : Order Date :
GSUNJR 30 BOOMBJJ 2024 - 07 - 20
Seller Information
Sold By : Address :
SHEIN DISTRIBUTION CORPORATION United StatesCALIFORNIALos Angeles 777 S . Alamaeda St .
Suite 340 , Los Angeles , CA 90021
Invoice Detail
SHEIN Clasi Women ' s Elegant Commute Spring &amp; Summer &amp; Fall Dress With Bowknot Tie Collar , Plaid Pencil 4 7.80
Dress Design , Slim - Fit And Bodycon , Navy Blue For Teacher Clothes
SHEIN Clasi 2 pcs / Set Women Summer Casual Top With Knotted Neckline &amp; Ruffled Hem And Pencil Skirt , 4 10 : 40
Decorated With Simple Design , Suitable For Work
SHEIN Clasi Women ' s Two Piece Set : Color Block Leopard Print Crop Top And Skinny Pants 1 14.47
SHEIN Clasi Women ' s Printed Patchwork Flying Sleeve Top &amp; Solid Color Pants Two Piece Set 1 9.55
Item ( s ) Subtotal : 41.92
Shipping / Handling : 0.00
Sales Tax : 2.94
Grand Total: : 44.86</t>
        </is>
      </c>
    </row>
    <row r="3">
      <c r="A3" s="34" t="inlineStr">
        <is>
          <t>INVUS20240720003762796.pdf</t>
        </is>
      </c>
      <c r="B3" s="34" t="inlineStr">
        <is>
          <t>73/100</t>
        </is>
      </c>
      <c r="C3" s="34" t="inlineStr">
        <is>
          <t>GOOD</t>
        </is>
      </c>
      <c r="D3" s="34" t="inlineStr">
        <is>
          <t>Text: 823 chars; Prices: 0 ($-sign), 4 (decimal); Total: $23.43; Invoice#: INVUS20240720003762796; Real items: 2/2; Structure words: 10/12</t>
        </is>
      </c>
      <c r="E3" s="35" t="inlineStr">
        <is>
          <t>S
SHEIN US Services, LLC.
777 S Alameda St Fl 2, Los Angeles, CA 90021-1633
Sales Invoice
Bill To:
Shornel Albert
Invoice No.:
INVUS20240720003762796
Billing Address:
10813 NW 30th ST BLDG115 GRE 4219 Miami, FLORIDA
33172-2191
Invoice Date:
2024-07-20
Delivery Address:
10813 NW 30th ST BLDG115 GRE 4219 Miami, FLORIDA
33172-2191
Order Information
Order Number:
GSUNJR30B00MBJH
Order Date:
2024-07-20
Seller Information
Sold By:
SHEIN DISTRIBUTION CORPORATION
Address:
United StatesCALIFORNIALos Angeles777 S. Alamaeda St.
Suite 340, Los Angeles, CA 90021
Invoice Detail
Description
Quantity
Amount(USD)
SHEIN SXY Summer Trousers Solid Color Work High Waist Trousers 1 11.03
SHEIN SXY Ladies Solid Color Straight Leg Pants 1 10.87
Item(s) Subtotal:
21.90
Shipping/Handling:
0.00
Sales Tax:
1.53
Grand Total:
23.43</t>
        </is>
      </c>
    </row>
    <row r="4">
      <c r="A4" s="34" t="inlineStr">
        <is>
          <t>INVUS20240720003759507.pdf</t>
        </is>
      </c>
      <c r="B4" s="34" t="inlineStr">
        <is>
          <t>83/100</t>
        </is>
      </c>
      <c r="C4" s="34" t="inlineStr">
        <is>
          <t>GOOD</t>
        </is>
      </c>
      <c r="D4" s="34" t="inlineStr">
        <is>
          <t>Text: 988 chars; Prices: 0 ($-sign), 3 (decimal); Total: $46.42; Invoice#: INVUS20240720003759507; Real items: 5/5; Structure words: 10/12</t>
        </is>
      </c>
      <c r="E4" s="35" t="inlineStr">
        <is>
          <t>SHEIN US Services, LLC.
777 S Alameda St Fl 2, Los Angeles, CA 90021-1633
Sales Invoice
Bill To:
Shornel Albert
Invoice No.:
INVUS20240720003759507
Billing Address:
10813 NW 30th ST BLDG115 GRE 4219 Miami, FLORIDA
33172-2191
Invoice Date:
2024-07-20
Delivery Address:
10813 NW 30th ST BLDG115 GRE 4219 Miami, FLORIDA
33172-2191
Order Information
Order Number:
GSUNJR30B00MBJV
Order Date:
2024-07-20
Seller Information
Sold By:
SHEIN DISTRIBUTION CORPORATION
Address:
United StatesCALIFORNIALos Angeles777 S. Alamaeda St.
Suite 340, Los Angeles, CA 90021
Invoice Detail
Description	Quantity	Amount(USD)
SHEIN Essnce Plus Fold Pleated Detail Slant Pocket Pants	1	8.67
SHEIN Essnce Plus Fold Pleated Slant Pocket Pants	1	7.72
SHEIN Essnce Plus Fold Pleated Slant Pocket Pants	1	8.54
SHEIN Essnce Plus Fold Pleated Slant Pocket Pants	1	8.10
SHEIN Essnce Plus Fold Pleated Slant Pocket Pants	1	10.36
Item(s) Subtotal:	43.39
Shipping/Handling:	0.00
Sales Tax:	3.03
Grand Total:	46.42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2026-04-26T01:49:45Z</dcterms:created>
  <dcterms:modified xmlns:dcterms="http://purl.org/dc/terms/" xmlns:xsi="http://www.w3.org/2001/XMLSchema-instance" xsi:type="dcterms:W3CDTF">2026-04-26T01:49:45Z</dcterms:modified>
</cp:coreProperties>
</file>