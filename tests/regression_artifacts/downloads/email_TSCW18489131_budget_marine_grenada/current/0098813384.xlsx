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0098813384</t>
        </is>
      </c>
      <c r="D2" s="2" t="inlineStr">
        <is>
          <t>2026-01-26</t>
        </is>
      </c>
      <c r="E2" s="2" t="inlineStr">
        <is>
          <t>FOOTWEAR</t>
        </is>
      </c>
      <c r="F2" s="2" t="inlineStr">
        <is>
          <t>64029910</t>
        </is>
      </c>
      <c r="G2" s="2" t="inlineStr"/>
      <c r="H2" s="2" t="inlineStr"/>
      <c r="I2" s="2" t="inlineStr">
        <is>
          <t>CJ8550-090-M</t>
        </is>
      </c>
      <c r="J2" s="2" t="inlineStr">
        <is>
          <t>PHANTOM LUX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36.8</v>
      </c>
      <c r="P2" s="3" t="n">
        <v>73.59999999999999</v>
      </c>
      <c r="Q2" s="3">
        <f>O2*K2</f>
        <v/>
      </c>
      <c r="R2" s="3">
        <f>P2-Q2</f>
        <v/>
      </c>
      <c r="S2" s="3" t="n">
        <v>4458.75</v>
      </c>
      <c r="T2" s="3" t="n">
        <v>387.75</v>
      </c>
      <c r="U2" s="3" t="n">
        <v>0</v>
      </c>
      <c r="V2" s="3" t="n">
        <v>0</v>
      </c>
      <c r="W2" s="3" t="n">
        <v>0</v>
      </c>
      <c r="X2" s="2" t="n">
        <v>7</v>
      </c>
      <c r="Y2" s="2" t="n"/>
      <c r="Z2" s="2" t="inlineStr">
        <is>
          <t>REF</t>
        </is>
      </c>
      <c r="AA2" s="2" t="inlineStr">
        <is>
          <t>Reef Lifestyle, LLC</t>
        </is>
      </c>
      <c r="AB2" s="2" t="inlineStr">
        <is>
          <t>480 Pleasant Street, Suite C-110, Watertown, MA 02472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64029910</t>
        </is>
      </c>
      <c r="AL2" t="n">
        <v>210.12</v>
      </c>
      <c r="AM2" t="n">
        <v>78.19</v>
      </c>
    </row>
    <row r="3">
      <c r="A3" s="2" t="n"/>
      <c r="B3" s="2" t="inlineStr"/>
      <c r="C3" s="2" t="inlineStr">
        <is>
          <t>0098813384</t>
        </is>
      </c>
      <c r="D3" s="2" t="inlineStr">
        <is>
          <t>2026-01-26</t>
        </is>
      </c>
      <c r="E3" s="2" t="inlineStr">
        <is>
          <t>FOOTWEAR</t>
        </is>
      </c>
      <c r="F3" s="2" t="inlineStr">
        <is>
          <t>64029910</t>
        </is>
      </c>
      <c r="G3" s="2" t="inlineStr"/>
      <c r="H3" s="2" t="inlineStr"/>
      <c r="I3" s="2" t="inlineStr">
        <is>
          <t>CJ8550-100-M</t>
        </is>
      </c>
      <c r="J3" s="2" t="inlineStr">
        <is>
          <t>PHANTOM LUX</t>
        </is>
      </c>
      <c r="K3" s="2" t="n">
        <v>4</v>
      </c>
      <c r="L3" s="2" t="n"/>
      <c r="M3" s="2" t="inlineStr"/>
      <c r="N3" s="2" t="inlineStr">
        <is>
          <t>USD</t>
        </is>
      </c>
      <c r="O3" s="3" t="n">
        <v>36.8</v>
      </c>
      <c r="P3" s="3" t="n">
        <v>147.2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64029910</t>
        </is>
      </c>
    </row>
    <row r="4">
      <c r="A4" s="2" t="n"/>
      <c r="B4" s="2" t="inlineStr"/>
      <c r="C4" s="2" t="inlineStr">
        <is>
          <t>0098813384</t>
        </is>
      </c>
      <c r="D4" s="2" t="inlineStr">
        <is>
          <t>2026-01-26</t>
        </is>
      </c>
      <c r="E4" s="2" t="inlineStr">
        <is>
          <t>FOOTWEAR</t>
        </is>
      </c>
      <c r="F4" s="2" t="inlineStr">
        <is>
          <t>64029910</t>
        </is>
      </c>
      <c r="G4" s="2" t="inlineStr"/>
      <c r="H4" s="2" t="inlineStr"/>
      <c r="I4" s="2" t="inlineStr">
        <is>
          <t>CJ8550-110-M</t>
        </is>
      </c>
      <c r="J4" s="2" t="inlineStr">
        <is>
          <t>PHANTOM LUX</t>
        </is>
      </c>
      <c r="K4" s="2" t="n">
        <v>4</v>
      </c>
      <c r="L4" s="2" t="n"/>
      <c r="M4" s="2" t="inlineStr"/>
      <c r="N4" s="2" t="inlineStr">
        <is>
          <t>USD</t>
        </is>
      </c>
      <c r="O4" s="3" t="n">
        <v>36.8</v>
      </c>
      <c r="P4" s="3" t="n">
        <v>147.2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64029910</t>
        </is>
      </c>
    </row>
    <row r="5">
      <c r="A5" s="2" t="n"/>
      <c r="B5" s="2" t="inlineStr"/>
      <c r="C5" s="2" t="inlineStr">
        <is>
          <t>0098813384</t>
        </is>
      </c>
      <c r="D5" s="2" t="inlineStr">
        <is>
          <t>2026-01-26</t>
        </is>
      </c>
      <c r="E5" s="2" t="inlineStr">
        <is>
          <t>FOOTWEAR</t>
        </is>
      </c>
      <c r="F5" s="2" t="inlineStr">
        <is>
          <t>64029910</t>
        </is>
      </c>
      <c r="G5" s="2" t="inlineStr"/>
      <c r="H5" s="2" t="inlineStr"/>
      <c r="I5" s="2" t="inlineStr">
        <is>
          <t>CJ8550-120-M</t>
        </is>
      </c>
      <c r="J5" s="2" t="inlineStr">
        <is>
          <t>PHANTOM LUX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36.8</v>
      </c>
      <c r="P5" s="3" t="n">
        <v>73.59999999999999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64029910</t>
        </is>
      </c>
    </row>
    <row r="6">
      <c r="A6" s="2" t="n"/>
      <c r="B6" s="2" t="inlineStr"/>
      <c r="C6" s="2" t="inlineStr">
        <is>
          <t>0098813384</t>
        </is>
      </c>
      <c r="D6" s="2" t="inlineStr">
        <is>
          <t>2026-01-26</t>
        </is>
      </c>
      <c r="E6" s="2" t="inlineStr">
        <is>
          <t>Footwear</t>
        </is>
      </c>
      <c r="F6" s="2" t="inlineStr">
        <is>
          <t>89069000</t>
        </is>
      </c>
      <c r="G6" s="2" t="inlineStr"/>
      <c r="H6" s="2" t="inlineStr"/>
      <c r="I6" s="2" t="inlineStr">
        <is>
          <t>CJ9058-090-M</t>
        </is>
      </c>
      <c r="J6" s="2" t="inlineStr">
        <is>
          <t>OFFSHORE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34.5</v>
      </c>
      <c r="P6" s="3" t="n">
        <v>34.5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89069000</t>
        </is>
      </c>
    </row>
    <row r="7">
      <c r="A7" s="2" t="n"/>
      <c r="B7" s="2" t="inlineStr"/>
      <c r="C7" s="2" t="inlineStr">
        <is>
          <t>0098813384</t>
        </is>
      </c>
      <c r="D7" s="2" t="inlineStr">
        <is>
          <t>2026-01-26</t>
        </is>
      </c>
      <c r="E7" s="2" t="inlineStr">
        <is>
          <t>Footwear</t>
        </is>
      </c>
      <c r="F7" s="2" t="inlineStr">
        <is>
          <t>89069000</t>
        </is>
      </c>
      <c r="G7" s="2" t="inlineStr"/>
      <c r="H7" s="2" t="inlineStr"/>
      <c r="I7" s="2" t="inlineStr">
        <is>
          <t>CJ9058-100-M</t>
        </is>
      </c>
      <c r="J7" s="2" t="inlineStr">
        <is>
          <t>OFFSHORE</t>
        </is>
      </c>
      <c r="K7" s="2" t="n">
        <v>3</v>
      </c>
      <c r="L7" s="2" t="n"/>
      <c r="M7" s="2" t="inlineStr"/>
      <c r="N7" s="2" t="inlineStr">
        <is>
          <t>USD</t>
        </is>
      </c>
      <c r="O7" s="3" t="n">
        <v>34.5</v>
      </c>
      <c r="P7" s="3" t="n">
        <v>103.5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89069000</t>
        </is>
      </c>
    </row>
    <row r="8">
      <c r="A8" s="2" t="n"/>
      <c r="B8" s="2" t="inlineStr"/>
      <c r="C8" s="2" t="inlineStr">
        <is>
          <t>0098813384</t>
        </is>
      </c>
      <c r="D8" s="2" t="inlineStr">
        <is>
          <t>2026-01-26</t>
        </is>
      </c>
      <c r="E8" s="2" t="inlineStr">
        <is>
          <t>Footwear</t>
        </is>
      </c>
      <c r="F8" s="2" t="inlineStr">
        <is>
          <t>89069000</t>
        </is>
      </c>
      <c r="G8" s="2" t="inlineStr"/>
      <c r="H8" s="2" t="inlineStr"/>
      <c r="I8" s="2" t="inlineStr">
        <is>
          <t>CJ9058-110-M</t>
        </is>
      </c>
      <c r="J8" s="2" t="inlineStr">
        <is>
          <t>OFFSHORE</t>
        </is>
      </c>
      <c r="K8" s="2" t="n">
        <v>3</v>
      </c>
      <c r="L8" s="2" t="n"/>
      <c r="M8" s="2" t="inlineStr"/>
      <c r="N8" s="2" t="inlineStr">
        <is>
          <t>USD</t>
        </is>
      </c>
      <c r="O8" s="3" t="n">
        <v>34.5</v>
      </c>
      <c r="P8" s="3" t="n">
        <v>103.5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89069000</t>
        </is>
      </c>
    </row>
    <row r="9">
      <c r="A9" s="2" t="n"/>
      <c r="B9" s="2" t="inlineStr"/>
      <c r="C9" s="2" t="inlineStr">
        <is>
          <t>0098813384</t>
        </is>
      </c>
      <c r="D9" s="2" t="inlineStr">
        <is>
          <t>2026-01-26</t>
        </is>
      </c>
      <c r="E9" s="2" t="inlineStr">
        <is>
          <t>Footwear</t>
        </is>
      </c>
      <c r="F9" s="2" t="inlineStr">
        <is>
          <t>89069000</t>
        </is>
      </c>
      <c r="G9" s="2" t="inlineStr"/>
      <c r="H9" s="2" t="inlineStr"/>
      <c r="I9" s="2" t="inlineStr">
        <is>
          <t>CJ9058-120-M</t>
        </is>
      </c>
      <c r="J9" s="2" t="inlineStr">
        <is>
          <t>OFFSHORE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34.5</v>
      </c>
      <c r="P9" s="3" t="n">
        <v>34.5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89069000</t>
        </is>
      </c>
    </row>
    <row r="10">
      <c r="A10" s="2" t="n"/>
      <c r="B10" s="2" t="inlineStr"/>
      <c r="C10" s="2" t="inlineStr">
        <is>
          <t>0098813384</t>
        </is>
      </c>
      <c r="D10" s="2" t="inlineStr">
        <is>
          <t>2026-01-26</t>
        </is>
      </c>
      <c r="E10" s="2" t="inlineStr">
        <is>
          <t>Footwear</t>
        </is>
      </c>
      <c r="F10" s="2" t="inlineStr">
        <is>
          <t>89069000</t>
        </is>
      </c>
      <c r="G10" s="2" t="inlineStr"/>
      <c r="H10" s="2" t="inlineStr"/>
      <c r="I10" s="2" t="inlineStr">
        <is>
          <t>CJ9059-090-M</t>
        </is>
      </c>
      <c r="J10" s="2" t="inlineStr">
        <is>
          <t>OFFSHORE</t>
        </is>
      </c>
      <c r="K10" s="2" t="n">
        <v>1</v>
      </c>
      <c r="L10" s="2" t="n"/>
      <c r="M10" s="2" t="inlineStr"/>
      <c r="N10" s="2" t="inlineStr">
        <is>
          <t>USD</t>
        </is>
      </c>
      <c r="O10" s="3" t="n">
        <v>34.5</v>
      </c>
      <c r="P10" s="3" t="n">
        <v>34.5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89069000</t>
        </is>
      </c>
    </row>
    <row r="11">
      <c r="A11" s="2" t="n"/>
      <c r="B11" s="2" t="inlineStr"/>
      <c r="C11" s="2" t="inlineStr">
        <is>
          <t>0098813384</t>
        </is>
      </c>
      <c r="D11" s="2" t="inlineStr">
        <is>
          <t>2026-01-26</t>
        </is>
      </c>
      <c r="E11" s="2" t="inlineStr">
        <is>
          <t>Footwear</t>
        </is>
      </c>
      <c r="F11" s="2" t="inlineStr">
        <is>
          <t>89069000</t>
        </is>
      </c>
      <c r="G11" s="2" t="inlineStr"/>
      <c r="H11" s="2" t="inlineStr"/>
      <c r="I11" s="2" t="inlineStr">
        <is>
          <t>CJ9059-100-M</t>
        </is>
      </c>
      <c r="J11" s="2" t="inlineStr">
        <is>
          <t>OFFSHORE</t>
        </is>
      </c>
      <c r="K11" s="2" t="n">
        <v>3</v>
      </c>
      <c r="L11" s="2" t="n"/>
      <c r="M11" s="2" t="inlineStr"/>
      <c r="N11" s="2" t="inlineStr">
        <is>
          <t>USD</t>
        </is>
      </c>
      <c r="O11" s="3" t="n">
        <v>34.5</v>
      </c>
      <c r="P11" s="3" t="n">
        <v>103.5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89069000</t>
        </is>
      </c>
    </row>
    <row r="12">
      <c r="A12" s="2" t="n"/>
      <c r="B12" s="2" t="inlineStr"/>
      <c r="C12" s="2" t="inlineStr">
        <is>
          <t>0098813384</t>
        </is>
      </c>
      <c r="D12" s="2" t="inlineStr">
        <is>
          <t>2026-01-26</t>
        </is>
      </c>
      <c r="E12" s="2" t="inlineStr">
        <is>
          <t>Footwear</t>
        </is>
      </c>
      <c r="F12" s="2" t="inlineStr">
        <is>
          <t>89069000</t>
        </is>
      </c>
      <c r="G12" s="2" t="inlineStr"/>
      <c r="H12" s="2" t="inlineStr"/>
      <c r="I12" s="2" t="inlineStr">
        <is>
          <t>CJ9059-110-M</t>
        </is>
      </c>
      <c r="J12" s="2" t="inlineStr">
        <is>
          <t>OFFSHORE</t>
        </is>
      </c>
      <c r="K12" s="2" t="n">
        <v>3</v>
      </c>
      <c r="L12" s="2" t="n"/>
      <c r="M12" s="2" t="inlineStr"/>
      <c r="N12" s="2" t="inlineStr">
        <is>
          <t>USD</t>
        </is>
      </c>
      <c r="O12" s="3" t="n">
        <v>34.5</v>
      </c>
      <c r="P12" s="3" t="n">
        <v>103.5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89069000</t>
        </is>
      </c>
    </row>
    <row r="13">
      <c r="A13" s="2" t="n"/>
      <c r="B13" s="2" t="inlineStr"/>
      <c r="C13" s="2" t="inlineStr">
        <is>
          <t>0098813384</t>
        </is>
      </c>
      <c r="D13" s="2" t="inlineStr">
        <is>
          <t>2026-01-26</t>
        </is>
      </c>
      <c r="E13" s="2" t="inlineStr">
        <is>
          <t>Footwear</t>
        </is>
      </c>
      <c r="F13" s="2" t="inlineStr">
        <is>
          <t>89069000</t>
        </is>
      </c>
      <c r="G13" s="2" t="inlineStr"/>
      <c r="H13" s="2" t="inlineStr"/>
      <c r="I13" s="2" t="inlineStr">
        <is>
          <t>CJ9059-120-M</t>
        </is>
      </c>
      <c r="J13" s="2" t="inlineStr">
        <is>
          <t>OFFSHORE</t>
        </is>
      </c>
      <c r="K13" s="2" t="n">
        <v>1</v>
      </c>
      <c r="L13" s="2" t="n"/>
      <c r="M13" s="2" t="inlineStr"/>
      <c r="N13" s="2" t="inlineStr">
        <is>
          <t>USD</t>
        </is>
      </c>
      <c r="O13" s="3" t="n">
        <v>34.5</v>
      </c>
      <c r="P13" s="3" t="n">
        <v>34.5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89069000</t>
        </is>
      </c>
    </row>
    <row r="14">
      <c r="A14" s="2" t="n"/>
      <c r="B14" s="2" t="inlineStr"/>
      <c r="C14" s="2" t="inlineStr">
        <is>
          <t>0098813384</t>
        </is>
      </c>
      <c r="D14" s="2" t="inlineStr">
        <is>
          <t>2026-01-26</t>
        </is>
      </c>
      <c r="E14" s="2" t="inlineStr">
        <is>
          <t>FOOTWEAR</t>
        </is>
      </c>
      <c r="F14" s="2" t="inlineStr">
        <is>
          <t>64029910</t>
        </is>
      </c>
      <c r="G14" s="2" t="inlineStr"/>
      <c r="H14" s="2" t="inlineStr"/>
      <c r="I14" s="2" t="inlineStr">
        <is>
          <t>CJ9156-090-M</t>
        </is>
      </c>
      <c r="J14" s="2" t="inlineStr">
        <is>
          <t>REEF SANTA ANA</t>
        </is>
      </c>
      <c r="K14" s="2" t="n">
        <v>1</v>
      </c>
      <c r="L14" s="2" t="n"/>
      <c r="M14" s="2" t="inlineStr"/>
      <c r="N14" s="2" t="inlineStr">
        <is>
          <t>USD</t>
        </is>
      </c>
      <c r="O14" s="3" t="n">
        <v>29.9</v>
      </c>
      <c r="P14" s="3" t="n">
        <v>29.9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64029910</t>
        </is>
      </c>
    </row>
    <row r="15">
      <c r="A15" s="2" t="n"/>
      <c r="B15" s="2" t="inlineStr"/>
      <c r="C15" s="2" t="inlineStr">
        <is>
          <t>0098813384</t>
        </is>
      </c>
      <c r="D15" s="2" t="inlineStr">
        <is>
          <t>2026-01-26</t>
        </is>
      </c>
      <c r="E15" s="2" t="inlineStr">
        <is>
          <t>FOOTWEAR</t>
        </is>
      </c>
      <c r="F15" s="2" t="inlineStr">
        <is>
          <t>64029910</t>
        </is>
      </c>
      <c r="G15" s="2" t="inlineStr"/>
      <c r="H15" s="2" t="inlineStr"/>
      <c r="I15" s="2" t="inlineStr">
        <is>
          <t>CJ9156-100-M</t>
        </is>
      </c>
      <c r="J15" s="2" t="inlineStr">
        <is>
          <t>REEF SANTA ANA</t>
        </is>
      </c>
      <c r="K15" s="2" t="n">
        <v>3</v>
      </c>
      <c r="L15" s="2" t="n"/>
      <c r="M15" s="2" t="inlineStr"/>
      <c r="N15" s="2" t="inlineStr">
        <is>
          <t>USD</t>
        </is>
      </c>
      <c r="O15" s="3" t="n">
        <v>29.9</v>
      </c>
      <c r="P15" s="3" t="n">
        <v>89.7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64029910</t>
        </is>
      </c>
    </row>
    <row r="16">
      <c r="A16" s="2" t="n"/>
      <c r="B16" s="2" t="inlineStr"/>
      <c r="C16" s="2" t="inlineStr">
        <is>
          <t>0098813384</t>
        </is>
      </c>
      <c r="D16" s="2" t="inlineStr">
        <is>
          <t>2026-01-26</t>
        </is>
      </c>
      <c r="E16" s="2" t="inlineStr">
        <is>
          <t>FOOTWEAR</t>
        </is>
      </c>
      <c r="F16" s="2" t="inlineStr">
        <is>
          <t>64029910</t>
        </is>
      </c>
      <c r="G16" s="2" t="inlineStr"/>
      <c r="H16" s="2" t="inlineStr"/>
      <c r="I16" s="2" t="inlineStr">
        <is>
          <t>CJ9156-110-M</t>
        </is>
      </c>
      <c r="J16" s="2" t="inlineStr">
        <is>
          <t>REEF SANTA ANA</t>
        </is>
      </c>
      <c r="K16" s="2" t="n">
        <v>3</v>
      </c>
      <c r="L16" s="2" t="n"/>
      <c r="M16" s="2" t="inlineStr"/>
      <c r="N16" s="2" t="inlineStr">
        <is>
          <t>USD</t>
        </is>
      </c>
      <c r="O16" s="3" t="n">
        <v>29.9</v>
      </c>
      <c r="P16" s="3" t="n">
        <v>89.7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64029910</t>
        </is>
      </c>
    </row>
    <row r="17">
      <c r="A17" s="2" t="n"/>
      <c r="B17" s="2" t="inlineStr"/>
      <c r="C17" s="2" t="inlineStr">
        <is>
          <t>0098813384</t>
        </is>
      </c>
      <c r="D17" s="2" t="inlineStr">
        <is>
          <t>2026-01-26</t>
        </is>
      </c>
      <c r="E17" s="2" t="inlineStr">
        <is>
          <t>FOOTWEAR</t>
        </is>
      </c>
      <c r="F17" s="2" t="inlineStr">
        <is>
          <t>64029910</t>
        </is>
      </c>
      <c r="G17" s="2" t="inlineStr"/>
      <c r="H17" s="2" t="inlineStr"/>
      <c r="I17" s="2" t="inlineStr">
        <is>
          <t>CJ9156-120-M</t>
        </is>
      </c>
      <c r="J17" s="2" t="inlineStr">
        <is>
          <t>REEF SANTA ANA</t>
        </is>
      </c>
      <c r="K17" s="2" t="n">
        <v>1</v>
      </c>
      <c r="L17" s="2" t="n"/>
      <c r="M17" s="2" t="inlineStr"/>
      <c r="N17" s="2" t="inlineStr">
        <is>
          <t>USD</t>
        </is>
      </c>
      <c r="O17" s="3" t="n">
        <v>29.9</v>
      </c>
      <c r="P17" s="3" t="n">
        <v>29.9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64029910</t>
        </is>
      </c>
    </row>
    <row r="18">
      <c r="A18" s="2" t="n"/>
      <c r="B18" s="2" t="inlineStr"/>
      <c r="C18" s="2" t="inlineStr">
        <is>
          <t>0098813384</t>
        </is>
      </c>
      <c r="D18" s="2" t="inlineStr">
        <is>
          <t>2026-01-26</t>
        </is>
      </c>
      <c r="E18" s="2" t="inlineStr">
        <is>
          <t>FOOTWEAR</t>
        </is>
      </c>
      <c r="F18" s="2" t="inlineStr">
        <is>
          <t>64029910</t>
        </is>
      </c>
      <c r="G18" s="2" t="inlineStr"/>
      <c r="H18" s="2" t="inlineStr"/>
      <c r="I18" s="2" t="inlineStr">
        <is>
          <t>CJ4352-090-M</t>
        </is>
      </c>
      <c r="J18" s="2" t="inlineStr">
        <is>
          <t>CSHN PHANTOM 2.0 LE</t>
        </is>
      </c>
      <c r="K18" s="2" t="n">
        <v>1</v>
      </c>
      <c r="L18" s="2" t="n"/>
      <c r="M18" s="2" t="inlineStr"/>
      <c r="N18" s="2" t="inlineStr">
        <is>
          <t>USD</t>
        </is>
      </c>
      <c r="O18" s="3" t="n">
        <v>29.9</v>
      </c>
      <c r="P18" s="3" t="n">
        <v>29.9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64029910</t>
        </is>
      </c>
    </row>
    <row r="19">
      <c r="A19" s="2" t="n"/>
      <c r="B19" s="2" t="inlineStr"/>
      <c r="C19" s="2" t="inlineStr">
        <is>
          <t>0098813384</t>
        </is>
      </c>
      <c r="D19" s="2" t="inlineStr">
        <is>
          <t>2026-01-26</t>
        </is>
      </c>
      <c r="E19" s="2" t="inlineStr">
        <is>
          <t>FOOTWEAR</t>
        </is>
      </c>
      <c r="F19" s="2" t="inlineStr">
        <is>
          <t>64029910</t>
        </is>
      </c>
      <c r="G19" s="2" t="inlineStr"/>
      <c r="H19" s="2" t="inlineStr"/>
      <c r="I19" s="2" t="inlineStr">
        <is>
          <t>CJ4352-100-M</t>
        </is>
      </c>
      <c r="J19" s="2" t="inlineStr">
        <is>
          <t>CSHN PHANTOM 2.0 LE</t>
        </is>
      </c>
      <c r="K19" s="2" t="n">
        <v>3</v>
      </c>
      <c r="L19" s="2" t="n"/>
      <c r="M19" s="2" t="inlineStr"/>
      <c r="N19" s="2" t="inlineStr">
        <is>
          <t>USD</t>
        </is>
      </c>
      <c r="O19" s="3" t="n">
        <v>29.9</v>
      </c>
      <c r="P19" s="3" t="n">
        <v>89.7</v>
      </c>
      <c r="Q19" s="3">
        <f>O19*K19</f>
        <v/>
      </c>
      <c r="R19" s="3">
        <f>P19-Q19</f>
        <v/>
      </c>
      <c r="S19" s="3" t="n"/>
      <c r="T19" s="3" t="n"/>
      <c r="U19" s="3" t="n"/>
      <c r="V19" s="3" t="n"/>
      <c r="W19" s="3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inlineStr">
        <is>
          <t>64029910</t>
        </is>
      </c>
    </row>
    <row r="20">
      <c r="A20" s="2" t="n"/>
      <c r="B20" s="2" t="inlineStr"/>
      <c r="C20" s="2" t="inlineStr">
        <is>
          <t>0098813384</t>
        </is>
      </c>
      <c r="D20" s="2" t="inlineStr">
        <is>
          <t>2026-01-26</t>
        </is>
      </c>
      <c r="E20" s="2" t="inlineStr">
        <is>
          <t>FOOTWEAR</t>
        </is>
      </c>
      <c r="F20" s="2" t="inlineStr">
        <is>
          <t>64029910</t>
        </is>
      </c>
      <c r="G20" s="2" t="inlineStr"/>
      <c r="H20" s="2" t="inlineStr"/>
      <c r="I20" s="2" t="inlineStr">
        <is>
          <t>CJ4352-110-M</t>
        </is>
      </c>
      <c r="J20" s="2" t="inlineStr">
        <is>
          <t>CSHN PHANTOM 2.0 LE</t>
        </is>
      </c>
      <c r="K20" s="2" t="n">
        <v>3</v>
      </c>
      <c r="L20" s="2" t="n"/>
      <c r="M20" s="2" t="inlineStr"/>
      <c r="N20" s="2" t="inlineStr">
        <is>
          <t>USD</t>
        </is>
      </c>
      <c r="O20" s="3" t="n">
        <v>29.9</v>
      </c>
      <c r="P20" s="3" t="n">
        <v>89.7</v>
      </c>
      <c r="Q20" s="3">
        <f>O20*K20</f>
        <v/>
      </c>
      <c r="R20" s="3">
        <f>P20-Q20</f>
        <v/>
      </c>
      <c r="S20" s="3" t="n"/>
      <c r="T20" s="3" t="n"/>
      <c r="U20" s="3" t="n"/>
      <c r="V20" s="3" t="n"/>
      <c r="W20" s="3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64029910</t>
        </is>
      </c>
    </row>
    <row r="21">
      <c r="A21" s="2" t="n"/>
      <c r="B21" s="2" t="inlineStr"/>
      <c r="C21" s="2" t="inlineStr">
        <is>
          <t>0098813384</t>
        </is>
      </c>
      <c r="D21" s="2" t="inlineStr">
        <is>
          <t>2026-01-26</t>
        </is>
      </c>
      <c r="E21" s="2" t="inlineStr">
        <is>
          <t>FOOTWEAR</t>
        </is>
      </c>
      <c r="F21" s="2" t="inlineStr">
        <is>
          <t>64029910</t>
        </is>
      </c>
      <c r="G21" s="2" t="inlineStr"/>
      <c r="H21" s="2" t="inlineStr"/>
      <c r="I21" s="2" t="inlineStr">
        <is>
          <t>CJ4352-120-M</t>
        </is>
      </c>
      <c r="J21" s="2" t="inlineStr">
        <is>
          <t>CSHN PHANTOM 2.0 LE</t>
        </is>
      </c>
      <c r="K21" s="2" t="n">
        <v>1</v>
      </c>
      <c r="L21" s="2" t="n"/>
      <c r="M21" s="2" t="inlineStr"/>
      <c r="N21" s="2" t="inlineStr">
        <is>
          <t>USD</t>
        </is>
      </c>
      <c r="O21" s="3" t="n">
        <v>29.9</v>
      </c>
      <c r="P21" s="3" t="n">
        <v>29.9</v>
      </c>
      <c r="Q21" s="3">
        <f>O21*K21</f>
        <v/>
      </c>
      <c r="R21" s="3">
        <f>P21-Q21</f>
        <v/>
      </c>
      <c r="S21" s="3" t="n"/>
      <c r="T21" s="3" t="n"/>
      <c r="U21" s="3" t="n"/>
      <c r="V21" s="3" t="n"/>
      <c r="W21" s="3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inlineStr">
        <is>
          <t>64029910</t>
        </is>
      </c>
    </row>
    <row r="22">
      <c r="A22" s="2" t="n"/>
      <c r="B22" s="2" t="inlineStr"/>
      <c r="C22" s="2" t="inlineStr">
        <is>
          <t>0098813384</t>
        </is>
      </c>
      <c r="D22" s="2" t="inlineStr">
        <is>
          <t>2026-01-26</t>
        </is>
      </c>
      <c r="E22" s="2" t="inlineStr">
        <is>
          <t>FOOTWEAR</t>
        </is>
      </c>
      <c r="F22" s="2" t="inlineStr">
        <is>
          <t>64029910</t>
        </is>
      </c>
      <c r="G22" s="2" t="inlineStr"/>
      <c r="H22" s="2" t="inlineStr"/>
      <c r="I22" s="2" t="inlineStr">
        <is>
          <t>CJ6205-090-M</t>
        </is>
      </c>
      <c r="J22" s="2" t="inlineStr">
        <is>
          <t>CSHN PHANTOM 2.0 LE</t>
        </is>
      </c>
      <c r="K22" s="2" t="n">
        <v>1</v>
      </c>
      <c r="L22" s="2" t="n"/>
      <c r="M22" s="2" t="inlineStr"/>
      <c r="N22" s="2" t="inlineStr">
        <is>
          <t>USD</t>
        </is>
      </c>
      <c r="O22" s="3" t="n">
        <v>29.9</v>
      </c>
      <c r="P22" s="3" t="n">
        <v>29.9</v>
      </c>
      <c r="Q22" s="3">
        <f>O22*K22</f>
        <v/>
      </c>
      <c r="R22" s="3">
        <f>P22-Q22</f>
        <v/>
      </c>
      <c r="S22" s="3" t="n"/>
      <c r="T22" s="3" t="n"/>
      <c r="U22" s="3" t="n"/>
      <c r="V22" s="3" t="n"/>
      <c r="W22" s="3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inlineStr">
        <is>
          <t>64029910</t>
        </is>
      </c>
    </row>
    <row r="23">
      <c r="A23" s="2" t="n"/>
      <c r="B23" s="2" t="inlineStr"/>
      <c r="C23" s="2" t="inlineStr">
        <is>
          <t>0098813384</t>
        </is>
      </c>
      <c r="D23" s="2" t="inlineStr">
        <is>
          <t>2026-01-26</t>
        </is>
      </c>
      <c r="E23" s="2" t="inlineStr">
        <is>
          <t>FOOTWEAR</t>
        </is>
      </c>
      <c r="F23" s="2" t="inlineStr">
        <is>
          <t>64029910</t>
        </is>
      </c>
      <c r="G23" s="2" t="inlineStr"/>
      <c r="H23" s="2" t="inlineStr"/>
      <c r="I23" s="2" t="inlineStr">
        <is>
          <t>CJ4347-090-M</t>
        </is>
      </c>
      <c r="J23" s="2" t="inlineStr">
        <is>
          <t>CUSHION PHANTOM 2.0</t>
        </is>
      </c>
      <c r="K23" s="2" t="n">
        <v>1</v>
      </c>
      <c r="L23" s="2" t="n"/>
      <c r="M23" s="2" t="inlineStr"/>
      <c r="N23" s="2" t="inlineStr">
        <is>
          <t>USD</t>
        </is>
      </c>
      <c r="O23" s="3" t="n">
        <v>27.6</v>
      </c>
      <c r="P23" s="3" t="n">
        <v>27.6</v>
      </c>
      <c r="Q23" s="3">
        <f>O23*K23</f>
        <v/>
      </c>
      <c r="R23" s="3">
        <f>P23-Q23</f>
        <v/>
      </c>
      <c r="S23" s="3" t="n"/>
      <c r="T23" s="3" t="n"/>
      <c r="U23" s="3" t="n"/>
      <c r="V23" s="3" t="n"/>
      <c r="W23" s="3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inlineStr">
        <is>
          <t>64029910</t>
        </is>
      </c>
    </row>
    <row r="24">
      <c r="A24" s="2" t="n"/>
      <c r="B24" s="2" t="inlineStr"/>
      <c r="C24" s="2" t="inlineStr">
        <is>
          <t>0098813384</t>
        </is>
      </c>
      <c r="D24" s="2" t="inlineStr">
        <is>
          <t>2026-01-26</t>
        </is>
      </c>
      <c r="E24" s="2" t="inlineStr">
        <is>
          <t>FOOTWEAR</t>
        </is>
      </c>
      <c r="F24" s="2" t="inlineStr">
        <is>
          <t>64029910</t>
        </is>
      </c>
      <c r="G24" s="2" t="inlineStr"/>
      <c r="H24" s="2" t="inlineStr"/>
      <c r="I24" s="2" t="inlineStr">
        <is>
          <t>CJ4347-100-M</t>
        </is>
      </c>
      <c r="J24" s="2" t="inlineStr">
        <is>
          <t>CUSHION PHANTOM 2.0</t>
        </is>
      </c>
      <c r="K24" s="2" t="n">
        <v>4</v>
      </c>
      <c r="L24" s="2" t="n"/>
      <c r="M24" s="2" t="inlineStr"/>
      <c r="N24" s="2" t="inlineStr">
        <is>
          <t>USD</t>
        </is>
      </c>
      <c r="O24" s="3" t="n">
        <v>27.6</v>
      </c>
      <c r="P24" s="3" t="n">
        <v>110.4</v>
      </c>
      <c r="Q24" s="3">
        <f>O24*K24</f>
        <v/>
      </c>
      <c r="R24" s="3">
        <f>P24-Q24</f>
        <v/>
      </c>
      <c r="S24" s="3" t="n"/>
      <c r="T24" s="3" t="n"/>
      <c r="U24" s="3" t="n"/>
      <c r="V24" s="3" t="n"/>
      <c r="W24" s="3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inlineStr">
        <is>
          <t>64029910</t>
        </is>
      </c>
    </row>
    <row r="25">
      <c r="A25" s="2" t="n"/>
      <c r="B25" s="2" t="inlineStr"/>
      <c r="C25" s="2" t="inlineStr">
        <is>
          <t>0098813384</t>
        </is>
      </c>
      <c r="D25" s="2" t="inlineStr">
        <is>
          <t>2026-01-26</t>
        </is>
      </c>
      <c r="E25" s="2" t="inlineStr">
        <is>
          <t>FOOTWEAR</t>
        </is>
      </c>
      <c r="F25" s="2" t="inlineStr">
        <is>
          <t>64029910</t>
        </is>
      </c>
      <c r="G25" s="2" t="inlineStr"/>
      <c r="H25" s="2" t="inlineStr"/>
      <c r="I25" s="2" t="inlineStr">
        <is>
          <t>CJ4347-110-M</t>
        </is>
      </c>
      <c r="J25" s="2" t="inlineStr">
        <is>
          <t>CUSHION PHANTOM 2.0</t>
        </is>
      </c>
      <c r="K25" s="2" t="n">
        <v>4</v>
      </c>
      <c r="L25" s="2" t="n"/>
      <c r="M25" s="2" t="inlineStr"/>
      <c r="N25" s="2" t="inlineStr">
        <is>
          <t>USD</t>
        </is>
      </c>
      <c r="O25" s="3" t="n">
        <v>27.6</v>
      </c>
      <c r="P25" s="3" t="n">
        <v>110.4</v>
      </c>
      <c r="Q25" s="3">
        <f>O25*K25</f>
        <v/>
      </c>
      <c r="R25" s="3">
        <f>P25-Q25</f>
        <v/>
      </c>
      <c r="S25" s="3" t="n"/>
      <c r="T25" s="3" t="n"/>
      <c r="U25" s="3" t="n"/>
      <c r="V25" s="3" t="n"/>
      <c r="W25" s="3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inlineStr">
        <is>
          <t>64029910</t>
        </is>
      </c>
    </row>
    <row r="26">
      <c r="A26" s="2" t="n"/>
      <c r="B26" s="2" t="inlineStr"/>
      <c r="C26" s="2" t="inlineStr">
        <is>
          <t>0098813384</t>
        </is>
      </c>
      <c r="D26" s="2" t="inlineStr">
        <is>
          <t>2026-01-26</t>
        </is>
      </c>
      <c r="E26" s="2" t="inlineStr">
        <is>
          <t>FOOTWEAR</t>
        </is>
      </c>
      <c r="F26" s="2" t="inlineStr">
        <is>
          <t>64029910</t>
        </is>
      </c>
      <c r="G26" s="2" t="inlineStr"/>
      <c r="H26" s="2" t="inlineStr"/>
      <c r="I26" s="2" t="inlineStr">
        <is>
          <t>CJ4347-120-M</t>
        </is>
      </c>
      <c r="J26" s="2" t="inlineStr">
        <is>
          <t>CUSHION PHANTOM 2.0</t>
        </is>
      </c>
      <c r="K26" s="2" t="n">
        <v>2</v>
      </c>
      <c r="L26" s="2" t="n"/>
      <c r="M26" s="2" t="inlineStr"/>
      <c r="N26" s="2" t="inlineStr">
        <is>
          <t>USD</t>
        </is>
      </c>
      <c r="O26" s="3" t="n">
        <v>27.6</v>
      </c>
      <c r="P26" s="3" t="n">
        <v>55.2</v>
      </c>
      <c r="Q26" s="3">
        <f>O26*K26</f>
        <v/>
      </c>
      <c r="R26" s="3">
        <f>P26-Q26</f>
        <v/>
      </c>
      <c r="S26" s="3" t="n"/>
      <c r="T26" s="3" t="n"/>
      <c r="U26" s="3" t="n"/>
      <c r="V26" s="3" t="n"/>
      <c r="W26" s="3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inlineStr">
        <is>
          <t>64029910</t>
        </is>
      </c>
    </row>
    <row r="27">
      <c r="A27" s="2" t="n"/>
      <c r="B27" s="2" t="inlineStr"/>
      <c r="C27" s="2" t="inlineStr">
        <is>
          <t>0098813384</t>
        </is>
      </c>
      <c r="D27" s="2" t="inlineStr">
        <is>
          <t>2026-01-26</t>
        </is>
      </c>
      <c r="E27" s="2" t="inlineStr">
        <is>
          <t>FOOTWEAR</t>
        </is>
      </c>
      <c r="F27" s="2" t="inlineStr">
        <is>
          <t>64029910</t>
        </is>
      </c>
      <c r="G27" s="2" t="inlineStr"/>
      <c r="H27" s="2" t="inlineStr"/>
      <c r="I27" s="2" t="inlineStr">
        <is>
          <t>CJ5258-090-M</t>
        </is>
      </c>
      <c r="J27" s="2" t="inlineStr">
        <is>
          <t>CUSHION PHANTOM 2.0</t>
        </is>
      </c>
      <c r="K27" s="2" t="n">
        <v>1</v>
      </c>
      <c r="L27" s="2" t="n"/>
      <c r="M27" s="2" t="inlineStr"/>
      <c r="N27" s="2" t="inlineStr">
        <is>
          <t>USD</t>
        </is>
      </c>
      <c r="O27" s="3" t="n">
        <v>27.6</v>
      </c>
      <c r="P27" s="3" t="n">
        <v>27.6</v>
      </c>
      <c r="Q27" s="3">
        <f>O27*K27</f>
        <v/>
      </c>
      <c r="R27" s="3">
        <f>P27-Q27</f>
        <v/>
      </c>
      <c r="S27" s="3" t="n"/>
      <c r="T27" s="3" t="n"/>
      <c r="U27" s="3" t="n"/>
      <c r="V27" s="3" t="n"/>
      <c r="W27" s="3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inlineStr">
        <is>
          <t>64029910</t>
        </is>
      </c>
    </row>
    <row r="28">
      <c r="A28" s="2" t="n"/>
      <c r="B28" s="2" t="inlineStr"/>
      <c r="C28" s="2" t="inlineStr">
        <is>
          <t>0098813384</t>
        </is>
      </c>
      <c r="D28" s="2" t="inlineStr">
        <is>
          <t>2026-01-26</t>
        </is>
      </c>
      <c r="E28" s="2" t="inlineStr">
        <is>
          <t>FOOTWEAR</t>
        </is>
      </c>
      <c r="F28" s="2" t="inlineStr">
        <is>
          <t>64029910</t>
        </is>
      </c>
      <c r="G28" s="2" t="inlineStr"/>
      <c r="H28" s="2" t="inlineStr"/>
      <c r="I28" s="2" t="inlineStr">
        <is>
          <t>CJ5258-100-M</t>
        </is>
      </c>
      <c r="J28" s="2" t="inlineStr">
        <is>
          <t>CUSHION PHANTOM 2.0</t>
        </is>
      </c>
      <c r="K28" s="2" t="n">
        <v>4</v>
      </c>
      <c r="L28" s="2" t="n"/>
      <c r="M28" s="2" t="inlineStr"/>
      <c r="N28" s="2" t="inlineStr">
        <is>
          <t>USD</t>
        </is>
      </c>
      <c r="O28" s="3" t="n">
        <v>27.6</v>
      </c>
      <c r="P28" s="3" t="n">
        <v>110.4</v>
      </c>
      <c r="Q28" s="3">
        <f>O28*K28</f>
        <v/>
      </c>
      <c r="R28" s="3">
        <f>P28-Q28</f>
        <v/>
      </c>
      <c r="S28" s="3" t="n"/>
      <c r="T28" s="3" t="n"/>
      <c r="U28" s="3" t="n"/>
      <c r="V28" s="3" t="n"/>
      <c r="W28" s="3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64029910</t>
        </is>
      </c>
    </row>
    <row r="29">
      <c r="A29" s="2" t="n"/>
      <c r="B29" s="2" t="inlineStr"/>
      <c r="C29" s="2" t="inlineStr">
        <is>
          <t>0098813384</t>
        </is>
      </c>
      <c r="D29" s="2" t="inlineStr">
        <is>
          <t>2026-01-26</t>
        </is>
      </c>
      <c r="E29" s="2" t="inlineStr">
        <is>
          <t>FOOTWEAR</t>
        </is>
      </c>
      <c r="F29" s="2" t="inlineStr">
        <is>
          <t>64029910</t>
        </is>
      </c>
      <c r="G29" s="2" t="inlineStr"/>
      <c r="H29" s="2" t="inlineStr"/>
      <c r="I29" s="2" t="inlineStr">
        <is>
          <t>CJ5258-110-M</t>
        </is>
      </c>
      <c r="J29" s="2" t="inlineStr">
        <is>
          <t>CUSHION PHANTOM 2.0</t>
        </is>
      </c>
      <c r="K29" s="2" t="n">
        <v>4</v>
      </c>
      <c r="L29" s="2" t="n"/>
      <c r="M29" s="2" t="inlineStr"/>
      <c r="N29" s="2" t="inlineStr">
        <is>
          <t>USD</t>
        </is>
      </c>
      <c r="O29" s="3" t="n">
        <v>27.6</v>
      </c>
      <c r="P29" s="3" t="n">
        <v>110.4</v>
      </c>
      <c r="Q29" s="3">
        <f>O29*K29</f>
        <v/>
      </c>
      <c r="R29" s="3">
        <f>P29-Q29</f>
        <v/>
      </c>
      <c r="S29" s="3" t="n"/>
      <c r="T29" s="3" t="n"/>
      <c r="U29" s="3" t="n"/>
      <c r="V29" s="3" t="n"/>
      <c r="W29" s="3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inlineStr">
        <is>
          <t>64029910</t>
        </is>
      </c>
    </row>
    <row r="30">
      <c r="A30" s="2" t="n"/>
      <c r="B30" s="2" t="inlineStr"/>
      <c r="C30" s="2" t="inlineStr">
        <is>
          <t>0098813384</t>
        </is>
      </c>
      <c r="D30" s="2" t="inlineStr">
        <is>
          <t>2026-01-26</t>
        </is>
      </c>
      <c r="E30" s="2" t="inlineStr">
        <is>
          <t>FOOTWEAR</t>
        </is>
      </c>
      <c r="F30" s="2" t="inlineStr">
        <is>
          <t>64029910</t>
        </is>
      </c>
      <c r="G30" s="2" t="inlineStr"/>
      <c r="H30" s="2" t="inlineStr"/>
      <c r="I30" s="2" t="inlineStr">
        <is>
          <t>CJ5258-120-M</t>
        </is>
      </c>
      <c r="J30" s="2" t="inlineStr">
        <is>
          <t>CUSHION PHANTOM 2.0</t>
        </is>
      </c>
      <c r="K30" s="2" t="n">
        <v>2</v>
      </c>
      <c r="L30" s="2" t="n"/>
      <c r="M30" s="2" t="inlineStr"/>
      <c r="N30" s="2" t="inlineStr">
        <is>
          <t>USD</t>
        </is>
      </c>
      <c r="O30" s="3" t="n">
        <v>27.6</v>
      </c>
      <c r="P30" s="3" t="n">
        <v>55.2</v>
      </c>
      <c r="Q30" s="3">
        <f>O30*K30</f>
        <v/>
      </c>
      <c r="R30" s="3">
        <f>P30-Q30</f>
        <v/>
      </c>
      <c r="S30" s="3" t="n"/>
      <c r="T30" s="3" t="n"/>
      <c r="U30" s="3" t="n"/>
      <c r="V30" s="3" t="n"/>
      <c r="W30" s="3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64029910</t>
        </is>
      </c>
    </row>
    <row r="31">
      <c r="A31" s="2" t="n"/>
      <c r="B31" s="2" t="inlineStr"/>
      <c r="C31" s="2" t="inlineStr">
        <is>
          <t>0098813384</t>
        </is>
      </c>
      <c r="D31" s="2" t="inlineStr">
        <is>
          <t>2026-01-26</t>
        </is>
      </c>
      <c r="E31" s="2" t="inlineStr">
        <is>
          <t>Other Covering the ankle but not covering the knee</t>
        </is>
      </c>
      <c r="F31" s="2" t="inlineStr">
        <is>
          <t>64019290</t>
        </is>
      </c>
      <c r="G31" s="2" t="inlineStr"/>
      <c r="H31" s="2" t="inlineStr"/>
      <c r="I31" s="2" t="inlineStr">
        <is>
          <t>CJ8545-090-M</t>
        </is>
      </c>
      <c r="J31" s="2" t="inlineStr">
        <is>
          <t>FANNING H20</t>
        </is>
      </c>
      <c r="K31" s="2" t="n">
        <v>2</v>
      </c>
      <c r="L31" s="2" t="n"/>
      <c r="M31" s="2" t="inlineStr"/>
      <c r="N31" s="2" t="inlineStr">
        <is>
          <t>USD</t>
        </is>
      </c>
      <c r="O31" s="3" t="n">
        <v>18.4</v>
      </c>
      <c r="P31" s="3" t="n">
        <v>36.8</v>
      </c>
      <c r="Q31" s="3">
        <f>O31*K31</f>
        <v/>
      </c>
      <c r="R31" s="3">
        <f>P31-Q31</f>
        <v/>
      </c>
      <c r="S31" s="3" t="n"/>
      <c r="T31" s="3" t="n"/>
      <c r="U31" s="3" t="n"/>
      <c r="V31" s="3" t="n"/>
      <c r="W31" s="3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inlineStr">
        <is>
          <t>64019290</t>
        </is>
      </c>
    </row>
    <row r="32">
      <c r="A32" s="2" t="n"/>
      <c r="B32" s="2" t="inlineStr"/>
      <c r="C32" s="2" t="inlineStr">
        <is>
          <t>0098813384</t>
        </is>
      </c>
      <c r="D32" s="2" t="inlineStr">
        <is>
          <t>2026-01-26</t>
        </is>
      </c>
      <c r="E32" s="2" t="inlineStr">
        <is>
          <t>Other Covering the ankle but not covering the knee</t>
        </is>
      </c>
      <c r="F32" s="2" t="inlineStr">
        <is>
          <t>64019290</t>
        </is>
      </c>
      <c r="G32" s="2" t="inlineStr"/>
      <c r="H32" s="2" t="inlineStr"/>
      <c r="I32" s="2" t="inlineStr">
        <is>
          <t>CJ8545-100-M</t>
        </is>
      </c>
      <c r="J32" s="2" t="inlineStr">
        <is>
          <t>FANNING H20</t>
        </is>
      </c>
      <c r="K32" s="2" t="n">
        <v>4</v>
      </c>
      <c r="L32" s="2" t="n"/>
      <c r="M32" s="2" t="inlineStr"/>
      <c r="N32" s="2" t="inlineStr">
        <is>
          <t>USD</t>
        </is>
      </c>
      <c r="O32" s="3" t="n">
        <v>18.4</v>
      </c>
      <c r="P32" s="3" t="n">
        <v>73.59999999999999</v>
      </c>
      <c r="Q32" s="3">
        <f>O32*K32</f>
        <v/>
      </c>
      <c r="R32" s="3">
        <f>P32-Q32</f>
        <v/>
      </c>
      <c r="S32" s="3" t="n"/>
      <c r="T32" s="3" t="n"/>
      <c r="U32" s="3" t="n"/>
      <c r="V32" s="3" t="n"/>
      <c r="W32" s="3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64019290</t>
        </is>
      </c>
    </row>
    <row r="33">
      <c r="A33" s="2" t="n"/>
      <c r="B33" s="2" t="inlineStr"/>
      <c r="C33" s="2" t="inlineStr">
        <is>
          <t>0098813384</t>
        </is>
      </c>
      <c r="D33" s="2" t="inlineStr">
        <is>
          <t>2026-01-26</t>
        </is>
      </c>
      <c r="E33" s="2" t="inlineStr">
        <is>
          <t>Other Covering the ankle but not covering the knee</t>
        </is>
      </c>
      <c r="F33" s="2" t="inlineStr">
        <is>
          <t>64019290</t>
        </is>
      </c>
      <c r="G33" s="2" t="inlineStr"/>
      <c r="H33" s="2" t="inlineStr"/>
      <c r="I33" s="2" t="inlineStr">
        <is>
          <t>CJ8545-110-M</t>
        </is>
      </c>
      <c r="J33" s="2" t="inlineStr">
        <is>
          <t>FANNING H20</t>
        </is>
      </c>
      <c r="K33" s="2" t="n">
        <v>4</v>
      </c>
      <c r="L33" s="2" t="n"/>
      <c r="M33" s="2" t="inlineStr"/>
      <c r="N33" s="2" t="inlineStr">
        <is>
          <t>USD</t>
        </is>
      </c>
      <c r="O33" s="3" t="n">
        <v>18.4</v>
      </c>
      <c r="P33" s="3" t="n">
        <v>73.59999999999999</v>
      </c>
      <c r="Q33" s="3">
        <f>O33*K33</f>
        <v/>
      </c>
      <c r="R33" s="3">
        <f>P33-Q33</f>
        <v/>
      </c>
      <c r="S33" s="3" t="n"/>
      <c r="T33" s="3" t="n"/>
      <c r="U33" s="3" t="n"/>
      <c r="V33" s="3" t="n"/>
      <c r="W33" s="3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inlineStr">
        <is>
          <t>64019290</t>
        </is>
      </c>
    </row>
    <row r="34">
      <c r="A34" s="2" t="n"/>
      <c r="B34" s="2" t="inlineStr"/>
      <c r="C34" s="2" t="inlineStr">
        <is>
          <t>0098813384</t>
        </is>
      </c>
      <c r="D34" s="2" t="inlineStr">
        <is>
          <t>2026-01-26</t>
        </is>
      </c>
      <c r="E34" s="2" t="inlineStr">
        <is>
          <t>Other Covering the ankle but not covering the knee</t>
        </is>
      </c>
      <c r="F34" s="2" t="inlineStr">
        <is>
          <t>64019290</t>
        </is>
      </c>
      <c r="G34" s="2" t="inlineStr"/>
      <c r="H34" s="2" t="inlineStr"/>
      <c r="I34" s="2" t="inlineStr">
        <is>
          <t>CJ8545-120-M</t>
        </is>
      </c>
      <c r="J34" s="2" t="inlineStr">
        <is>
          <t>FANNING H20</t>
        </is>
      </c>
      <c r="K34" s="2" t="n">
        <v>2</v>
      </c>
      <c r="L34" s="2" t="n"/>
      <c r="M34" s="2" t="inlineStr"/>
      <c r="N34" s="2" t="inlineStr">
        <is>
          <t>USD</t>
        </is>
      </c>
      <c r="O34" s="3" t="n">
        <v>18.4</v>
      </c>
      <c r="P34" s="3" t="n">
        <v>36.8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64019290</t>
        </is>
      </c>
    </row>
    <row r="35">
      <c r="A35" s="2" t="n"/>
      <c r="B35" s="2" t="inlineStr"/>
      <c r="C35" s="2" t="inlineStr">
        <is>
          <t>0098813384</t>
        </is>
      </c>
      <c r="D35" s="2" t="inlineStr">
        <is>
          <t>2026-01-26</t>
        </is>
      </c>
      <c r="E35" s="2" t="inlineStr">
        <is>
          <t>Other Covering the ankle but not covering the knee</t>
        </is>
      </c>
      <c r="F35" s="2" t="inlineStr">
        <is>
          <t>64019290</t>
        </is>
      </c>
      <c r="G35" s="2" t="inlineStr"/>
      <c r="H35" s="2" t="inlineStr"/>
      <c r="I35" s="2" t="inlineStr">
        <is>
          <t>CJ8548-090-M</t>
        </is>
      </c>
      <c r="J35" s="2" t="inlineStr">
        <is>
          <t>FANNING H20</t>
        </is>
      </c>
      <c r="K35" s="2" t="n">
        <v>1</v>
      </c>
      <c r="L35" s="2" t="n"/>
      <c r="M35" s="2" t="inlineStr"/>
      <c r="N35" s="2" t="inlineStr">
        <is>
          <t>USD</t>
        </is>
      </c>
      <c r="O35" s="3" t="n">
        <v>18.4</v>
      </c>
      <c r="P35" s="3" t="n">
        <v>18.4</v>
      </c>
      <c r="Q35" s="3">
        <f>O35*K35</f>
        <v/>
      </c>
      <c r="R35" s="3">
        <f>P35-Q35</f>
        <v/>
      </c>
      <c r="S35" s="3" t="n"/>
      <c r="T35" s="3" t="n"/>
      <c r="U35" s="3" t="n"/>
      <c r="V35" s="3" t="n"/>
      <c r="W35" s="3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inlineStr">
        <is>
          <t>64019290</t>
        </is>
      </c>
    </row>
    <row r="36">
      <c r="A36" s="2" t="n"/>
      <c r="B36" s="2" t="inlineStr"/>
      <c r="C36" s="2" t="inlineStr">
        <is>
          <t>0098813384</t>
        </is>
      </c>
      <c r="D36" s="2" t="inlineStr">
        <is>
          <t>2026-01-26</t>
        </is>
      </c>
      <c r="E36" s="2" t="inlineStr">
        <is>
          <t>Other Covering the ankle but not covering the knee</t>
        </is>
      </c>
      <c r="F36" s="2" t="inlineStr">
        <is>
          <t>64019290</t>
        </is>
      </c>
      <c r="G36" s="2" t="inlineStr"/>
      <c r="H36" s="2" t="inlineStr"/>
      <c r="I36" s="2" t="inlineStr">
        <is>
          <t>CJ8548-100-M</t>
        </is>
      </c>
      <c r="J36" s="2" t="inlineStr">
        <is>
          <t>FANNING H20</t>
        </is>
      </c>
      <c r="K36" s="2" t="n">
        <v>3</v>
      </c>
      <c r="L36" s="2" t="n"/>
      <c r="M36" s="2" t="inlineStr"/>
      <c r="N36" s="2" t="inlineStr">
        <is>
          <t>USD</t>
        </is>
      </c>
      <c r="O36" s="3" t="n">
        <v>18.4</v>
      </c>
      <c r="P36" s="3" t="n">
        <v>55.2</v>
      </c>
      <c r="Q36" s="3">
        <f>O36*K36</f>
        <v/>
      </c>
      <c r="R36" s="3">
        <f>P36-Q36</f>
        <v/>
      </c>
      <c r="S36" s="3" t="n"/>
      <c r="T36" s="3" t="n"/>
      <c r="U36" s="3" t="n"/>
      <c r="V36" s="3" t="n"/>
      <c r="W36" s="3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inlineStr">
        <is>
          <t>64019290</t>
        </is>
      </c>
    </row>
    <row r="37">
      <c r="A37" s="2" t="n"/>
      <c r="B37" s="2" t="inlineStr"/>
      <c r="C37" s="2" t="inlineStr">
        <is>
          <t>0098813384</t>
        </is>
      </c>
      <c r="D37" s="2" t="inlineStr">
        <is>
          <t>2026-01-26</t>
        </is>
      </c>
      <c r="E37" s="2" t="inlineStr">
        <is>
          <t>Other Covering the ankle but not covering the knee</t>
        </is>
      </c>
      <c r="F37" s="2" t="inlineStr">
        <is>
          <t>64019290</t>
        </is>
      </c>
      <c r="G37" s="2" t="inlineStr"/>
      <c r="H37" s="2" t="inlineStr"/>
      <c r="I37" s="2" t="inlineStr">
        <is>
          <t>CJ8548-110-M</t>
        </is>
      </c>
      <c r="J37" s="2" t="inlineStr">
        <is>
          <t>FANNING H20</t>
        </is>
      </c>
      <c r="K37" s="2" t="n">
        <v>3</v>
      </c>
      <c r="L37" s="2" t="n"/>
      <c r="M37" s="2" t="inlineStr"/>
      <c r="N37" s="2" t="inlineStr">
        <is>
          <t>USD</t>
        </is>
      </c>
      <c r="O37" s="3" t="n">
        <v>18.4</v>
      </c>
      <c r="P37" s="3" t="n">
        <v>55.2</v>
      </c>
      <c r="Q37" s="3">
        <f>O37*K37</f>
        <v/>
      </c>
      <c r="R37" s="3">
        <f>P37-Q37</f>
        <v/>
      </c>
      <c r="S37" s="3" t="n"/>
      <c r="T37" s="3" t="n"/>
      <c r="U37" s="3" t="n"/>
      <c r="V37" s="3" t="n"/>
      <c r="W37" s="3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inlineStr">
        <is>
          <t>64019290</t>
        </is>
      </c>
    </row>
    <row r="38">
      <c r="A38" s="2" t="n"/>
      <c r="B38" s="2" t="inlineStr"/>
      <c r="C38" s="2" t="inlineStr">
        <is>
          <t>0098813384</t>
        </is>
      </c>
      <c r="D38" s="2" t="inlineStr">
        <is>
          <t>2026-01-26</t>
        </is>
      </c>
      <c r="E38" s="2" t="inlineStr">
        <is>
          <t>Other Covering the ankle but not covering the knee</t>
        </is>
      </c>
      <c r="F38" s="2" t="inlineStr">
        <is>
          <t>64019290</t>
        </is>
      </c>
      <c r="G38" s="2" t="inlineStr"/>
      <c r="H38" s="2" t="inlineStr"/>
      <c r="I38" s="2" t="inlineStr">
        <is>
          <t>CJ8548-120-M</t>
        </is>
      </c>
      <c r="J38" s="2" t="inlineStr">
        <is>
          <t>FANNING H20</t>
        </is>
      </c>
      <c r="K38" s="2" t="n">
        <v>1</v>
      </c>
      <c r="L38" s="2" t="n"/>
      <c r="M38" s="2" t="inlineStr"/>
      <c r="N38" s="2" t="inlineStr">
        <is>
          <t>USD</t>
        </is>
      </c>
      <c r="O38" s="3" t="n">
        <v>18.4</v>
      </c>
      <c r="P38" s="3" t="n">
        <v>18.4</v>
      </c>
      <c r="Q38" s="3">
        <f>O38*K38</f>
        <v/>
      </c>
      <c r="R38" s="3">
        <f>P38-Q38</f>
        <v/>
      </c>
      <c r="S38" s="3" t="n"/>
      <c r="T38" s="3" t="n"/>
      <c r="U38" s="3" t="n"/>
      <c r="V38" s="3" t="n"/>
      <c r="W38" s="3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inlineStr">
        <is>
          <t>64019290</t>
        </is>
      </c>
    </row>
    <row r="39">
      <c r="A39" s="2" t="n"/>
      <c r="B39" s="2" t="inlineStr"/>
      <c r="C39" s="2" t="inlineStr">
        <is>
          <t>0098813384</t>
        </is>
      </c>
      <c r="D39" s="2" t="inlineStr">
        <is>
          <t>2026-01-26</t>
        </is>
      </c>
      <c r="E39" s="2" t="inlineStr">
        <is>
          <t>FOOTWEAR</t>
        </is>
      </c>
      <c r="F39" s="2" t="inlineStr">
        <is>
          <t>64029910</t>
        </is>
      </c>
      <c r="G39" s="2" t="inlineStr"/>
      <c r="H39" s="2" t="inlineStr"/>
      <c r="I39" s="2" t="inlineStr">
        <is>
          <t>CJ7370-070-M</t>
        </is>
      </c>
      <c r="J39" s="2" t="inlineStr">
        <is>
          <t>VISTA LUXE THEA</t>
        </is>
      </c>
      <c r="K39" s="2" t="n">
        <v>2</v>
      </c>
      <c r="L39" s="2" t="n"/>
      <c r="M39" s="2" t="inlineStr"/>
      <c r="N39" s="2" t="inlineStr">
        <is>
          <t>USD</t>
        </is>
      </c>
      <c r="O39" s="3" t="n">
        <v>36.8</v>
      </c>
      <c r="P39" s="3" t="n">
        <v>73.59999999999999</v>
      </c>
      <c r="Q39" s="3">
        <f>O39*K39</f>
        <v/>
      </c>
      <c r="R39" s="3">
        <f>P39-Q39</f>
        <v/>
      </c>
      <c r="S39" s="3" t="n"/>
      <c r="T39" s="3" t="n"/>
      <c r="U39" s="3" t="n"/>
      <c r="V39" s="3" t="n"/>
      <c r="W39" s="3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inlineStr">
        <is>
          <t>64029910</t>
        </is>
      </c>
    </row>
    <row r="40">
      <c r="A40" s="2" t="n"/>
      <c r="B40" s="2" t="inlineStr"/>
      <c r="C40" s="2" t="inlineStr">
        <is>
          <t>0098813384</t>
        </is>
      </c>
      <c r="D40" s="2" t="inlineStr">
        <is>
          <t>2026-01-26</t>
        </is>
      </c>
      <c r="E40" s="2" t="inlineStr">
        <is>
          <t>FOOTWEAR</t>
        </is>
      </c>
      <c r="F40" s="2" t="inlineStr">
        <is>
          <t>64029910</t>
        </is>
      </c>
      <c r="G40" s="2" t="inlineStr"/>
      <c r="H40" s="2" t="inlineStr"/>
      <c r="I40" s="2" t="inlineStr">
        <is>
          <t>CJ7370-080-M</t>
        </is>
      </c>
      <c r="J40" s="2" t="inlineStr">
        <is>
          <t>VISTA LUXE THEA</t>
        </is>
      </c>
      <c r="K40" s="2" t="n">
        <v>2</v>
      </c>
      <c r="L40" s="2" t="n"/>
      <c r="M40" s="2" t="inlineStr"/>
      <c r="N40" s="2" t="inlineStr">
        <is>
          <t>USD</t>
        </is>
      </c>
      <c r="O40" s="3" t="n">
        <v>36.8</v>
      </c>
      <c r="P40" s="3" t="n">
        <v>73.59999999999999</v>
      </c>
      <c r="Q40" s="3">
        <f>O40*K40</f>
        <v/>
      </c>
      <c r="R40" s="3">
        <f>P40-Q40</f>
        <v/>
      </c>
      <c r="S40" s="3" t="n"/>
      <c r="T40" s="3" t="n"/>
      <c r="U40" s="3" t="n"/>
      <c r="V40" s="3" t="n"/>
      <c r="W40" s="3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inlineStr">
        <is>
          <t>64029910</t>
        </is>
      </c>
    </row>
    <row r="41">
      <c r="A41" s="2" t="n"/>
      <c r="B41" s="2" t="inlineStr"/>
      <c r="C41" s="2" t="inlineStr">
        <is>
          <t>0098813384</t>
        </is>
      </c>
      <c r="D41" s="2" t="inlineStr">
        <is>
          <t>2026-01-26</t>
        </is>
      </c>
      <c r="E41" s="2" t="inlineStr">
        <is>
          <t>FOOTWEAR</t>
        </is>
      </c>
      <c r="F41" s="2" t="inlineStr">
        <is>
          <t>64029910</t>
        </is>
      </c>
      <c r="G41" s="2" t="inlineStr"/>
      <c r="H41" s="2" t="inlineStr"/>
      <c r="I41" s="2" t="inlineStr">
        <is>
          <t>CJ7370-090-M</t>
        </is>
      </c>
      <c r="J41" s="2" t="inlineStr">
        <is>
          <t>VISTA LUXE THEA</t>
        </is>
      </c>
      <c r="K41" s="2" t="n">
        <v>2</v>
      </c>
      <c r="L41" s="2" t="n"/>
      <c r="M41" s="2" t="inlineStr"/>
      <c r="N41" s="2" t="inlineStr">
        <is>
          <t>USD</t>
        </is>
      </c>
      <c r="O41" s="3" t="n">
        <v>36.8</v>
      </c>
      <c r="P41" s="3" t="n">
        <v>73.59999999999999</v>
      </c>
      <c r="Q41" s="3">
        <f>O41*K41</f>
        <v/>
      </c>
      <c r="R41" s="3">
        <f>P41-Q41</f>
        <v/>
      </c>
      <c r="S41" s="3" t="n"/>
      <c r="T41" s="3" t="n"/>
      <c r="U41" s="3" t="n"/>
      <c r="V41" s="3" t="n"/>
      <c r="W41" s="3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inlineStr">
        <is>
          <t>64029910</t>
        </is>
      </c>
    </row>
    <row r="42">
      <c r="A42" s="2" t="n"/>
      <c r="B42" s="2" t="inlineStr"/>
      <c r="C42" s="2" t="inlineStr">
        <is>
          <t>0098813384</t>
        </is>
      </c>
      <c r="D42" s="2" t="inlineStr">
        <is>
          <t>2026-01-26</t>
        </is>
      </c>
      <c r="E42" s="2" t="inlineStr">
        <is>
          <t>FOOTWEAR</t>
        </is>
      </c>
      <c r="F42" s="2" t="inlineStr">
        <is>
          <t>64029910</t>
        </is>
      </c>
      <c r="G42" s="2" t="inlineStr"/>
      <c r="H42" s="2" t="inlineStr"/>
      <c r="I42" s="2" t="inlineStr">
        <is>
          <t>CJ7370-100-M</t>
        </is>
      </c>
      <c r="J42" s="2" t="inlineStr">
        <is>
          <t>VISTA LUXE THEA</t>
        </is>
      </c>
      <c r="K42" s="2" t="n">
        <v>2</v>
      </c>
      <c r="L42" s="2" t="n"/>
      <c r="M42" s="2" t="inlineStr"/>
      <c r="N42" s="2" t="inlineStr">
        <is>
          <t>USD</t>
        </is>
      </c>
      <c r="O42" s="3" t="n">
        <v>36.8</v>
      </c>
      <c r="P42" s="3" t="n">
        <v>73.59999999999999</v>
      </c>
      <c r="Q42" s="3">
        <f>O42*K42</f>
        <v/>
      </c>
      <c r="R42" s="3">
        <f>P42-Q42</f>
        <v/>
      </c>
      <c r="S42" s="3" t="n"/>
      <c r="T42" s="3" t="n"/>
      <c r="U42" s="3" t="n"/>
      <c r="V42" s="3" t="n"/>
      <c r="W42" s="3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64029910</t>
        </is>
      </c>
    </row>
    <row r="43">
      <c r="A43" s="2" t="n"/>
      <c r="B43" s="2" t="inlineStr"/>
      <c r="C43" s="2" t="inlineStr">
        <is>
          <t>0098813384</t>
        </is>
      </c>
      <c r="D43" s="2" t="inlineStr">
        <is>
          <t>2026-01-26</t>
        </is>
      </c>
      <c r="E43" s="2" t="inlineStr">
        <is>
          <t>FOOTWEAR</t>
        </is>
      </c>
      <c r="F43" s="2" t="inlineStr">
        <is>
          <t>64029910</t>
        </is>
      </c>
      <c r="G43" s="2" t="inlineStr"/>
      <c r="H43" s="2" t="inlineStr"/>
      <c r="I43" s="2" t="inlineStr">
        <is>
          <t>CJ7370-110-M</t>
        </is>
      </c>
      <c r="J43" s="2" t="inlineStr">
        <is>
          <t>VISTA LUXE THEA</t>
        </is>
      </c>
      <c r="K43" s="2" t="n">
        <v>1</v>
      </c>
      <c r="L43" s="2" t="n"/>
      <c r="M43" s="2" t="inlineStr"/>
      <c r="N43" s="2" t="inlineStr">
        <is>
          <t>USD</t>
        </is>
      </c>
      <c r="O43" s="3" t="n">
        <v>36.8</v>
      </c>
      <c r="P43" s="3" t="n">
        <v>36.8</v>
      </c>
      <c r="Q43" s="3">
        <f>O43*K43</f>
        <v/>
      </c>
      <c r="R43" s="3">
        <f>P43-Q43</f>
        <v/>
      </c>
      <c r="S43" s="3" t="n"/>
      <c r="T43" s="3" t="n"/>
      <c r="U43" s="3" t="n"/>
      <c r="V43" s="3" t="n"/>
      <c r="W43" s="3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inlineStr">
        <is>
          <t>64029910</t>
        </is>
      </c>
    </row>
    <row r="44">
      <c r="A44" s="2" t="n"/>
      <c r="B44" s="2" t="inlineStr"/>
      <c r="C44" s="2" t="inlineStr">
        <is>
          <t>0098813384</t>
        </is>
      </c>
      <c r="D44" s="2" t="inlineStr">
        <is>
          <t>2026-01-26</t>
        </is>
      </c>
      <c r="E44" s="2" t="inlineStr">
        <is>
          <t>Singlets and other vests</t>
        </is>
      </c>
      <c r="F44" s="2" t="inlineStr">
        <is>
          <t>61091020</t>
        </is>
      </c>
      <c r="G44" s="2" t="inlineStr"/>
      <c r="H44" s="2" t="inlineStr"/>
      <c r="I44" s="2" t="inlineStr">
        <is>
          <t>CJ8733-070-M</t>
        </is>
      </c>
      <c r="J44" s="2" t="inlineStr">
        <is>
          <t>SUNNY ALISAH</t>
        </is>
      </c>
      <c r="K44" s="2" t="n">
        <v>2</v>
      </c>
      <c r="L44" s="2" t="n"/>
      <c r="M44" s="2" t="inlineStr"/>
      <c r="N44" s="2" t="inlineStr">
        <is>
          <t>USD</t>
        </is>
      </c>
      <c r="O44" s="3" t="n">
        <v>32.2</v>
      </c>
      <c r="P44" s="3" t="n">
        <v>64.40000000000001</v>
      </c>
      <c r="Q44" s="3">
        <f>O44*K44</f>
        <v/>
      </c>
      <c r="R44" s="3">
        <f>P44-Q44</f>
        <v/>
      </c>
      <c r="S44" s="3" t="n"/>
      <c r="T44" s="3" t="n"/>
      <c r="U44" s="3" t="n"/>
      <c r="V44" s="3" t="n"/>
      <c r="W44" s="3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inlineStr">
        <is>
          <t>61091020</t>
        </is>
      </c>
    </row>
    <row r="45">
      <c r="A45" s="2" t="n"/>
      <c r="B45" s="2" t="inlineStr"/>
      <c r="C45" s="2" t="inlineStr">
        <is>
          <t>0098813384</t>
        </is>
      </c>
      <c r="D45" s="2" t="inlineStr">
        <is>
          <t>2026-01-26</t>
        </is>
      </c>
      <c r="E45" s="2" t="inlineStr">
        <is>
          <t>Singlets and other vests</t>
        </is>
      </c>
      <c r="F45" s="2" t="inlineStr">
        <is>
          <t>61091020</t>
        </is>
      </c>
      <c r="G45" s="2" t="inlineStr"/>
      <c r="H45" s="2" t="inlineStr"/>
      <c r="I45" s="2" t="inlineStr">
        <is>
          <t>CJ8733-080-M</t>
        </is>
      </c>
      <c r="J45" s="2" t="inlineStr">
        <is>
          <t>SUNNY ALISAH</t>
        </is>
      </c>
      <c r="K45" s="2" t="n">
        <v>2</v>
      </c>
      <c r="L45" s="2" t="n"/>
      <c r="M45" s="2" t="inlineStr"/>
      <c r="N45" s="2" t="inlineStr">
        <is>
          <t>USD</t>
        </is>
      </c>
      <c r="O45" s="3" t="n">
        <v>32.2</v>
      </c>
      <c r="P45" s="3" t="n">
        <v>64.40000000000001</v>
      </c>
      <c r="Q45" s="3">
        <f>O45*K45</f>
        <v/>
      </c>
      <c r="R45" s="3">
        <f>P45-Q45</f>
        <v/>
      </c>
      <c r="S45" s="3" t="n"/>
      <c r="T45" s="3" t="n"/>
      <c r="U45" s="3" t="n"/>
      <c r="V45" s="3" t="n"/>
      <c r="W45" s="3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inlineStr">
        <is>
          <t>61091020</t>
        </is>
      </c>
    </row>
    <row r="46">
      <c r="A46" s="2" t="n"/>
      <c r="B46" s="2" t="inlineStr"/>
      <c r="C46" s="2" t="inlineStr">
        <is>
          <t>0098813384</t>
        </is>
      </c>
      <c r="D46" s="2" t="inlineStr">
        <is>
          <t>2026-01-26</t>
        </is>
      </c>
      <c r="E46" s="2" t="inlineStr">
        <is>
          <t>Singlets and other vests</t>
        </is>
      </c>
      <c r="F46" s="2" t="inlineStr">
        <is>
          <t>61091020</t>
        </is>
      </c>
      <c r="G46" s="2" t="inlineStr"/>
      <c r="H46" s="2" t="inlineStr"/>
      <c r="I46" s="2" t="inlineStr">
        <is>
          <t>CJ8733-090-M</t>
        </is>
      </c>
      <c r="J46" s="2" t="inlineStr">
        <is>
          <t>SUNNY ALISAH</t>
        </is>
      </c>
      <c r="K46" s="2" t="n">
        <v>2</v>
      </c>
      <c r="L46" s="2" t="n"/>
      <c r="M46" s="2" t="inlineStr"/>
      <c r="N46" s="2" t="inlineStr">
        <is>
          <t>USD</t>
        </is>
      </c>
      <c r="O46" s="3" t="n">
        <v>32.2</v>
      </c>
      <c r="P46" s="3" t="n">
        <v>64.40000000000001</v>
      </c>
      <c r="Q46" s="3">
        <f>O46*K46</f>
        <v/>
      </c>
      <c r="R46" s="3">
        <f>P46-Q46</f>
        <v/>
      </c>
      <c r="S46" s="3" t="n"/>
      <c r="T46" s="3" t="n"/>
      <c r="U46" s="3" t="n"/>
      <c r="V46" s="3" t="n"/>
      <c r="W46" s="3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inlineStr">
        <is>
          <t>61091020</t>
        </is>
      </c>
    </row>
    <row r="47">
      <c r="A47" s="2" t="n"/>
      <c r="B47" s="2" t="inlineStr"/>
      <c r="C47" s="2" t="inlineStr">
        <is>
          <t>0098813384</t>
        </is>
      </c>
      <c r="D47" s="2" t="inlineStr">
        <is>
          <t>2026-01-26</t>
        </is>
      </c>
      <c r="E47" s="2" t="inlineStr">
        <is>
          <t>Singlets and other vests</t>
        </is>
      </c>
      <c r="F47" s="2" t="inlineStr">
        <is>
          <t>61091020</t>
        </is>
      </c>
      <c r="G47" s="2" t="inlineStr"/>
      <c r="H47" s="2" t="inlineStr"/>
      <c r="I47" s="2" t="inlineStr">
        <is>
          <t>CJ8733-100-M</t>
        </is>
      </c>
      <c r="J47" s="2" t="inlineStr">
        <is>
          <t>SUNNY ALISAH</t>
        </is>
      </c>
      <c r="K47" s="2" t="n">
        <v>2</v>
      </c>
      <c r="L47" s="2" t="n"/>
      <c r="M47" s="2" t="inlineStr"/>
      <c r="N47" s="2" t="inlineStr">
        <is>
          <t>USD</t>
        </is>
      </c>
      <c r="O47" s="3" t="n">
        <v>32.2</v>
      </c>
      <c r="P47" s="3" t="n">
        <v>64.40000000000001</v>
      </c>
      <c r="Q47" s="3">
        <f>O47*K47</f>
        <v/>
      </c>
      <c r="R47" s="3">
        <f>P47-Q47</f>
        <v/>
      </c>
      <c r="S47" s="3" t="n"/>
      <c r="T47" s="3" t="n"/>
      <c r="U47" s="3" t="n"/>
      <c r="V47" s="3" t="n"/>
      <c r="W47" s="3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61091020</t>
        </is>
      </c>
    </row>
    <row r="48">
      <c r="A48" s="2" t="n"/>
      <c r="B48" s="2" t="inlineStr"/>
      <c r="C48" s="2" t="inlineStr">
        <is>
          <t>0098813384</t>
        </is>
      </c>
      <c r="D48" s="2" t="inlineStr">
        <is>
          <t>2026-01-26</t>
        </is>
      </c>
      <c r="E48" s="2" t="inlineStr">
        <is>
          <t>Singlets and other vests</t>
        </is>
      </c>
      <c r="F48" s="2" t="inlineStr">
        <is>
          <t>61091020</t>
        </is>
      </c>
      <c r="G48" s="2" t="inlineStr"/>
      <c r="H48" s="2" t="inlineStr"/>
      <c r="I48" s="2" t="inlineStr">
        <is>
          <t>CJ8733-110-M</t>
        </is>
      </c>
      <c r="J48" s="2" t="inlineStr">
        <is>
          <t>SUNNY ALISAH</t>
        </is>
      </c>
      <c r="K48" s="2" t="n">
        <v>1</v>
      </c>
      <c r="L48" s="2" t="n"/>
      <c r="M48" s="2" t="inlineStr"/>
      <c r="N48" s="2" t="inlineStr">
        <is>
          <t>USD</t>
        </is>
      </c>
      <c r="O48" s="3" t="n">
        <v>32.2</v>
      </c>
      <c r="P48" s="3" t="n">
        <v>32.2</v>
      </c>
      <c r="Q48" s="3">
        <f>O48*K48</f>
        <v/>
      </c>
      <c r="R48" s="3">
        <f>P48-Q48</f>
        <v/>
      </c>
      <c r="S48" s="3" t="n"/>
      <c r="T48" s="3" t="n"/>
      <c r="U48" s="3" t="n"/>
      <c r="V48" s="3" t="n"/>
      <c r="W48" s="3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inlineStr">
        <is>
          <t>61091020</t>
        </is>
      </c>
    </row>
    <row r="49">
      <c r="A49" s="2" t="n"/>
      <c r="B49" s="2" t="inlineStr"/>
      <c r="C49" s="2" t="inlineStr">
        <is>
          <t>0098813384</t>
        </is>
      </c>
      <c r="D49" s="2" t="inlineStr">
        <is>
          <t>2026-01-26</t>
        </is>
      </c>
      <c r="E49" s="2" t="inlineStr">
        <is>
          <t>Singlets and other vests</t>
        </is>
      </c>
      <c r="F49" s="2" t="inlineStr">
        <is>
          <t>61091020</t>
        </is>
      </c>
      <c r="G49" s="2" t="inlineStr"/>
      <c r="H49" s="2" t="inlineStr"/>
      <c r="I49" s="2" t="inlineStr">
        <is>
          <t>CJ8588-070-M</t>
        </is>
      </c>
      <c r="J49" s="2" t="inlineStr">
        <is>
          <t>SUNNY FARRAH</t>
        </is>
      </c>
      <c r="K49" s="2" t="n">
        <v>2</v>
      </c>
      <c r="L49" s="2" t="n"/>
      <c r="M49" s="2" t="inlineStr"/>
      <c r="N49" s="2" t="inlineStr">
        <is>
          <t>USD</t>
        </is>
      </c>
      <c r="O49" s="3" t="n">
        <v>29.9</v>
      </c>
      <c r="P49" s="3" t="n">
        <v>59.8</v>
      </c>
      <c r="Q49" s="3">
        <f>O49*K49</f>
        <v/>
      </c>
      <c r="R49" s="3">
        <f>P49-Q49</f>
        <v/>
      </c>
      <c r="S49" s="3" t="n"/>
      <c r="T49" s="3" t="n"/>
      <c r="U49" s="3" t="n"/>
      <c r="V49" s="3" t="n"/>
      <c r="W49" s="3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inlineStr">
        <is>
          <t>61091020</t>
        </is>
      </c>
    </row>
    <row r="50">
      <c r="A50" s="2" t="n"/>
      <c r="B50" s="2" t="inlineStr"/>
      <c r="C50" s="2" t="inlineStr">
        <is>
          <t>0098813384</t>
        </is>
      </c>
      <c r="D50" s="2" t="inlineStr">
        <is>
          <t>2026-01-26</t>
        </is>
      </c>
      <c r="E50" s="2" t="inlineStr">
        <is>
          <t>Singlets and other vests</t>
        </is>
      </c>
      <c r="F50" s="2" t="inlineStr">
        <is>
          <t>61091020</t>
        </is>
      </c>
      <c r="G50" s="2" t="inlineStr"/>
      <c r="H50" s="2" t="inlineStr"/>
      <c r="I50" s="2" t="inlineStr">
        <is>
          <t>CJ8588-080-M</t>
        </is>
      </c>
      <c r="J50" s="2" t="inlineStr">
        <is>
          <t>SUNNY FARRAH</t>
        </is>
      </c>
      <c r="K50" s="2" t="n">
        <v>2</v>
      </c>
      <c r="L50" s="2" t="n"/>
      <c r="M50" s="2" t="inlineStr"/>
      <c r="N50" s="2" t="inlineStr">
        <is>
          <t>USD</t>
        </is>
      </c>
      <c r="O50" s="3" t="n">
        <v>29.9</v>
      </c>
      <c r="P50" s="3" t="n">
        <v>59.8</v>
      </c>
      <c r="Q50" s="3">
        <f>O50*K50</f>
        <v/>
      </c>
      <c r="R50" s="3">
        <f>P50-Q50</f>
        <v/>
      </c>
      <c r="S50" s="3" t="n"/>
      <c r="T50" s="3" t="n"/>
      <c r="U50" s="3" t="n"/>
      <c r="V50" s="3" t="n"/>
      <c r="W50" s="3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inlineStr">
        <is>
          <t>61091020</t>
        </is>
      </c>
    </row>
    <row r="51">
      <c r="A51" s="2" t="n"/>
      <c r="B51" s="2" t="inlineStr"/>
      <c r="C51" s="2" t="inlineStr">
        <is>
          <t>0098813384</t>
        </is>
      </c>
      <c r="D51" s="2" t="inlineStr">
        <is>
          <t>2026-01-26</t>
        </is>
      </c>
      <c r="E51" s="2" t="inlineStr">
        <is>
          <t>Singlets and other vests</t>
        </is>
      </c>
      <c r="F51" s="2" t="inlineStr">
        <is>
          <t>61091020</t>
        </is>
      </c>
      <c r="G51" s="2" t="inlineStr"/>
      <c r="H51" s="2" t="inlineStr"/>
      <c r="I51" s="2" t="inlineStr">
        <is>
          <t>CJ8588-090-M</t>
        </is>
      </c>
      <c r="J51" s="2" t="inlineStr">
        <is>
          <t>SUNNY FARRAH</t>
        </is>
      </c>
      <c r="K51" s="2" t="n">
        <v>2</v>
      </c>
      <c r="L51" s="2" t="n"/>
      <c r="M51" s="2" t="inlineStr"/>
      <c r="N51" s="2" t="inlineStr">
        <is>
          <t>USD</t>
        </is>
      </c>
      <c r="O51" s="3" t="n">
        <v>29.9</v>
      </c>
      <c r="P51" s="3" t="n">
        <v>59.8</v>
      </c>
      <c r="Q51" s="3">
        <f>O51*K51</f>
        <v/>
      </c>
      <c r="R51" s="3">
        <f>P51-Q51</f>
        <v/>
      </c>
      <c r="S51" s="3" t="n"/>
      <c r="T51" s="3" t="n"/>
      <c r="U51" s="3" t="n"/>
      <c r="V51" s="3" t="n"/>
      <c r="W51" s="3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61091020</t>
        </is>
      </c>
    </row>
    <row r="52">
      <c r="A52" s="2" t="n"/>
      <c r="B52" s="2" t="inlineStr"/>
      <c r="C52" s="2" t="inlineStr">
        <is>
          <t>0098813384</t>
        </is>
      </c>
      <c r="D52" s="2" t="inlineStr">
        <is>
          <t>2026-01-26</t>
        </is>
      </c>
      <c r="E52" s="2" t="inlineStr">
        <is>
          <t>Singlets and other vests</t>
        </is>
      </c>
      <c r="F52" s="2" t="inlineStr">
        <is>
          <t>61091020</t>
        </is>
      </c>
      <c r="G52" s="2" t="inlineStr"/>
      <c r="H52" s="2" t="inlineStr"/>
      <c r="I52" s="2" t="inlineStr">
        <is>
          <t>CJ8588-100-M</t>
        </is>
      </c>
      <c r="J52" s="2" t="inlineStr">
        <is>
          <t>SUNNY FARRAH</t>
        </is>
      </c>
      <c r="K52" s="2" t="n">
        <v>2</v>
      </c>
      <c r="L52" s="2" t="n"/>
      <c r="M52" s="2" t="inlineStr"/>
      <c r="N52" s="2" t="inlineStr">
        <is>
          <t>USD</t>
        </is>
      </c>
      <c r="O52" s="3" t="n">
        <v>29.9</v>
      </c>
      <c r="P52" s="3" t="n">
        <v>59.8</v>
      </c>
      <c r="Q52" s="3">
        <f>O52*K52</f>
        <v/>
      </c>
      <c r="R52" s="3">
        <f>P52-Q52</f>
        <v/>
      </c>
      <c r="S52" s="3" t="n"/>
      <c r="T52" s="3" t="n"/>
      <c r="U52" s="3" t="n"/>
      <c r="V52" s="3" t="n"/>
      <c r="W52" s="3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inlineStr">
        <is>
          <t>61091020</t>
        </is>
      </c>
    </row>
    <row r="53">
      <c r="A53" s="2" t="n"/>
      <c r="B53" s="2" t="inlineStr"/>
      <c r="C53" s="2" t="inlineStr">
        <is>
          <t>0098813384</t>
        </is>
      </c>
      <c r="D53" s="2" t="inlineStr">
        <is>
          <t>2026-01-26</t>
        </is>
      </c>
      <c r="E53" s="2" t="inlineStr">
        <is>
          <t>Singlets and other vests</t>
        </is>
      </c>
      <c r="F53" s="2" t="inlineStr">
        <is>
          <t>61091020</t>
        </is>
      </c>
      <c r="G53" s="2" t="inlineStr"/>
      <c r="H53" s="2" t="inlineStr"/>
      <c r="I53" s="2" t="inlineStr">
        <is>
          <t>CJ8588-110-M</t>
        </is>
      </c>
      <c r="J53" s="2" t="inlineStr">
        <is>
          <t>SUNNY FARRAH</t>
        </is>
      </c>
      <c r="K53" s="2" t="n">
        <v>1</v>
      </c>
      <c r="L53" s="2" t="n"/>
      <c r="M53" s="2" t="inlineStr"/>
      <c r="N53" s="2" t="inlineStr">
        <is>
          <t>USD</t>
        </is>
      </c>
      <c r="O53" s="3" t="n">
        <v>29.9</v>
      </c>
      <c r="P53" s="3" t="n">
        <v>29.9</v>
      </c>
      <c r="Q53" s="3">
        <f>O53*K53</f>
        <v/>
      </c>
      <c r="R53" s="3">
        <f>P53-Q53</f>
        <v/>
      </c>
      <c r="S53" s="3" t="n"/>
      <c r="T53" s="3" t="n"/>
      <c r="U53" s="3" t="n"/>
      <c r="V53" s="3" t="n"/>
      <c r="W53" s="3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inlineStr">
        <is>
          <t>61091020</t>
        </is>
      </c>
    </row>
    <row r="54">
      <c r="A54" s="2" t="n"/>
      <c r="B54" s="2" t="inlineStr"/>
      <c r="C54" s="2" t="inlineStr">
        <is>
          <t>0098813384</t>
        </is>
      </c>
      <c r="D54" s="2" t="inlineStr">
        <is>
          <t>2026-01-26</t>
        </is>
      </c>
      <c r="E54" s="2" t="inlineStr">
        <is>
          <t>Singlets and other vests</t>
        </is>
      </c>
      <c r="F54" s="2" t="inlineStr">
        <is>
          <t>61091020</t>
        </is>
      </c>
      <c r="G54" s="2" t="inlineStr"/>
      <c r="H54" s="2" t="inlineStr"/>
      <c r="I54" s="2" t="inlineStr">
        <is>
          <t>CJ8587-070-M</t>
        </is>
      </c>
      <c r="J54" s="2" t="inlineStr">
        <is>
          <t>SUNNY FARRAH</t>
        </is>
      </c>
      <c r="K54" s="2" t="n">
        <v>2</v>
      </c>
      <c r="L54" s="2" t="n"/>
      <c r="M54" s="2" t="inlineStr"/>
      <c r="N54" s="2" t="inlineStr">
        <is>
          <t>USD</t>
        </is>
      </c>
      <c r="O54" s="3" t="n">
        <v>29.9</v>
      </c>
      <c r="P54" s="3" t="n">
        <v>59.8</v>
      </c>
      <c r="Q54" s="3">
        <f>O54*K54</f>
        <v/>
      </c>
      <c r="R54" s="3">
        <f>P54-Q54</f>
        <v/>
      </c>
      <c r="S54" s="3" t="n"/>
      <c r="T54" s="3" t="n"/>
      <c r="U54" s="3" t="n"/>
      <c r="V54" s="3" t="n"/>
      <c r="W54" s="3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61091020</t>
        </is>
      </c>
    </row>
    <row r="55">
      <c r="A55" s="2" t="n"/>
      <c r="B55" s="2" t="inlineStr"/>
      <c r="C55" s="2" t="inlineStr">
        <is>
          <t>0098813384</t>
        </is>
      </c>
      <c r="D55" s="2" t="inlineStr">
        <is>
          <t>2026-01-26</t>
        </is>
      </c>
      <c r="E55" s="2" t="inlineStr">
        <is>
          <t>Singlets and other vests</t>
        </is>
      </c>
      <c r="F55" s="2" t="inlineStr">
        <is>
          <t>61091020</t>
        </is>
      </c>
      <c r="G55" s="2" t="inlineStr"/>
      <c r="H55" s="2" t="inlineStr"/>
      <c r="I55" s="2" t="inlineStr">
        <is>
          <t>CJ8587-080-M</t>
        </is>
      </c>
      <c r="J55" s="2" t="inlineStr">
        <is>
          <t>SUNNY FARRAH</t>
        </is>
      </c>
      <c r="K55" s="2" t="n">
        <v>2</v>
      </c>
      <c r="L55" s="2" t="n"/>
      <c r="M55" s="2" t="inlineStr"/>
      <c r="N55" s="2" t="inlineStr">
        <is>
          <t>USD</t>
        </is>
      </c>
      <c r="O55" s="3" t="n">
        <v>29.9</v>
      </c>
      <c r="P55" s="3" t="n">
        <v>59.8</v>
      </c>
      <c r="Q55" s="3">
        <f>O55*K55</f>
        <v/>
      </c>
      <c r="R55" s="3">
        <f>P55-Q55</f>
        <v/>
      </c>
      <c r="S55" s="3" t="n"/>
      <c r="T55" s="3" t="n"/>
      <c r="U55" s="3" t="n"/>
      <c r="V55" s="3" t="n"/>
      <c r="W55" s="3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inlineStr">
        <is>
          <t>61091020</t>
        </is>
      </c>
    </row>
    <row r="56">
      <c r="A56" s="2" t="n"/>
      <c r="B56" s="2" t="inlineStr"/>
      <c r="C56" s="2" t="inlineStr">
        <is>
          <t>0098813384</t>
        </is>
      </c>
      <c r="D56" s="2" t="inlineStr">
        <is>
          <t>2026-01-26</t>
        </is>
      </c>
      <c r="E56" s="2" t="inlineStr">
        <is>
          <t>Singlets and other vests</t>
        </is>
      </c>
      <c r="F56" s="2" t="inlineStr">
        <is>
          <t>61091020</t>
        </is>
      </c>
      <c r="G56" s="2" t="inlineStr"/>
      <c r="H56" s="2" t="inlineStr"/>
      <c r="I56" s="2" t="inlineStr">
        <is>
          <t>CJ8587-090-M</t>
        </is>
      </c>
      <c r="J56" s="2" t="inlineStr">
        <is>
          <t>SUNNY FARRAH</t>
        </is>
      </c>
      <c r="K56" s="2" t="n">
        <v>2</v>
      </c>
      <c r="L56" s="2" t="n"/>
      <c r="M56" s="2" t="inlineStr"/>
      <c r="N56" s="2" t="inlineStr">
        <is>
          <t>USD</t>
        </is>
      </c>
      <c r="O56" s="3" t="n">
        <v>29.9</v>
      </c>
      <c r="P56" s="3" t="n">
        <v>59.8</v>
      </c>
      <c r="Q56" s="3">
        <f>O56*K56</f>
        <v/>
      </c>
      <c r="R56" s="3">
        <f>P56-Q56</f>
        <v/>
      </c>
      <c r="S56" s="3" t="n"/>
      <c r="T56" s="3" t="n"/>
      <c r="U56" s="3" t="n"/>
      <c r="V56" s="3" t="n"/>
      <c r="W56" s="3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inlineStr">
        <is>
          <t>61091020</t>
        </is>
      </c>
    </row>
    <row r="57">
      <c r="A57" s="2" t="n"/>
      <c r="B57" s="2" t="inlineStr"/>
      <c r="C57" s="2" t="inlineStr">
        <is>
          <t>0098813384</t>
        </is>
      </c>
      <c r="D57" s="2" t="inlineStr">
        <is>
          <t>2026-01-26</t>
        </is>
      </c>
      <c r="E57" s="2" t="inlineStr">
        <is>
          <t>Singlets and other vests</t>
        </is>
      </c>
      <c r="F57" s="2" t="inlineStr">
        <is>
          <t>61091020</t>
        </is>
      </c>
      <c r="G57" s="2" t="inlineStr"/>
      <c r="H57" s="2" t="inlineStr"/>
      <c r="I57" s="2" t="inlineStr">
        <is>
          <t>CJ8587-100-M</t>
        </is>
      </c>
      <c r="J57" s="2" t="inlineStr">
        <is>
          <t>SUNNY FARRAH</t>
        </is>
      </c>
      <c r="K57" s="2" t="n">
        <v>2</v>
      </c>
      <c r="L57" s="2" t="n"/>
      <c r="M57" s="2" t="inlineStr"/>
      <c r="N57" s="2" t="inlineStr">
        <is>
          <t>USD</t>
        </is>
      </c>
      <c r="O57" s="3" t="n">
        <v>29.9</v>
      </c>
      <c r="P57" s="3" t="n">
        <v>59.8</v>
      </c>
      <c r="Q57" s="3">
        <f>O57*K57</f>
        <v/>
      </c>
      <c r="R57" s="3">
        <f>P57-Q57</f>
        <v/>
      </c>
      <c r="S57" s="3" t="n"/>
      <c r="T57" s="3" t="n"/>
      <c r="U57" s="3" t="n"/>
      <c r="V57" s="3" t="n"/>
      <c r="W57" s="3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inlineStr">
        <is>
          <t>61091020</t>
        </is>
      </c>
    </row>
    <row r="58">
      <c r="A58" s="2" t="n"/>
      <c r="B58" s="2" t="inlineStr"/>
      <c r="C58" s="2" t="inlineStr">
        <is>
          <t>0098813384</t>
        </is>
      </c>
      <c r="D58" s="2" t="inlineStr">
        <is>
          <t>2026-01-26</t>
        </is>
      </c>
      <c r="E58" s="2" t="inlineStr">
        <is>
          <t>Singlets and other vests</t>
        </is>
      </c>
      <c r="F58" s="2" t="inlineStr">
        <is>
          <t>61091020</t>
        </is>
      </c>
      <c r="G58" s="2" t="inlineStr"/>
      <c r="H58" s="2" t="inlineStr"/>
      <c r="I58" s="2" t="inlineStr">
        <is>
          <t>CJ8587-110-M</t>
        </is>
      </c>
      <c r="J58" s="2" t="inlineStr">
        <is>
          <t>SUNNY FARRAH</t>
        </is>
      </c>
      <c r="K58" s="2" t="n">
        <v>1</v>
      </c>
      <c r="L58" s="2" t="n"/>
      <c r="M58" s="2" t="inlineStr"/>
      <c r="N58" s="2" t="inlineStr">
        <is>
          <t>USD</t>
        </is>
      </c>
      <c r="O58" s="3" t="n">
        <v>29.9</v>
      </c>
      <c r="P58" s="3" t="n">
        <v>29.9</v>
      </c>
      <c r="Q58" s="3">
        <f>O58*K58</f>
        <v/>
      </c>
      <c r="R58" s="3">
        <f>P58-Q58</f>
        <v/>
      </c>
      <c r="S58" s="3" t="n"/>
      <c r="T58" s="3" t="n"/>
      <c r="U58" s="3" t="n"/>
      <c r="V58" s="3" t="n"/>
      <c r="W58" s="3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inlineStr">
        <is>
          <t>61091020</t>
        </is>
      </c>
    </row>
    <row r="59">
      <c r="A59" s="2" t="n"/>
      <c r="B59" s="2" t="inlineStr"/>
      <c r="C59" s="2" t="inlineStr">
        <is>
          <t>0098813384</t>
        </is>
      </c>
      <c r="D59" s="2" t="inlineStr">
        <is>
          <t>2026-01-26</t>
        </is>
      </c>
      <c r="E59" s="2" t="inlineStr">
        <is>
          <t>LIFE-JACKETS AND LIFE-BELTS</t>
        </is>
      </c>
      <c r="F59" s="2" t="inlineStr">
        <is>
          <t>94049000</t>
        </is>
      </c>
      <c r="G59" s="2" t="inlineStr"/>
      <c r="H59" s="2" t="inlineStr"/>
      <c r="I59" s="2" t="inlineStr">
        <is>
          <t>CJ8134-070-M</t>
        </is>
      </c>
      <c r="J59" s="2" t="inlineStr">
        <is>
          <t>CUSHION MELODY</t>
        </is>
      </c>
      <c r="K59" s="2" t="n">
        <v>2</v>
      </c>
      <c r="L59" s="2" t="n"/>
      <c r="M59" s="2" t="inlineStr"/>
      <c r="N59" s="2" t="inlineStr">
        <is>
          <t>USD</t>
        </is>
      </c>
      <c r="O59" s="3" t="n">
        <v>27.6</v>
      </c>
      <c r="P59" s="3" t="n">
        <v>55.2</v>
      </c>
      <c r="Q59" s="3">
        <f>O59*K59</f>
        <v/>
      </c>
      <c r="R59" s="3">
        <f>P59-Q59</f>
        <v/>
      </c>
      <c r="S59" s="3" t="n"/>
      <c r="T59" s="3" t="n"/>
      <c r="U59" s="3" t="n"/>
      <c r="V59" s="3" t="n"/>
      <c r="W59" s="3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inlineStr">
        <is>
          <t>94049000</t>
        </is>
      </c>
    </row>
    <row r="60">
      <c r="A60" s="2" t="n"/>
      <c r="B60" s="2" t="inlineStr"/>
      <c r="C60" s="2" t="inlineStr">
        <is>
          <t>0098813384</t>
        </is>
      </c>
      <c r="D60" s="2" t="inlineStr">
        <is>
          <t>2026-01-26</t>
        </is>
      </c>
      <c r="E60" s="2" t="inlineStr">
        <is>
          <t>LIFE-JACKETS AND LIFE-BELTS</t>
        </is>
      </c>
      <c r="F60" s="2" t="inlineStr">
        <is>
          <t>94049000</t>
        </is>
      </c>
      <c r="G60" s="2" t="inlineStr"/>
      <c r="H60" s="2" t="inlineStr"/>
      <c r="I60" s="2" t="inlineStr">
        <is>
          <t>CJ8134-080-M</t>
        </is>
      </c>
      <c r="J60" s="2" t="inlineStr">
        <is>
          <t>CUSHION MELODY</t>
        </is>
      </c>
      <c r="K60" s="2" t="n">
        <v>2</v>
      </c>
      <c r="L60" s="2" t="n"/>
      <c r="M60" s="2" t="inlineStr"/>
      <c r="N60" s="2" t="inlineStr">
        <is>
          <t>USD</t>
        </is>
      </c>
      <c r="O60" s="3" t="n">
        <v>27.6</v>
      </c>
      <c r="P60" s="3" t="n">
        <v>55.2</v>
      </c>
      <c r="Q60" s="3">
        <f>O60*K60</f>
        <v/>
      </c>
      <c r="R60" s="3">
        <f>P60-Q60</f>
        <v/>
      </c>
      <c r="S60" s="3" t="n"/>
      <c r="T60" s="3" t="n"/>
      <c r="U60" s="3" t="n"/>
      <c r="V60" s="3" t="n"/>
      <c r="W60" s="3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inlineStr">
        <is>
          <t>94049000</t>
        </is>
      </c>
    </row>
    <row r="61">
      <c r="A61" s="2" t="n"/>
      <c r="B61" s="2" t="inlineStr"/>
      <c r="C61" s="2" t="inlineStr">
        <is>
          <t>0098813384</t>
        </is>
      </c>
      <c r="D61" s="2" t="inlineStr">
        <is>
          <t>2026-01-26</t>
        </is>
      </c>
      <c r="E61" s="2" t="inlineStr">
        <is>
          <t>LIFE-JACKETS AND LIFE-BELTS</t>
        </is>
      </c>
      <c r="F61" s="2" t="inlineStr">
        <is>
          <t>94049000</t>
        </is>
      </c>
      <c r="G61" s="2" t="inlineStr"/>
      <c r="H61" s="2" t="inlineStr"/>
      <c r="I61" s="2" t="inlineStr">
        <is>
          <t>CJ8134-090-M</t>
        </is>
      </c>
      <c r="J61" s="2" t="inlineStr">
        <is>
          <t>CUSHION MELODY</t>
        </is>
      </c>
      <c r="K61" s="2" t="n">
        <v>2</v>
      </c>
      <c r="L61" s="2" t="n"/>
      <c r="M61" s="2" t="inlineStr"/>
      <c r="N61" s="2" t="inlineStr">
        <is>
          <t>USD</t>
        </is>
      </c>
      <c r="O61" s="3" t="n">
        <v>27.6</v>
      </c>
      <c r="P61" s="3" t="n">
        <v>55.2</v>
      </c>
      <c r="Q61" s="3">
        <f>O61*K61</f>
        <v/>
      </c>
      <c r="R61" s="3">
        <f>P61-Q61</f>
        <v/>
      </c>
      <c r="S61" s="3" t="n"/>
      <c r="T61" s="3" t="n"/>
      <c r="U61" s="3" t="n"/>
      <c r="V61" s="3" t="n"/>
      <c r="W61" s="3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inlineStr">
        <is>
          <t>94049000</t>
        </is>
      </c>
    </row>
    <row r="62">
      <c r="A62" s="2" t="n"/>
      <c r="B62" s="2" t="inlineStr"/>
      <c r="C62" s="2" t="inlineStr">
        <is>
          <t>0098813384</t>
        </is>
      </c>
      <c r="D62" s="2" t="inlineStr">
        <is>
          <t>2026-01-26</t>
        </is>
      </c>
      <c r="E62" s="2" t="inlineStr">
        <is>
          <t>LIFE-JACKETS AND LIFE-BELTS</t>
        </is>
      </c>
      <c r="F62" s="2" t="inlineStr">
        <is>
          <t>94049000</t>
        </is>
      </c>
      <c r="G62" s="2" t="inlineStr"/>
      <c r="H62" s="2" t="inlineStr"/>
      <c r="I62" s="2" t="inlineStr">
        <is>
          <t>CJ8134-100-M</t>
        </is>
      </c>
      <c r="J62" s="2" t="inlineStr">
        <is>
          <t>CUSHION MELODY</t>
        </is>
      </c>
      <c r="K62" s="2" t="n">
        <v>2</v>
      </c>
      <c r="L62" s="2" t="n"/>
      <c r="M62" s="2" t="inlineStr"/>
      <c r="N62" s="2" t="inlineStr">
        <is>
          <t>USD</t>
        </is>
      </c>
      <c r="O62" s="3" t="n">
        <v>27.6</v>
      </c>
      <c r="P62" s="3" t="n">
        <v>55.2</v>
      </c>
      <c r="Q62" s="3">
        <f>O62*K62</f>
        <v/>
      </c>
      <c r="R62" s="3">
        <f>P62-Q62</f>
        <v/>
      </c>
      <c r="S62" s="3" t="n"/>
      <c r="T62" s="3" t="n"/>
      <c r="U62" s="3" t="n"/>
      <c r="V62" s="3" t="n"/>
      <c r="W62" s="3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inlineStr">
        <is>
          <t>94049000</t>
        </is>
      </c>
    </row>
    <row r="63">
      <c r="A63" s="2" t="n"/>
      <c r="B63" s="2" t="inlineStr"/>
      <c r="C63" s="2" t="inlineStr">
        <is>
          <t>0098813384</t>
        </is>
      </c>
      <c r="D63" s="2" t="inlineStr">
        <is>
          <t>2026-01-26</t>
        </is>
      </c>
      <c r="E63" s="2" t="inlineStr">
        <is>
          <t>LIFE-JACKETS AND LIFE-BELTS</t>
        </is>
      </c>
      <c r="F63" s="2" t="inlineStr">
        <is>
          <t>94049000</t>
        </is>
      </c>
      <c r="G63" s="2" t="inlineStr"/>
      <c r="H63" s="2" t="inlineStr"/>
      <c r="I63" s="2" t="inlineStr">
        <is>
          <t>CJ8134-110-M</t>
        </is>
      </c>
      <c r="J63" s="2" t="inlineStr">
        <is>
          <t>CUSHION MELODY</t>
        </is>
      </c>
      <c r="K63" s="2" t="n">
        <v>1</v>
      </c>
      <c r="L63" s="2" t="n"/>
      <c r="M63" s="2" t="inlineStr"/>
      <c r="N63" s="2" t="inlineStr">
        <is>
          <t>USD</t>
        </is>
      </c>
      <c r="O63" s="3" t="n">
        <v>27.6</v>
      </c>
      <c r="P63" s="3" t="n">
        <v>27.6</v>
      </c>
      <c r="Q63" s="3">
        <f>O63*K63</f>
        <v/>
      </c>
      <c r="R63" s="3">
        <f>P63-Q63</f>
        <v/>
      </c>
      <c r="S63" s="3" t="n"/>
      <c r="T63" s="3" t="n"/>
      <c r="U63" s="3" t="n"/>
      <c r="V63" s="3" t="n"/>
      <c r="W63" s="3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inlineStr">
        <is>
          <t>94049000</t>
        </is>
      </c>
    </row>
    <row r="64">
      <c r="A64" s="2" t="n"/>
      <c r="B64" s="2" t="inlineStr"/>
      <c r="C64" s="2" t="inlineStr">
        <is>
          <t>0098813384</t>
        </is>
      </c>
      <c r="D64" s="2" t="inlineStr">
        <is>
          <t>2026-01-26</t>
        </is>
      </c>
      <c r="E64" s="2" t="inlineStr">
        <is>
          <t>Footwear</t>
        </is>
      </c>
      <c r="F64" s="2" t="inlineStr">
        <is>
          <t>06029090</t>
        </is>
      </c>
      <c r="G64" s="2" t="inlineStr"/>
      <c r="H64" s="2" t="inlineStr"/>
      <c r="I64" s="2" t="inlineStr">
        <is>
          <t>CJ7163-070-M</t>
        </is>
      </c>
      <c r="J64" s="2" t="inlineStr">
        <is>
          <t>WATER WILLOW MARINA</t>
        </is>
      </c>
      <c r="K64" s="2" t="n">
        <v>2</v>
      </c>
      <c r="L64" s="2" t="n"/>
      <c r="M64" s="2" t="inlineStr"/>
      <c r="N64" s="2" t="inlineStr">
        <is>
          <t>USD</t>
        </is>
      </c>
      <c r="O64" s="3" t="n">
        <v>20.7</v>
      </c>
      <c r="P64" s="3" t="n">
        <v>41.4</v>
      </c>
      <c r="Q64" s="3">
        <f>O64*K64</f>
        <v/>
      </c>
      <c r="R64" s="3">
        <f>P64-Q64</f>
        <v/>
      </c>
      <c r="S64" s="3" t="n"/>
      <c r="T64" s="3" t="n"/>
      <c r="U64" s="3" t="n"/>
      <c r="V64" s="3" t="n"/>
      <c r="W64" s="3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inlineStr">
        <is>
          <t>06029090</t>
        </is>
      </c>
    </row>
    <row r="65">
      <c r="A65" s="2" t="n"/>
      <c r="B65" s="2" t="inlineStr"/>
      <c r="C65" s="2" t="inlineStr">
        <is>
          <t>0098813384</t>
        </is>
      </c>
      <c r="D65" s="2" t="inlineStr">
        <is>
          <t>2026-01-26</t>
        </is>
      </c>
      <c r="E65" s="2" t="inlineStr">
        <is>
          <t>Footwear</t>
        </is>
      </c>
      <c r="F65" s="2" t="inlineStr">
        <is>
          <t>06029090</t>
        </is>
      </c>
      <c r="G65" s="2" t="inlineStr"/>
      <c r="H65" s="2" t="inlineStr"/>
      <c r="I65" s="2" t="inlineStr">
        <is>
          <t>CJ7163-080-M</t>
        </is>
      </c>
      <c r="J65" s="2" t="inlineStr">
        <is>
          <t>WATER WILLOW MARINA</t>
        </is>
      </c>
      <c r="K65" s="2" t="n">
        <v>2</v>
      </c>
      <c r="L65" s="2" t="n"/>
      <c r="M65" s="2" t="inlineStr"/>
      <c r="N65" s="2" t="inlineStr">
        <is>
          <t>USD</t>
        </is>
      </c>
      <c r="O65" s="3" t="n">
        <v>20.7</v>
      </c>
      <c r="P65" s="3" t="n">
        <v>41.4</v>
      </c>
      <c r="Q65" s="3">
        <f>O65*K65</f>
        <v/>
      </c>
      <c r="R65" s="3">
        <f>P65-Q65</f>
        <v/>
      </c>
      <c r="S65" s="3" t="n"/>
      <c r="T65" s="3" t="n"/>
      <c r="U65" s="3" t="n"/>
      <c r="V65" s="3" t="n"/>
      <c r="W65" s="3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inlineStr">
        <is>
          <t>06029090</t>
        </is>
      </c>
    </row>
    <row r="66">
      <c r="A66" s="2" t="n"/>
      <c r="B66" s="2" t="inlineStr"/>
      <c r="C66" s="2" t="inlineStr">
        <is>
          <t>0098813384</t>
        </is>
      </c>
      <c r="D66" s="2" t="inlineStr">
        <is>
          <t>2026-01-26</t>
        </is>
      </c>
      <c r="E66" s="2" t="inlineStr">
        <is>
          <t>Footwear</t>
        </is>
      </c>
      <c r="F66" s="2" t="inlineStr">
        <is>
          <t>06029090</t>
        </is>
      </c>
      <c r="G66" s="2" t="inlineStr"/>
      <c r="H66" s="2" t="inlineStr"/>
      <c r="I66" s="2" t="inlineStr">
        <is>
          <t>CJ7163-090-M</t>
        </is>
      </c>
      <c r="J66" s="2" t="inlineStr">
        <is>
          <t>WATER WILLOW MARINA</t>
        </is>
      </c>
      <c r="K66" s="2" t="n">
        <v>2</v>
      </c>
      <c r="L66" s="2" t="n"/>
      <c r="M66" s="2" t="inlineStr"/>
      <c r="N66" s="2" t="inlineStr">
        <is>
          <t>USD</t>
        </is>
      </c>
      <c r="O66" s="3" t="n">
        <v>20.7</v>
      </c>
      <c r="P66" s="3" t="n">
        <v>41.4</v>
      </c>
      <c r="Q66" s="3">
        <f>O66*K66</f>
        <v/>
      </c>
      <c r="R66" s="3">
        <f>P66-Q66</f>
        <v/>
      </c>
      <c r="S66" s="3" t="n"/>
      <c r="T66" s="3" t="n"/>
      <c r="U66" s="3" t="n"/>
      <c r="V66" s="3" t="n"/>
      <c r="W66" s="3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inlineStr">
        <is>
          <t>06029090</t>
        </is>
      </c>
    </row>
    <row r="67">
      <c r="A67" s="2" t="n"/>
      <c r="B67" s="2" t="inlineStr"/>
      <c r="C67" s="2" t="inlineStr">
        <is>
          <t>0098813384</t>
        </is>
      </c>
      <c r="D67" s="2" t="inlineStr">
        <is>
          <t>2026-01-26</t>
        </is>
      </c>
      <c r="E67" s="2" t="inlineStr">
        <is>
          <t>Footwear</t>
        </is>
      </c>
      <c r="F67" s="2" t="inlineStr">
        <is>
          <t>06029090</t>
        </is>
      </c>
      <c r="G67" s="2" t="inlineStr"/>
      <c r="H67" s="2" t="inlineStr"/>
      <c r="I67" s="2" t="inlineStr">
        <is>
          <t>CJ7163-100-M</t>
        </is>
      </c>
      <c r="J67" s="2" t="inlineStr">
        <is>
          <t>WATER WILLOW MARINA</t>
        </is>
      </c>
      <c r="K67" s="2" t="n">
        <v>2</v>
      </c>
      <c r="L67" s="2" t="n"/>
      <c r="M67" s="2" t="inlineStr"/>
      <c r="N67" s="2" t="inlineStr">
        <is>
          <t>USD</t>
        </is>
      </c>
      <c r="O67" s="3" t="n">
        <v>20.7</v>
      </c>
      <c r="P67" s="3" t="n">
        <v>41.4</v>
      </c>
      <c r="Q67" s="3">
        <f>O67*K67</f>
        <v/>
      </c>
      <c r="R67" s="3">
        <f>P67-Q67</f>
        <v/>
      </c>
      <c r="S67" s="3" t="n"/>
      <c r="T67" s="3" t="n"/>
      <c r="U67" s="3" t="n"/>
      <c r="V67" s="3" t="n"/>
      <c r="W67" s="3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inlineStr">
        <is>
          <t>06029090</t>
        </is>
      </c>
    </row>
    <row r="68">
      <c r="A68" s="2" t="n"/>
      <c r="B68" s="2" t="inlineStr"/>
      <c r="C68" s="2" t="inlineStr">
        <is>
          <t>0098813384</t>
        </is>
      </c>
      <c r="D68" s="2" t="inlineStr">
        <is>
          <t>2026-01-26</t>
        </is>
      </c>
      <c r="E68" s="2" t="inlineStr">
        <is>
          <t>Footwear</t>
        </is>
      </c>
      <c r="F68" s="2" t="inlineStr">
        <is>
          <t>06029090</t>
        </is>
      </c>
      <c r="G68" s="2" t="inlineStr"/>
      <c r="H68" s="2" t="inlineStr"/>
      <c r="I68" s="2" t="inlineStr">
        <is>
          <t>CJ7163-110-M</t>
        </is>
      </c>
      <c r="J68" s="2" t="inlineStr">
        <is>
          <t>WATER WILLOW MARINA</t>
        </is>
      </c>
      <c r="K68" s="2" t="n">
        <v>1</v>
      </c>
      <c r="L68" s="2" t="n"/>
      <c r="M68" s="2" t="inlineStr"/>
      <c r="N68" s="2" t="inlineStr">
        <is>
          <t>USD</t>
        </is>
      </c>
      <c r="O68" s="3" t="n">
        <v>20.7</v>
      </c>
      <c r="P68" s="3" t="n">
        <v>20.7</v>
      </c>
      <c r="Q68" s="3">
        <f>O68*K68</f>
        <v/>
      </c>
      <c r="R68" s="3">
        <f>P68-Q68</f>
        <v/>
      </c>
      <c r="S68" s="3" t="n"/>
      <c r="T68" s="3" t="n"/>
      <c r="U68" s="3" t="n"/>
      <c r="V68" s="3" t="n"/>
      <c r="W68" s="3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inlineStr">
        <is>
          <t>06029090</t>
        </is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inlineStr">
        <is>
          <t>SUBTOTAL</t>
        </is>
      </c>
      <c r="K69" s="4" t="n"/>
      <c r="L69" s="4" t="n"/>
      <c r="M69" s="4" t="n"/>
      <c r="N69" s="4" t="n"/>
      <c r="O69" s="4" t="n"/>
      <c r="P69" s="5">
        <f>P2+P3+P4+P5+P6+P7+P8+P9+P10+P11+P12+P13+P14+P15+P16+P17+P18+P19+P20+P21+P22+P23+P24+P25+P26+P27+P28+P29+P30+P31+P32+P33+P34+P35+P36+P37+P38+P39+P40+P41+P42+P43+P44+P45+P46+P47+P48+P49+P50+P51+P52+P53+P54+P55+P56+P57+P58+P59+P60+P61+P62+P63+P64+P65+P66+P67+P68</f>
        <v/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inlineStr">
        <is>
          <t>ADJUSTMENTS</t>
        </is>
      </c>
      <c r="K70" s="4" t="n"/>
      <c r="L70" s="4" t="n"/>
      <c r="M70" s="4" t="n"/>
      <c r="N70" s="4" t="n"/>
      <c r="O70" s="4" t="n"/>
      <c r="P70" s="5">
        <f>(T2+U2+V2-W2)</f>
        <v/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inlineStr">
        <is>
          <t>NET TOTAL</t>
        </is>
      </c>
      <c r="K71" s="4" t="n"/>
      <c r="L71" s="4" t="n"/>
      <c r="M71" s="4" t="n"/>
      <c r="N71" s="4" t="n"/>
      <c r="O71" s="4" t="n"/>
      <c r="P71" s="5">
        <f>(P69+P70)</f>
        <v/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inlineStr">
        <is>
          <t>VARIANCE CHECK</t>
        </is>
      </c>
      <c r="K72" s="4" t="n"/>
      <c r="L72" s="4" t="n"/>
      <c r="M72" s="4" t="n"/>
      <c r="N72" s="4" t="n"/>
      <c r="O72" s="4" t="n"/>
      <c r="P72" s="5">
        <f>(S2-P71)</f>
        <v/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inlineStr">
        <is>
          <t>DUTY ESTIMATION (Classification Cross-Check)</t>
        </is>
      </c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8" t="inlineStr">
        <is>
          <t>CIF (USD) = InvTotal + Freight + Insurance</t>
        </is>
      </c>
      <c r="K75" s="7" t="n"/>
      <c r="L75" s="7" t="n"/>
      <c r="M75" s="7" t="n"/>
      <c r="N75" s="7" t="n"/>
      <c r="O75" s="7" t="n"/>
      <c r="P75" s="9" t="n">
        <v>4458.75</v>
      </c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8" t="inlineStr">
        <is>
          <t>CIF (XCD) = CIF × 2.7169</t>
        </is>
      </c>
      <c r="K76" s="7" t="n"/>
      <c r="L76" s="7" t="n"/>
      <c r="M76" s="7" t="n"/>
      <c r="N76" s="7" t="n"/>
      <c r="O76" s="7" t="n"/>
      <c r="P76" s="9" t="n">
        <v>12113.98</v>
      </c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8" t="inlineStr">
        <is>
          <t>CET (weighted avg 17.1%)</t>
        </is>
      </c>
      <c r="K77" s="7" t="n"/>
      <c r="L77" s="7" t="n"/>
      <c r="M77" s="7" t="n"/>
      <c r="N77" s="7" t="n"/>
      <c r="O77" s="7" t="n"/>
      <c r="P77" s="9" t="n">
        <v>2065.54</v>
      </c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8" t="inlineStr">
        <is>
          <t xml:space="preserve">  └ 06029090: 0% CET (5% of value)</t>
        </is>
      </c>
      <c r="K78" s="7" t="n"/>
      <c r="L78" s="7" t="n"/>
      <c r="M78" s="7" t="n"/>
      <c r="N78" s="7" t="n"/>
      <c r="O78" s="7" t="n"/>
      <c r="P78" s="9" t="n">
        <v>0</v>
      </c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8" t="inlineStr">
        <is>
          <t xml:space="preserve">  └ 61091020: 20% CET (20% of value)</t>
        </is>
      </c>
      <c r="K79" s="7" t="n"/>
      <c r="L79" s="7" t="n"/>
      <c r="M79" s="7" t="n"/>
      <c r="N79" s="7" t="n"/>
      <c r="O79" s="7" t="n"/>
      <c r="P79" s="9" t="n">
        <v>492.77</v>
      </c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8" t="inlineStr">
        <is>
          <t xml:space="preserve">  └ 64019290: 20% CET (9% of value)</t>
        </is>
      </c>
      <c r="K80" s="7" t="n"/>
      <c r="L80" s="7" t="n"/>
      <c r="M80" s="7" t="n"/>
      <c r="N80" s="7" t="n"/>
      <c r="O80" s="7" t="n"/>
      <c r="P80" s="9" t="n">
        <v>219.01</v>
      </c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8" t="inlineStr">
        <is>
          <t xml:space="preserve">  └ 64029910: 20% CET (46% of value)</t>
        </is>
      </c>
      <c r="K81" s="7" t="n"/>
      <c r="L81" s="7" t="n"/>
      <c r="M81" s="7" t="n"/>
      <c r="N81" s="7" t="n"/>
      <c r="O81" s="7" t="n"/>
      <c r="P81" s="9" t="n">
        <v>1123.79</v>
      </c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8" t="inlineStr">
        <is>
          <t xml:space="preserve">  └ 89069000: 5% CET (14% of value)</t>
        </is>
      </c>
      <c r="K82" s="7" t="n"/>
      <c r="L82" s="7" t="n"/>
      <c r="M82" s="7" t="n"/>
      <c r="N82" s="7" t="n"/>
      <c r="O82" s="7" t="n"/>
      <c r="P82" s="9" t="n">
        <v>82.13</v>
      </c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8" t="inlineStr">
        <is>
          <t xml:space="preserve">  └ 94049000: 20% CET (6% of value)</t>
        </is>
      </c>
      <c r="K83" s="7" t="n"/>
      <c r="L83" s="7" t="n"/>
      <c r="M83" s="7" t="n"/>
      <c r="N83" s="7" t="n"/>
      <c r="O83" s="7" t="n"/>
      <c r="P83" s="9" t="n">
        <v>147.83</v>
      </c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8" t="inlineStr">
        <is>
          <t>CSC (6%)</t>
        </is>
      </c>
      <c r="K84" s="7" t="n"/>
      <c r="L84" s="7" t="n"/>
      <c r="M84" s="7" t="n"/>
      <c r="N84" s="7" t="n"/>
      <c r="O84" s="7" t="n"/>
      <c r="P84" s="9" t="n">
        <v>726.84</v>
      </c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8" t="inlineStr">
        <is>
          <t>VAT (15%) on CIF+CET+CSC</t>
        </is>
      </c>
      <c r="K85" s="7" t="n"/>
      <c r="L85" s="7" t="n"/>
      <c r="M85" s="7" t="n"/>
      <c r="N85" s="7" t="n"/>
      <c r="O85" s="7" t="n"/>
      <c r="P85" s="9" t="n">
        <v>2235.95</v>
      </c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6" t="inlineStr">
        <is>
          <t>ESTIMATED TOTAL DUTIES</t>
        </is>
      </c>
      <c r="K86" s="10" t="n"/>
      <c r="L86" s="10" t="n"/>
      <c r="M86" s="10" t="n"/>
      <c r="N86" s="10" t="n"/>
      <c r="O86" s="10" t="n"/>
      <c r="P86" s="11" t="n">
        <v>5028.33</v>
      </c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8" t="inlineStr">
        <is>
          <t>Effective Duty Rate</t>
        </is>
      </c>
      <c r="K87" s="7" t="n"/>
      <c r="L87" s="7" t="n"/>
      <c r="M87" s="7" t="n"/>
      <c r="N87" s="7" t="n"/>
      <c r="O87" s="7" t="n"/>
      <c r="P87" s="12" t="n">
        <v>0.415084885396872</v>
      </c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2026-04-26T23:53:47Z</dcterms:created>
  <dcterms:modified xmlns:dcterms="http://purl.org/dc/terms/" xmlns:xsi="http://www.w3.org/2001/XMLSchema-instance" xsi:type="dcterms:W3CDTF">2026-04-26T23:53:47Z</dcterms:modified>
</cp:coreProperties>
</file>