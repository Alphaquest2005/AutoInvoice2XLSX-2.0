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  <c r="AL1" t="inlineStr">
        <is>
          <t>BLFreight</t>
        </is>
      </c>
      <c r="AM1" t="inlineStr">
        <is>
          <t>BLInsurance</t>
        </is>
      </c>
    </row>
    <row r="2">
      <c r="A2" s="2" t="inlineStr">
        <is>
          <t>7400-000</t>
        </is>
      </c>
      <c r="B2" s="2" t="inlineStr"/>
      <c r="C2" s="2" t="inlineStr">
        <is>
          <t>26006159</t>
        </is>
      </c>
      <c r="D2" s="2" t="inlineStr">
        <is>
          <t>2026-01-26</t>
        </is>
      </c>
      <c r="E2" s="2" t="inlineStr">
        <is>
          <t>ELECTRICAL APPLIANCES</t>
        </is>
      </c>
      <c r="F2" s="2" t="inlineStr">
        <is>
          <t>85044000</t>
        </is>
      </c>
      <c r="G2" s="2" t="inlineStr"/>
      <c r="H2" s="2" t="inlineStr"/>
      <c r="I2" s="2" t="inlineStr">
        <is>
          <t>SCC010010050R</t>
        </is>
      </c>
      <c r="J2" s="2" t="inlineStr">
        <is>
          <t>BlueSolar MPPT 75/10 Retail</t>
        </is>
      </c>
      <c r="K2" s="2" t="n">
        <v>2</v>
      </c>
      <c r="L2" s="2" t="n"/>
      <c r="M2" s="2" t="inlineStr"/>
      <c r="N2" s="2" t="inlineStr">
        <is>
          <t>USD</t>
        </is>
      </c>
      <c r="O2" s="3" t="n">
        <v>28.8</v>
      </c>
      <c r="P2" s="3" t="n">
        <v>57.6</v>
      </c>
      <c r="Q2" s="3">
        <f>O2*K2</f>
        <v/>
      </c>
      <c r="R2" s="3">
        <f>P2-Q2</f>
        <v/>
      </c>
      <c r="S2" s="3" t="n">
        <v>3173.6</v>
      </c>
      <c r="T2" s="3" t="n">
        <v>65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VCT</t>
        </is>
      </c>
      <c r="AA2" s="2" t="inlineStr">
        <is>
          <t>Victron Energy B.V.</t>
        </is>
      </c>
      <c r="AB2" s="2" t="inlineStr">
        <is>
          <t>c/o 70 Water Street, Thomaston ME 04861</t>
        </is>
      </c>
      <c r="AC2" s="2" t="inlineStr">
        <is>
          <t>NL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85044000</t>
        </is>
      </c>
      <c r="AL2" t="n">
        <v>149.56</v>
      </c>
      <c r="AM2" t="n">
        <v>55.65</v>
      </c>
    </row>
    <row r="3">
      <c r="A3" s="2" t="n"/>
      <c r="B3" s="2" t="inlineStr"/>
      <c r="C3" s="2" t="inlineStr">
        <is>
          <t>26006159</t>
        </is>
      </c>
      <c r="D3" s="2" t="inlineStr">
        <is>
          <t>2026-01-26</t>
        </is>
      </c>
      <c r="E3" s="2" t="inlineStr">
        <is>
          <t>Other inductors</t>
        </is>
      </c>
      <c r="F3" s="2" t="inlineStr">
        <is>
          <t>85044000</t>
        </is>
      </c>
      <c r="G3" s="2" t="inlineStr"/>
      <c r="H3" s="2" t="inlineStr"/>
      <c r="I3" s="2" t="inlineStr">
        <is>
          <t>SCC110050210</t>
        </is>
      </c>
      <c r="J3" s="2" t="inlineStr">
        <is>
          <t>SmartSolar MPPT 100/50</t>
        </is>
      </c>
      <c r="K3" s="2" t="n">
        <v>1</v>
      </c>
      <c r="L3" s="2" t="n"/>
      <c r="M3" s="2" t="inlineStr"/>
      <c r="N3" s="2" t="inlineStr">
        <is>
          <t>USD</t>
        </is>
      </c>
      <c r="O3" s="3" t="n">
        <v>124.2</v>
      </c>
      <c r="P3" s="3" t="n">
        <v>124.2</v>
      </c>
      <c r="Q3" s="3">
        <f>O3*K3</f>
        <v/>
      </c>
      <c r="R3" s="3">
        <f>P3-Q3</f>
        <v/>
      </c>
      <c r="S3" s="3" t="n"/>
      <c r="T3" s="3" t="n"/>
      <c r="U3" s="3" t="n"/>
      <c r="V3" s="3" t="n"/>
      <c r="W3" s="3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inlineStr">
        <is>
          <t>85044000</t>
        </is>
      </c>
    </row>
    <row r="4">
      <c r="A4" s="2" t="n"/>
      <c r="B4" s="2" t="inlineStr"/>
      <c r="C4" s="2" t="inlineStr">
        <is>
          <t>26006159</t>
        </is>
      </c>
      <c r="D4" s="2" t="inlineStr">
        <is>
          <t>2026-01-26</t>
        </is>
      </c>
      <c r="E4" s="2" t="inlineStr">
        <is>
          <t>MARINE ELECTRICAL</t>
        </is>
      </c>
      <c r="F4" s="2" t="inlineStr">
        <is>
          <t>85369000</t>
        </is>
      </c>
      <c r="G4" s="2" t="inlineStr"/>
      <c r="H4" s="2" t="inlineStr"/>
      <c r="I4" s="2" t="inlineStr">
        <is>
          <t>SBS050150200</t>
        </is>
      </c>
      <c r="J4" s="2" t="inlineStr">
        <is>
          <t>Smart Battery Sense long range (up to 10m)</t>
        </is>
      </c>
      <c r="K4" s="2" t="n">
        <v>2</v>
      </c>
      <c r="L4" s="2" t="n"/>
      <c r="M4" s="2" t="inlineStr"/>
      <c r="N4" s="2" t="inlineStr">
        <is>
          <t>USD</t>
        </is>
      </c>
      <c r="O4" s="3" t="n">
        <v>26.4</v>
      </c>
      <c r="P4" s="3" t="n">
        <v>52.8</v>
      </c>
      <c r="Q4" s="3">
        <f>O4*K4</f>
        <v/>
      </c>
      <c r="R4" s="3">
        <f>P4-Q4</f>
        <v/>
      </c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inlineStr">
        <is>
          <t>85369000</t>
        </is>
      </c>
    </row>
    <row r="5">
      <c r="A5" s="2" t="n"/>
      <c r="B5" s="2" t="inlineStr"/>
      <c r="C5" s="2" t="inlineStr">
        <is>
          <t>26006159</t>
        </is>
      </c>
      <c r="D5" s="2" t="inlineStr">
        <is>
          <t>2026-01-26</t>
        </is>
      </c>
      <c r="E5" s="2" t="inlineStr">
        <is>
          <t>Particle accelerators</t>
        </is>
      </c>
      <c r="F5" s="2" t="inlineStr">
        <is>
          <t>85176200</t>
        </is>
      </c>
      <c r="G5" s="2" t="inlineStr"/>
      <c r="H5" s="2" t="inlineStr"/>
      <c r="I5" s="2" t="inlineStr">
        <is>
          <t>ASS030536011</t>
        </is>
      </c>
      <c r="J5" s="2" t="inlineStr">
        <is>
          <t>VE.Direct Bluetooth Smart dongle</t>
        </is>
      </c>
      <c r="K5" s="2" t="n">
        <v>4</v>
      </c>
      <c r="L5" s="2" t="n"/>
      <c r="M5" s="2" t="inlineStr"/>
      <c r="N5" s="2" t="inlineStr">
        <is>
          <t>USD</t>
        </is>
      </c>
      <c r="O5" s="3" t="n">
        <v>27</v>
      </c>
      <c r="P5" s="3" t="n">
        <v>108</v>
      </c>
      <c r="Q5" s="3">
        <f>O5*K5</f>
        <v/>
      </c>
      <c r="R5" s="3">
        <f>P5-Q5</f>
        <v/>
      </c>
      <c r="S5" s="3" t="n"/>
      <c r="T5" s="3" t="n"/>
      <c r="U5" s="3" t="n"/>
      <c r="V5" s="3" t="n"/>
      <c r="W5" s="3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inlineStr">
        <is>
          <t>85176200</t>
        </is>
      </c>
    </row>
    <row r="6">
      <c r="A6" s="2" t="n"/>
      <c r="B6" s="2" t="inlineStr"/>
      <c r="C6" s="2" t="inlineStr">
        <is>
          <t>26006159</t>
        </is>
      </c>
      <c r="D6" s="2" t="inlineStr">
        <is>
          <t>2026-01-26</t>
        </is>
      </c>
      <c r="E6" s="2" t="inlineStr">
        <is>
          <t>ELECTRICAL APPLIANCES</t>
        </is>
      </c>
      <c r="F6" s="2" t="inlineStr">
        <is>
          <t>85044001</t>
        </is>
      </c>
      <c r="G6" s="2" t="inlineStr"/>
      <c r="H6" s="2" t="inlineStr"/>
      <c r="I6" s="2" t="inlineStr">
        <is>
          <t>PMP122301102</t>
        </is>
      </c>
      <c r="J6" s="2" t="inlineStr">
        <is>
          <t>MultiPlus 12/3000/120-50 120V VE.Bus (UL 1741 &amp; 458)</t>
        </is>
      </c>
      <c r="K6" s="2" t="n">
        <v>2</v>
      </c>
      <c r="L6" s="2" t="n"/>
      <c r="M6" s="2" t="inlineStr"/>
      <c r="N6" s="2" t="inlineStr">
        <is>
          <t>USD</t>
        </is>
      </c>
      <c r="O6" s="3" t="n">
        <v>785.4</v>
      </c>
      <c r="P6" s="3" t="n">
        <v>1570.8</v>
      </c>
      <c r="Q6" s="3">
        <f>O6*K6</f>
        <v/>
      </c>
      <c r="R6" s="3">
        <f>P6-Q6</f>
        <v/>
      </c>
      <c r="S6" s="3" t="n"/>
      <c r="T6" s="3" t="n"/>
      <c r="U6" s="3" t="n"/>
      <c r="V6" s="3" t="n"/>
      <c r="W6" s="3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inlineStr">
        <is>
          <t>85044001</t>
        </is>
      </c>
    </row>
    <row r="7">
      <c r="A7" s="2" t="n"/>
      <c r="B7" s="2" t="inlineStr"/>
      <c r="C7" s="2" t="inlineStr">
        <is>
          <t>26006159</t>
        </is>
      </c>
      <c r="D7" s="2" t="inlineStr">
        <is>
          <t>2026-01-26</t>
        </is>
      </c>
      <c r="E7" s="2" t="inlineStr">
        <is>
          <t>ELECTRICAL APPLIANCES</t>
        </is>
      </c>
      <c r="F7" s="2" t="inlineStr">
        <is>
          <t>85044000</t>
        </is>
      </c>
      <c r="G7" s="2" t="inlineStr"/>
      <c r="H7" s="2" t="inlineStr"/>
      <c r="I7" s="2" t="inlineStr">
        <is>
          <t>ORI242417040</t>
        </is>
      </c>
      <c r="J7" s="2" t="inlineStr">
        <is>
          <t>Orion XS 1400 DC-DC battery charger</t>
        </is>
      </c>
      <c r="K7" s="2" t="n">
        <v>2</v>
      </c>
      <c r="L7" s="2" t="n"/>
      <c r="M7" s="2" t="inlineStr"/>
      <c r="N7" s="2" t="inlineStr">
        <is>
          <t>USD</t>
        </is>
      </c>
      <c r="O7" s="3" t="n">
        <v>239.4</v>
      </c>
      <c r="P7" s="3" t="n">
        <v>478.8</v>
      </c>
      <c r="Q7" s="3">
        <f>O7*K7</f>
        <v/>
      </c>
      <c r="R7" s="3">
        <f>P7-Q7</f>
        <v/>
      </c>
      <c r="S7" s="3" t="n"/>
      <c r="T7" s="3" t="n"/>
      <c r="U7" s="3" t="n"/>
      <c r="V7" s="3" t="n"/>
      <c r="W7" s="3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inlineStr">
        <is>
          <t>85044000</t>
        </is>
      </c>
    </row>
    <row r="8">
      <c r="A8" s="2" t="n"/>
      <c r="B8" s="2" t="inlineStr"/>
      <c r="C8" s="2" t="inlineStr">
        <is>
          <t>26006159</t>
        </is>
      </c>
      <c r="D8" s="2" t="inlineStr">
        <is>
          <t>2026-01-26</t>
        </is>
      </c>
      <c r="E8" s="2" t="inlineStr">
        <is>
          <t>MARINE ELECTRONICS</t>
        </is>
      </c>
      <c r="F8" s="2" t="inlineStr">
        <is>
          <t>90318000</t>
        </is>
      </c>
      <c r="G8" s="2" t="inlineStr"/>
      <c r="H8" s="2" t="inlineStr"/>
      <c r="I8" s="2" t="inlineStr">
        <is>
          <t>BAM030712200R</t>
        </is>
      </c>
      <c r="J8" s="2" t="inlineStr">
        <is>
          <t>Battery Monitor BMV-712 BLACK Smart Retail</t>
        </is>
      </c>
      <c r="K8" s="2" t="n">
        <v>4</v>
      </c>
      <c r="L8" s="2" t="n"/>
      <c r="M8" s="2" t="inlineStr"/>
      <c r="N8" s="2" t="inlineStr">
        <is>
          <t>USD</t>
        </is>
      </c>
      <c r="O8" s="3" t="n">
        <v>96</v>
      </c>
      <c r="P8" s="3" t="n">
        <v>384</v>
      </c>
      <c r="Q8" s="3">
        <f>O8*K8</f>
        <v/>
      </c>
      <c r="R8" s="3">
        <f>P8-Q8</f>
        <v/>
      </c>
      <c r="S8" s="3" t="n"/>
      <c r="T8" s="3" t="n"/>
      <c r="U8" s="3" t="n"/>
      <c r="V8" s="3" t="n"/>
      <c r="W8" s="3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inlineStr">
        <is>
          <t>90318000</t>
        </is>
      </c>
    </row>
    <row r="9">
      <c r="A9" s="2" t="n"/>
      <c r="B9" s="2" t="inlineStr"/>
      <c r="C9" s="2" t="inlineStr">
        <is>
          <t>26006159</t>
        </is>
      </c>
      <c r="D9" s="2" t="inlineStr">
        <is>
          <t>2026-01-26</t>
        </is>
      </c>
      <c r="E9" s="2" t="inlineStr">
        <is>
          <t>ELECTRICAL APPLIANCES</t>
        </is>
      </c>
      <c r="F9" s="2" t="inlineStr">
        <is>
          <t>85044000</t>
        </is>
      </c>
      <c r="G9" s="2" t="inlineStr"/>
      <c r="H9" s="2" t="inlineStr"/>
      <c r="I9" s="2" t="inlineStr">
        <is>
          <t>PIN121251200</t>
        </is>
      </c>
      <c r="J9" s="2" t="inlineStr">
        <is>
          <t>Phoenix Inverter 12/250 230V VE.Direct SCHUKO</t>
        </is>
      </c>
      <c r="K9" s="2" t="n">
        <v>1</v>
      </c>
      <c r="L9" s="2" t="n"/>
      <c r="M9" s="2" t="inlineStr"/>
      <c r="N9" s="2" t="inlineStr">
        <is>
          <t>USD</t>
        </is>
      </c>
      <c r="O9" s="3" t="n">
        <v>58.2</v>
      </c>
      <c r="P9" s="3" t="n">
        <v>58.2</v>
      </c>
      <c r="Q9" s="3">
        <f>O9*K9</f>
        <v/>
      </c>
      <c r="R9" s="3">
        <f>P9-Q9</f>
        <v/>
      </c>
      <c r="S9" s="3" t="n"/>
      <c r="T9" s="3" t="n"/>
      <c r="U9" s="3" t="n"/>
      <c r="V9" s="3" t="n"/>
      <c r="W9" s="3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inlineStr">
        <is>
          <t>85044000</t>
        </is>
      </c>
    </row>
    <row r="10">
      <c r="A10" s="2" t="n"/>
      <c r="B10" s="2" t="inlineStr"/>
      <c r="C10" s="2" t="inlineStr">
        <is>
          <t>26006159</t>
        </is>
      </c>
      <c r="D10" s="2" t="inlineStr">
        <is>
          <t>2026-01-26</t>
        </is>
      </c>
      <c r="E10" s="2" t="inlineStr">
        <is>
          <t>ELECTRICAL APPLIANCES</t>
        </is>
      </c>
      <c r="F10" s="2" t="inlineStr">
        <is>
          <t>85044000</t>
        </is>
      </c>
      <c r="G10" s="2" t="inlineStr"/>
      <c r="H10" s="2" t="inlineStr"/>
      <c r="I10" s="2" t="inlineStr">
        <is>
          <t>PIN121501200</t>
        </is>
      </c>
      <c r="J10" s="2" t="inlineStr">
        <is>
          <t>Inverter 12/500 230V VE.Direct SCHUKO</t>
        </is>
      </c>
      <c r="K10" s="2" t="n">
        <v>1</v>
      </c>
      <c r="L10" s="2" t="n"/>
      <c r="M10" s="2" t="inlineStr"/>
      <c r="N10" s="2" t="inlineStr">
        <is>
          <t>USD</t>
        </is>
      </c>
      <c r="O10" s="3" t="n">
        <v>94.2</v>
      </c>
      <c r="P10" s="3" t="n">
        <v>94.2</v>
      </c>
      <c r="Q10" s="3">
        <f>O10*K10</f>
        <v/>
      </c>
      <c r="R10" s="3">
        <f>P10-Q10</f>
        <v/>
      </c>
      <c r="S10" s="3" t="n"/>
      <c r="T10" s="3" t="n"/>
      <c r="U10" s="3" t="n"/>
      <c r="V10" s="3" t="n"/>
      <c r="W10" s="3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inlineStr">
        <is>
          <t>85044000</t>
        </is>
      </c>
    </row>
    <row r="11">
      <c r="A11" s="2" t="n"/>
      <c r="B11" s="2" t="inlineStr"/>
      <c r="C11" s="2" t="inlineStr">
        <is>
          <t>26006159</t>
        </is>
      </c>
      <c r="D11" s="2" t="inlineStr">
        <is>
          <t>2026-01-26</t>
        </is>
      </c>
      <c r="E11" s="2" t="inlineStr">
        <is>
          <t>ELECTRICAL APPLIANCES</t>
        </is>
      </c>
      <c r="F11" s="2" t="inlineStr">
        <is>
          <t>85044000</t>
        </is>
      </c>
      <c r="G11" s="2" t="inlineStr"/>
      <c r="H11" s="2" t="inlineStr"/>
      <c r="I11" s="2" t="inlineStr">
        <is>
          <t>PIN122121210</t>
        </is>
      </c>
      <c r="J11" s="2" t="inlineStr">
        <is>
          <t>Inverter 12/1200 230V VE.Direct SCHUKO</t>
        </is>
      </c>
      <c r="K11" s="2" t="n">
        <v>1</v>
      </c>
      <c r="L11" s="2" t="n"/>
      <c r="M11" s="2" t="inlineStr"/>
      <c r="N11" s="2" t="inlineStr">
        <is>
          <t>USD</t>
        </is>
      </c>
      <c r="O11" s="3" t="n">
        <v>180</v>
      </c>
      <c r="P11" s="3" t="n">
        <v>180</v>
      </c>
      <c r="Q11" s="3">
        <f>O11*K11</f>
        <v/>
      </c>
      <c r="R11" s="3">
        <f>P11-Q11</f>
        <v/>
      </c>
      <c r="S11" s="3" t="n"/>
      <c r="T11" s="3" t="n"/>
      <c r="U11" s="3" t="n"/>
      <c r="V11" s="3" t="n"/>
      <c r="W11" s="3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inlineStr">
        <is>
          <t>85044000</t>
        </is>
      </c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inlineStr">
        <is>
          <t>SUBTOTAL</t>
        </is>
      </c>
      <c r="K12" s="4" t="n"/>
      <c r="L12" s="4" t="n"/>
      <c r="M12" s="4" t="n"/>
      <c r="N12" s="4" t="n"/>
      <c r="O12" s="4" t="n"/>
      <c r="P12" s="5">
        <f>P2+P3+P4+P5+P6+P7+P8+P9+P10+P11</f>
        <v/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inlineStr">
        <is>
          <t>ADJUSTMENTS</t>
        </is>
      </c>
      <c r="K13" s="4" t="n"/>
      <c r="L13" s="4" t="n"/>
      <c r="M13" s="4" t="n"/>
      <c r="N13" s="4" t="n"/>
      <c r="O13" s="4" t="n"/>
      <c r="P13" s="5">
        <f>(T2+U2+V2-W2)</f>
        <v/>
      </c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inlineStr">
        <is>
          <t>NET TOTAL</t>
        </is>
      </c>
      <c r="K14" s="4" t="n"/>
      <c r="L14" s="4" t="n"/>
      <c r="M14" s="4" t="n"/>
      <c r="N14" s="4" t="n"/>
      <c r="O14" s="4" t="n"/>
      <c r="P14" s="5">
        <f>(P12+P13)</f>
        <v/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inlineStr">
        <is>
          <t>VARIANCE CHECK</t>
        </is>
      </c>
      <c r="K15" s="4" t="n"/>
      <c r="L15" s="4" t="n"/>
      <c r="M15" s="4" t="n"/>
      <c r="N15" s="4" t="n"/>
      <c r="O15" s="4" t="n"/>
      <c r="P15" s="5">
        <f>(S2-P14)</f>
        <v/>
      </c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DUTY ESTIMATION (Classification Cross-Check)</t>
        </is>
      </c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8" t="inlineStr">
        <is>
          <t>CIF (USD) = InvTotal + Freight + Insurance</t>
        </is>
      </c>
      <c r="K18" s="7" t="n"/>
      <c r="L18" s="7" t="n"/>
      <c r="M18" s="7" t="n"/>
      <c r="N18" s="7" t="n"/>
      <c r="O18" s="7" t="n"/>
      <c r="P18" s="9" t="n">
        <v>3173.6</v>
      </c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8" t="inlineStr">
        <is>
          <t>CIF (XCD) = CIF × 2.7169</t>
        </is>
      </c>
      <c r="K19" s="7" t="n"/>
      <c r="L19" s="7" t="n"/>
      <c r="M19" s="7" t="n"/>
      <c r="N19" s="7" t="n"/>
      <c r="O19" s="7" t="n"/>
      <c r="P19" s="9" t="n">
        <v>8622.35</v>
      </c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8" t="inlineStr">
        <is>
          <t>CET (weighted avg 5.3%)</t>
        </is>
      </c>
      <c r="K20" s="7" t="n"/>
      <c r="L20" s="7" t="n"/>
      <c r="M20" s="7" t="n"/>
      <c r="N20" s="7" t="n"/>
      <c r="O20" s="7" t="n"/>
      <c r="P20" s="9" t="n">
        <v>453.09</v>
      </c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8" t="inlineStr">
        <is>
          <t xml:space="preserve">  └ 85044000: 5% CET (28% of value)</t>
        </is>
      </c>
      <c r="K21" s="7" t="n"/>
      <c r="L21" s="7" t="n"/>
      <c r="M21" s="7" t="n"/>
      <c r="N21" s="7" t="n"/>
      <c r="O21" s="7" t="n"/>
      <c r="P21" s="9" t="n">
        <v>120.49</v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8" t="inlineStr">
        <is>
          <t xml:space="preserve">  └ 85044001: 5% CET (51% of value)</t>
        </is>
      </c>
      <c r="K22" s="7" t="n"/>
      <c r="L22" s="7" t="n"/>
      <c r="M22" s="7" t="n"/>
      <c r="N22" s="7" t="n"/>
      <c r="O22" s="7" t="n"/>
      <c r="P22" s="9" t="n">
        <v>217.85</v>
      </c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8" t="inlineStr">
        <is>
          <t xml:space="preserve">  └ 85045000: 5% CET (4% of value)</t>
        </is>
      </c>
      <c r="K23" s="7" t="n"/>
      <c r="L23" s="7" t="n"/>
      <c r="M23" s="7" t="n"/>
      <c r="N23" s="7" t="n"/>
      <c r="O23" s="7" t="n"/>
      <c r="P23" s="9" t="n">
        <v>17.22</v>
      </c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8" t="inlineStr">
        <is>
          <t xml:space="preserve">  └ 85369000: 20% CET (2% of value)</t>
        </is>
      </c>
      <c r="K24" s="7" t="n"/>
      <c r="L24" s="7" t="n"/>
      <c r="M24" s="7" t="n"/>
      <c r="N24" s="7" t="n"/>
      <c r="O24" s="7" t="n"/>
      <c r="P24" s="9" t="n">
        <v>29.29</v>
      </c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8" t="inlineStr">
        <is>
          <t xml:space="preserve">  └ 85431000: 5% CET (3% of value)</t>
        </is>
      </c>
      <c r="K25" s="7" t="n"/>
      <c r="L25" s="7" t="n"/>
      <c r="M25" s="7" t="n"/>
      <c r="N25" s="7" t="n"/>
      <c r="O25" s="7" t="n"/>
      <c r="P25" s="9" t="n">
        <v>14.98</v>
      </c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8" t="inlineStr">
        <is>
          <t xml:space="preserve">  └ 90318000: 5% CET (12% of value)</t>
        </is>
      </c>
      <c r="K26" s="7" t="n"/>
      <c r="L26" s="7" t="n"/>
      <c r="M26" s="7" t="n"/>
      <c r="N26" s="7" t="n"/>
      <c r="O26" s="7" t="n"/>
      <c r="P26" s="9" t="n">
        <v>53.26</v>
      </c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8" t="inlineStr">
        <is>
          <t>CSC (6%)</t>
        </is>
      </c>
      <c r="K27" s="7" t="n"/>
      <c r="L27" s="7" t="n"/>
      <c r="M27" s="7" t="n"/>
      <c r="N27" s="7" t="n"/>
      <c r="O27" s="7" t="n"/>
      <c r="P27" s="9" t="n">
        <v>517.34</v>
      </c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8" t="inlineStr">
        <is>
          <t>VAT (15%) on CIF+CET+CSC</t>
        </is>
      </c>
      <c r="K28" s="7" t="n"/>
      <c r="L28" s="7" t="n"/>
      <c r="M28" s="7" t="n"/>
      <c r="N28" s="7" t="n"/>
      <c r="O28" s="7" t="n"/>
      <c r="P28" s="9" t="n">
        <v>1438.92</v>
      </c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6" t="inlineStr">
        <is>
          <t>ESTIMATED TOTAL DUTIES</t>
        </is>
      </c>
      <c r="K29" s="10" t="n"/>
      <c r="L29" s="10" t="n"/>
      <c r="M29" s="10" t="n"/>
      <c r="N29" s="10" t="n"/>
      <c r="O29" s="10" t="n"/>
      <c r="P29" s="11" t="n">
        <v>2409.35</v>
      </c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8" t="inlineStr">
        <is>
          <t>Effective Duty Rate</t>
        </is>
      </c>
      <c r="K30" s="7" t="n"/>
      <c r="L30" s="7" t="n"/>
      <c r="M30" s="7" t="n"/>
      <c r="N30" s="7" t="n"/>
      <c r="O30" s="7" t="n"/>
      <c r="P30" s="12" t="n">
        <v>0.2794307816314577</v>
      </c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2026-04-27T00:03:44Z</dcterms:created>
  <dcterms:modified xsi:type="dcterms:W3CDTF">2026-04-27T00:09:46Z</dcterms:modified>
</cp:coreProperties>
</file>