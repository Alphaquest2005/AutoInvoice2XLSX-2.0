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26610</t>
        </is>
      </c>
      <c r="D2" s="2" t="inlineStr">
        <is>
          <t>2026-02-03</t>
        </is>
      </c>
      <c r="E2" s="2" t="inlineStr">
        <is>
          <t>MISCLASSIFIED: 96061000 is press-fasteners/snaps — fishing floats/snaps belon...</t>
        </is>
      </c>
      <c r="F2" s="2" t="inlineStr">
        <is>
          <t>95079090</t>
        </is>
      </c>
      <c r="G2" s="2" t="inlineStr"/>
      <c r="H2" s="2" t="inlineStr"/>
      <c r="I2" s="2" t="inlineStr">
        <is>
          <t>DAI-DWB40-B/F702M</t>
        </is>
      </c>
      <c r="J2" s="2" t="inlineStr">
        <is>
          <t>D-WAVE DWB SALT WATER SPIN COMBO PMB.</t>
        </is>
      </c>
      <c r="K2" s="2" t="n">
        <v>20</v>
      </c>
      <c r="L2" s="2" t="n"/>
      <c r="M2" s="2" t="inlineStr"/>
      <c r="N2" s="2" t="inlineStr">
        <is>
          <t>USD</t>
        </is>
      </c>
      <c r="O2" s="3" t="n">
        <v>35.47</v>
      </c>
      <c r="P2" s="3" t="n">
        <v>709.4</v>
      </c>
      <c r="Q2" s="3">
        <f>O2*K2</f>
        <v/>
      </c>
      <c r="R2" s="3">
        <f>P2-Q2</f>
        <v/>
      </c>
      <c r="S2" s="3" t="n">
        <v>1001.39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CAL</t>
        </is>
      </c>
      <c r="AA2" s="2" t="inlineStr">
        <is>
          <t>Cala Marine</t>
        </is>
      </c>
      <c r="AB2" s="2" t="inlineStr">
        <is>
          <t>13571 SW 135 Ave, Suite 201, Miami, FL 33186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95079090</t>
        </is>
      </c>
      <c r="AL2" t="n">
        <v>47.19</v>
      </c>
      <c r="AM2" t="n">
        <v>17.56</v>
      </c>
    </row>
    <row r="3">
      <c r="A3" s="2" t="n"/>
      <c r="B3" s="2" t="inlineStr"/>
      <c r="C3" s="2" t="inlineStr">
        <is>
          <t>26610</t>
        </is>
      </c>
      <c r="D3" s="2" t="inlineStr">
        <is>
          <t>2026-02-03</t>
        </is>
      </c>
      <c r="E3" s="2" t="inlineStr">
        <is>
          <t>FISHING TACKLE</t>
        </is>
      </c>
      <c r="F3" s="2" t="inlineStr">
        <is>
          <t>95071000</t>
        </is>
      </c>
      <c r="G3" s="2" t="inlineStr"/>
      <c r="H3" s="2" t="inlineStr"/>
      <c r="I3" s="2" t="inlineStr">
        <is>
          <t>DAI-FTS1102MFS</t>
        </is>
      </c>
      <c r="J3" s="2" t="inlineStr">
        <is>
          <t>ROD-FT SURF ROD, Sections= 2, Line Wt.= 10-25</t>
        </is>
      </c>
      <c r="K3" s="2" t="n">
        <v>4</v>
      </c>
      <c r="L3" s="2" t="n"/>
      <c r="M3" s="2" t="inlineStr"/>
      <c r="N3" s="2" t="inlineStr">
        <is>
          <t>USD</t>
        </is>
      </c>
      <c r="O3" s="3" t="n">
        <v>18.81</v>
      </c>
      <c r="P3" s="3" t="n">
        <v>75.23999999999999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95071000</t>
        </is>
      </c>
    </row>
    <row r="4">
      <c r="A4" s="2" t="n"/>
      <c r="B4" s="2" t="inlineStr"/>
      <c r="C4" s="2" t="inlineStr">
        <is>
          <t>26610</t>
        </is>
      </c>
      <c r="D4" s="2" t="inlineStr">
        <is>
          <t>2026-02-03</t>
        </is>
      </c>
      <c r="E4" s="2" t="inlineStr">
        <is>
          <t>FISHING TACKLE</t>
        </is>
      </c>
      <c r="F4" s="2" t="inlineStr">
        <is>
          <t>95073000</t>
        </is>
      </c>
      <c r="G4" s="2" t="inlineStr"/>
      <c r="H4" s="2" t="inlineStr"/>
      <c r="I4" s="2" t="inlineStr">
        <is>
          <t>DAI-BG8000</t>
        </is>
      </c>
      <c r="J4" s="2" t="inlineStr">
        <is>
          <t>BG SPINNING REEL, 6 + 1, 5.3 : 1. / 850 gr. /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136.83</v>
      </c>
      <c r="P4" s="3" t="n">
        <v>136.83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95073000</t>
        </is>
      </c>
    </row>
    <row r="5">
      <c r="A5" s="2" t="n"/>
      <c r="B5" s="2" t="inlineStr"/>
      <c r="C5" s="2" t="inlineStr">
        <is>
          <t>26610</t>
        </is>
      </c>
      <c r="D5" s="2" t="inlineStr">
        <is>
          <t>2026-02-03</t>
        </is>
      </c>
      <c r="E5" s="2" t="inlineStr">
        <is>
          <t>PLASTIC MONOFILAMENT</t>
        </is>
      </c>
      <c r="F5" s="2" t="inlineStr">
        <is>
          <t>39169000</t>
        </is>
      </c>
      <c r="G5" s="2" t="inlineStr"/>
      <c r="H5" s="2" t="inlineStr"/>
      <c r="I5" s="2" t="inlineStr">
        <is>
          <t>DAI-JB4U20-300IB</t>
        </is>
      </c>
      <c r="J5" s="2" t="inlineStr">
        <is>
          <t>JB4U20-300IB, Filler Spool, Island Blue, Mono</t>
        </is>
      </c>
      <c r="K5" s="2" t="n">
        <v>6</v>
      </c>
      <c r="L5" s="2" t="n"/>
      <c r="M5" s="2" t="inlineStr"/>
      <c r="N5" s="2" t="inlineStr">
        <is>
          <t>USD</t>
        </is>
      </c>
      <c r="O5" s="3" t="n">
        <v>13.32</v>
      </c>
      <c r="P5" s="3" t="n">
        <v>79.92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39169000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SUBTOTAL</t>
        </is>
      </c>
      <c r="K6" s="4" t="n"/>
      <c r="L6" s="4" t="n"/>
      <c r="M6" s="4" t="n"/>
      <c r="N6" s="4" t="n"/>
      <c r="O6" s="4" t="n"/>
      <c r="P6" s="5">
        <f>P2+P3+P4+P5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ADJUSTMENTS</t>
        </is>
      </c>
      <c r="K7" s="4" t="n"/>
      <c r="L7" s="4" t="n"/>
      <c r="M7" s="4" t="n"/>
      <c r="N7" s="4" t="n"/>
      <c r="O7" s="4" t="n"/>
      <c r="P7" s="5">
        <f>(T2+U2+V2-W2)</f>
        <v/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inlineStr">
        <is>
          <t>NET TOTAL</t>
        </is>
      </c>
      <c r="K8" s="4" t="n"/>
      <c r="L8" s="4" t="n"/>
      <c r="M8" s="4" t="n"/>
      <c r="N8" s="4" t="n"/>
      <c r="O8" s="4" t="n"/>
      <c r="P8" s="5">
        <f>(P6+P7)</f>
        <v/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inlineStr">
        <is>
          <t>VARIANCE CHECK</t>
        </is>
      </c>
      <c r="K9" s="4" t="n"/>
      <c r="L9" s="4" t="n"/>
      <c r="M9" s="4" t="n"/>
      <c r="N9" s="4" t="n"/>
      <c r="O9" s="4" t="n"/>
      <c r="P9" s="5">
        <f>(S2-P8)</f>
        <v/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DUTY ESTIMATION (Classification Cross-Check)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CIF (USD) = InvTotal + Freight + Insurance</t>
        </is>
      </c>
      <c r="K12" s="7" t="n"/>
      <c r="L12" s="7" t="n"/>
      <c r="M12" s="7" t="n"/>
      <c r="N12" s="7" t="n"/>
      <c r="O12" s="7" t="n"/>
      <c r="P12" s="9" t="n">
        <v>1001.39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CIF (XCD) = CIF × 2.7169</t>
        </is>
      </c>
      <c r="K13" s="7" t="n"/>
      <c r="L13" s="7" t="n"/>
      <c r="M13" s="7" t="n"/>
      <c r="N13" s="7" t="n"/>
      <c r="O13" s="7" t="n"/>
      <c r="P13" s="9" t="n">
        <v>2720.68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inlineStr">
        <is>
          <t>CET (weighted avg 20.0%)</t>
        </is>
      </c>
      <c r="K14" s="7" t="n"/>
      <c r="L14" s="7" t="n"/>
      <c r="M14" s="7" t="n"/>
      <c r="N14" s="7" t="n"/>
      <c r="O14" s="7" t="n"/>
      <c r="P14" s="9" t="n">
        <v>544.14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 xml:space="preserve">  └ 39169000: 20% CET (8% of value)</t>
        </is>
      </c>
      <c r="K15" s="7" t="n"/>
      <c r="L15" s="7" t="n"/>
      <c r="M15" s="7" t="n"/>
      <c r="N15" s="7" t="n"/>
      <c r="O15" s="7" t="n"/>
      <c r="P15" s="9" t="n">
        <v>43.43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 xml:space="preserve">  └ 95071000: 20% CET (8% of value)</t>
        </is>
      </c>
      <c r="K16" s="7" t="n"/>
      <c r="L16" s="7" t="n"/>
      <c r="M16" s="7" t="n"/>
      <c r="N16" s="7" t="n"/>
      <c r="O16" s="7" t="n"/>
      <c r="P16" s="9" t="n">
        <v>40.88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inlineStr">
        <is>
          <t xml:space="preserve">  └ 95073000: 20% CET (14% of value)</t>
        </is>
      </c>
      <c r="K17" s="7" t="n"/>
      <c r="L17" s="7" t="n"/>
      <c r="M17" s="7" t="n"/>
      <c r="N17" s="7" t="n"/>
      <c r="O17" s="7" t="n"/>
      <c r="P17" s="9" t="n">
        <v>74.34999999999999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 xml:space="preserve">  └ 95079090: 20% CET (71% of value)</t>
        </is>
      </c>
      <c r="K18" s="7" t="n"/>
      <c r="L18" s="7" t="n"/>
      <c r="M18" s="7" t="n"/>
      <c r="N18" s="7" t="n"/>
      <c r="O18" s="7" t="n"/>
      <c r="P18" s="9" t="n">
        <v>385.47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CSC (6%)</t>
        </is>
      </c>
      <c r="K19" s="7" t="n"/>
      <c r="L19" s="7" t="n"/>
      <c r="M19" s="7" t="n"/>
      <c r="N19" s="7" t="n"/>
      <c r="O19" s="7" t="n"/>
      <c r="P19" s="9" t="n">
        <v>163.24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VAT (15%) on CIF+CET+CSC</t>
        </is>
      </c>
      <c r="K20" s="7" t="n"/>
      <c r="L20" s="7" t="n"/>
      <c r="M20" s="7" t="n"/>
      <c r="N20" s="7" t="n"/>
      <c r="O20" s="7" t="n"/>
      <c r="P20" s="9" t="n">
        <v>514.21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6" t="inlineStr">
        <is>
          <t>ESTIMATED TOTAL DUTIES</t>
        </is>
      </c>
      <c r="K21" s="10" t="n"/>
      <c r="L21" s="10" t="n"/>
      <c r="M21" s="10" t="n"/>
      <c r="N21" s="10" t="n"/>
      <c r="O21" s="10" t="n"/>
      <c r="P21" s="11" t="n">
        <v>1221.59</v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 t="inlineStr">
        <is>
          <t>Effective Duty Rate</t>
        </is>
      </c>
      <c r="K22" s="7" t="n"/>
      <c r="L22" s="7" t="n"/>
      <c r="M22" s="7" t="n"/>
      <c r="N22" s="7" t="n"/>
      <c r="O22" s="7" t="n"/>
      <c r="P22" s="12" t="n">
        <v>0.4490017201581957</v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2026-04-27T00:03:29Z</dcterms:created>
  <dcterms:modified xsi:type="dcterms:W3CDTF">2026-04-27T00:09:25Z</dcterms:modified>
</cp:coreProperties>
</file>