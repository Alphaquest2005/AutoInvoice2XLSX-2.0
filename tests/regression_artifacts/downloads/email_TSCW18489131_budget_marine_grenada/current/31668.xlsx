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31668</t>
        </is>
      </c>
      <c r="D2" s="2" t="inlineStr">
        <is>
          <t>2026-01-30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10-264 ControlValveRegulator,Gas</t>
        </is>
      </c>
      <c r="J2" s="2" t="inlineStr"/>
      <c r="K2" s="2" t="n">
        <v>6</v>
      </c>
      <c r="L2" s="2" t="n"/>
      <c r="M2" s="2" t="inlineStr"/>
      <c r="N2" s="2" t="inlineStr">
        <is>
          <t>USD</t>
        </is>
      </c>
      <c r="O2" s="3" t="n">
        <v>32.99</v>
      </c>
      <c r="P2" s="3" t="n">
        <v>197.94</v>
      </c>
      <c r="Q2" s="3">
        <f>O2*K2</f>
        <v/>
      </c>
      <c r="R2" s="3">
        <f>P2-Q2</f>
        <v/>
      </c>
      <c r="S2" s="3" t="n">
        <v>885.1</v>
      </c>
      <c r="T2" s="3" t="n">
        <v>40.1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BRU</t>
        </is>
      </c>
      <c r="AA2" s="2" t="inlineStr">
        <is>
          <t>Brunger Export</t>
        </is>
      </c>
      <c r="AB2" s="2" t="inlineStr">
        <is>
          <t>4901 NW 17th Way, Suite 600, Fort Lauderdale, FL 33309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  <c r="AL2" t="n">
        <v>41.71</v>
      </c>
      <c r="AM2" t="n">
        <v>15.52</v>
      </c>
    </row>
    <row r="3">
      <c r="A3" s="2" t="n"/>
      <c r="B3" s="2" t="inlineStr"/>
      <c r="C3" s="2" t="inlineStr">
        <is>
          <t>31668</t>
        </is>
      </c>
      <c r="D3" s="2" t="inlineStr">
        <is>
          <t>2026-01-30</t>
        </is>
      </c>
      <c r="E3" s="2" t="inlineStr">
        <is>
          <t>PRODUCTS</t>
        </is>
      </c>
      <c r="F3" s="2" t="inlineStr">
        <is>
          <t>00000000</t>
        </is>
      </c>
      <c r="G3" s="2" t="inlineStr"/>
      <c r="H3" s="2" t="inlineStr"/>
      <c r="I3" s="2" t="inlineStr">
        <is>
          <t>10-1254 GrillGrate,12Wire,1ea.,</t>
        </is>
      </c>
      <c r="J3" s="2" t="inlineStr"/>
      <c r="K3" s="2" t="n">
        <v>4</v>
      </c>
      <c r="L3" s="2" t="n"/>
      <c r="M3" s="2" t="inlineStr"/>
      <c r="N3" s="2" t="inlineStr">
        <is>
          <t>USD</t>
        </is>
      </c>
      <c r="O3" s="3" t="n">
        <v>22.79</v>
      </c>
      <c r="P3" s="3" t="n">
        <v>91.16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00000000</t>
        </is>
      </c>
    </row>
    <row r="4">
      <c r="A4" s="2" t="n"/>
      <c r="B4" s="2" t="inlineStr"/>
      <c r="C4" s="2" t="inlineStr">
        <is>
          <t>31668</t>
        </is>
      </c>
      <c r="D4" s="2" t="inlineStr">
        <is>
          <t>2026-01-30</t>
        </is>
      </c>
      <c r="E4" s="2" t="inlineStr">
        <is>
          <t>PRODUCTS</t>
        </is>
      </c>
      <c r="F4" s="2" t="inlineStr">
        <is>
          <t>00000000</t>
        </is>
      </c>
      <c r="G4" s="2" t="inlineStr"/>
      <c r="H4" s="2" t="inlineStr"/>
      <c r="I4" s="2" t="inlineStr">
        <is>
          <t>10-965 RadiantPlate,18",Newport/</t>
        </is>
      </c>
      <c r="J4" s="2" t="inlineStr"/>
      <c r="K4" s="2" t="n">
        <v>4</v>
      </c>
      <c r="L4" s="2" t="n"/>
      <c r="M4" s="2" t="inlineStr"/>
      <c r="N4" s="2" t="inlineStr">
        <is>
          <t>USD</t>
        </is>
      </c>
      <c r="O4" s="3" t="n">
        <v>34.19</v>
      </c>
      <c r="P4" s="3" t="n">
        <v>136.76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00000000</t>
        </is>
      </c>
    </row>
    <row r="5">
      <c r="A5" s="2" t="n"/>
      <c r="B5" s="2" t="inlineStr"/>
      <c r="C5" s="2" t="inlineStr">
        <is>
          <t>31668</t>
        </is>
      </c>
      <c r="D5" s="2" t="inlineStr">
        <is>
          <t>2026-01-30</t>
        </is>
      </c>
      <c r="E5" s="2" t="inlineStr">
        <is>
          <t>PRODUCTS</t>
        </is>
      </c>
      <c r="F5" s="2" t="inlineStr">
        <is>
          <t>00000000</t>
        </is>
      </c>
      <c r="G5" s="2" t="inlineStr"/>
      <c r="H5" s="2" t="inlineStr"/>
      <c r="I5" s="2" t="inlineStr">
        <is>
          <t>A10-220LPG LowPressureControl</t>
        </is>
      </c>
      <c r="J5" s="2" t="inlineStr"/>
      <c r="K5" s="2" t="n">
        <v>8</v>
      </c>
      <c r="L5" s="2" t="n"/>
      <c r="M5" s="2" t="inlineStr"/>
      <c r="N5" s="2" t="inlineStr">
        <is>
          <t>USD</t>
        </is>
      </c>
      <c r="O5" s="3" t="n">
        <v>35.3</v>
      </c>
      <c r="P5" s="3" t="n">
        <v>282.4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00000000</t>
        </is>
      </c>
    </row>
    <row r="6">
      <c r="A6" s="2" t="n"/>
      <c r="B6" s="2" t="inlineStr"/>
      <c r="C6" s="2" t="inlineStr">
        <is>
          <t>31668</t>
        </is>
      </c>
      <c r="D6" s="2" t="inlineStr">
        <is>
          <t>2026-01-30</t>
        </is>
      </c>
      <c r="E6" s="2" t="inlineStr">
        <is>
          <t>PRODUCTS</t>
        </is>
      </c>
      <c r="F6" s="2" t="inlineStr">
        <is>
          <t>00000000</t>
        </is>
      </c>
      <c r="G6" s="2" t="inlineStr"/>
      <c r="H6" s="2" t="inlineStr"/>
      <c r="I6" s="2" t="inlineStr">
        <is>
          <t>10-957 Burnerw/Screw&amp;Retainer</t>
        </is>
      </c>
      <c r="J6" s="2" t="inlineStr"/>
      <c r="K6" s="2" t="n">
        <v>6</v>
      </c>
      <c r="L6" s="2" t="n"/>
      <c r="M6" s="2" t="inlineStr"/>
      <c r="N6" s="2" t="inlineStr">
        <is>
          <t>USD</t>
        </is>
      </c>
      <c r="O6" s="3" t="n">
        <v>22.79</v>
      </c>
      <c r="P6" s="3" t="n">
        <v>136.74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00000000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inlineStr">
        <is>
          <t>SUBTOTAL</t>
        </is>
      </c>
      <c r="K7" s="4" t="n"/>
      <c r="L7" s="4" t="n"/>
      <c r="M7" s="4" t="n"/>
      <c r="N7" s="4" t="n"/>
      <c r="O7" s="4" t="n"/>
      <c r="P7" s="5">
        <f>P2+P3+P4+P5+P6</f>
        <v/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inlineStr">
        <is>
          <t>ADJUSTMENTS</t>
        </is>
      </c>
      <c r="K8" s="4" t="n"/>
      <c r="L8" s="4" t="n"/>
      <c r="M8" s="4" t="n"/>
      <c r="N8" s="4" t="n"/>
      <c r="O8" s="4" t="n"/>
      <c r="P8" s="5">
        <f>(T2+U2+V2-W2)</f>
        <v/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inlineStr">
        <is>
          <t>NET TOTAL</t>
        </is>
      </c>
      <c r="K9" s="4" t="n"/>
      <c r="L9" s="4" t="n"/>
      <c r="M9" s="4" t="n"/>
      <c r="N9" s="4" t="n"/>
      <c r="O9" s="4" t="n"/>
      <c r="P9" s="5">
        <f>(P7+P8)</f>
        <v/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inlineStr">
        <is>
          <t>VARIANCE CHECK</t>
        </is>
      </c>
      <c r="K10" s="4" t="n"/>
      <c r="L10" s="4" t="n"/>
      <c r="M10" s="4" t="n"/>
      <c r="N10" s="4" t="n"/>
      <c r="O10" s="4" t="n"/>
      <c r="P10" s="5">
        <f>(S2-P9)</f>
        <v/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DUTY ESTIMATION (Classification Cross-Check)</t>
        </is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CIF (USD) = InvTotal + Freight + Insurance</t>
        </is>
      </c>
      <c r="K13" s="7" t="n"/>
      <c r="L13" s="7" t="n"/>
      <c r="M13" s="7" t="n"/>
      <c r="N13" s="7" t="n"/>
      <c r="O13" s="7" t="n"/>
      <c r="P13" s="9" t="n">
        <v>885.1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inlineStr">
        <is>
          <t>CIF (XCD) = CIF × 2.7169</t>
        </is>
      </c>
      <c r="K14" s="7" t="n"/>
      <c r="L14" s="7" t="n"/>
      <c r="M14" s="7" t="n"/>
      <c r="N14" s="7" t="n"/>
      <c r="O14" s="7" t="n"/>
      <c r="P14" s="9" t="n">
        <v>2404.73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CET (20%) — Tariff 00000000</t>
        </is>
      </c>
      <c r="K15" s="7" t="n"/>
      <c r="L15" s="7" t="n"/>
      <c r="M15" s="7" t="n"/>
      <c r="N15" s="7" t="n"/>
      <c r="O15" s="7" t="n"/>
      <c r="P15" s="9" t="n">
        <v>480.95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CSC (6%)</t>
        </is>
      </c>
      <c r="K16" s="7" t="n"/>
      <c r="L16" s="7" t="n"/>
      <c r="M16" s="7" t="n"/>
      <c r="N16" s="7" t="n"/>
      <c r="O16" s="7" t="n"/>
      <c r="P16" s="9" t="n">
        <v>144.28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 t="inlineStr">
        <is>
          <t>VAT (15%) on CIF+CET+CSC</t>
        </is>
      </c>
      <c r="K17" s="7" t="n"/>
      <c r="L17" s="7" t="n"/>
      <c r="M17" s="7" t="n"/>
      <c r="N17" s="7" t="n"/>
      <c r="O17" s="7" t="n"/>
      <c r="P17" s="9" t="n">
        <v>454.49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6" t="inlineStr">
        <is>
          <t>ESTIMATED TOTAL DUTIES</t>
        </is>
      </c>
      <c r="K18" s="10" t="n"/>
      <c r="L18" s="10" t="n"/>
      <c r="M18" s="10" t="n"/>
      <c r="N18" s="10" t="n"/>
      <c r="O18" s="10" t="n"/>
      <c r="P18" s="11" t="n">
        <v>1079.72</v>
      </c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Effective Duty Rate</t>
        </is>
      </c>
      <c r="K19" s="7" t="n"/>
      <c r="L19" s="7" t="n"/>
      <c r="M19" s="7" t="n"/>
      <c r="N19" s="7" t="n"/>
      <c r="O19" s="7" t="n"/>
      <c r="P19" s="12" t="n">
        <v>0.4489984322564279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2026-04-27T00:03:31Z</dcterms:created>
  <dcterms:modified xsi:type="dcterms:W3CDTF">2026-04-27T00:09:25Z</dcterms:modified>
</cp:coreProperties>
</file>