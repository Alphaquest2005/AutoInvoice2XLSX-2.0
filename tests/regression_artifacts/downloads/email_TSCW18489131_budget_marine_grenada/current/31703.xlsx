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31703</t>
        </is>
      </c>
      <c r="D2" s="2" t="inlineStr">
        <is>
          <t>2026-02-04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V30-1008W25-1FLEX-TRIMKIT,1/4”</t>
        </is>
      </c>
      <c r="J2" s="2" t="inlineStr"/>
      <c r="K2" s="2" t="n">
        <v>2</v>
      </c>
      <c r="L2" s="2" t="n"/>
      <c r="M2" s="2" t="inlineStr"/>
      <c r="N2" s="2" t="inlineStr">
        <is>
          <t>USD</t>
        </is>
      </c>
      <c r="O2" s="3" t="n">
        <v>45.72</v>
      </c>
      <c r="P2" s="3" t="n">
        <v>91.44</v>
      </c>
      <c r="Q2" s="3">
        <f>O2*K2</f>
        <v/>
      </c>
      <c r="R2" s="3">
        <f>P2-Q2</f>
        <v/>
      </c>
      <c r="S2" s="3" t="n">
        <v>2447.07</v>
      </c>
      <c r="T2" s="3" t="n">
        <v>242.51</v>
      </c>
      <c r="U2" s="3" t="n">
        <v>0</v>
      </c>
      <c r="V2" s="3" t="n">
        <v>0</v>
      </c>
      <c r="W2" s="3" t="n">
        <v>0</v>
      </c>
      <c r="X2" s="2" t="n">
        <v>2</v>
      </c>
      <c r="Y2" s="2" t="n"/>
      <c r="Z2" s="2" t="inlineStr">
        <is>
          <t>BRU</t>
        </is>
      </c>
      <c r="AA2" s="2" t="inlineStr">
        <is>
          <t>Brunger Export</t>
        </is>
      </c>
      <c r="AB2" s="2" t="inlineStr">
        <is>
          <t>4901 NW 17th Way, Suite 600, Fort Lauderdale, FL 33309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  <c r="AL2" t="n">
        <v>115.32</v>
      </c>
      <c r="AM2" t="n">
        <v>42.91</v>
      </c>
    </row>
    <row r="3">
      <c r="A3" s="2" t="n"/>
      <c r="B3" s="2" t="inlineStr"/>
      <c r="C3" s="2" t="inlineStr">
        <is>
          <t>31703</t>
        </is>
      </c>
      <c r="D3" s="2" t="inlineStr">
        <is>
          <t>2026-02-04</t>
        </is>
      </c>
      <c r="E3" s="2" t="inlineStr">
        <is>
          <t>PRODUCTS</t>
        </is>
      </c>
      <c r="F3" s="2" t="inlineStr">
        <is>
          <t>00000000</t>
        </is>
      </c>
      <c r="G3" s="2" t="inlineStr"/>
      <c r="H3" s="2" t="inlineStr"/>
      <c r="I3" s="2" t="inlineStr">
        <is>
          <t>S14-1465P24B1-1/4"ODX.065S/S</t>
        </is>
      </c>
      <c r="J3" s="2" t="inlineStr"/>
      <c r="K3" s="2" t="n">
        <v>8</v>
      </c>
      <c r="L3" s="2" t="n"/>
      <c r="M3" s="2" t="inlineStr"/>
      <c r="N3" s="2" t="inlineStr">
        <is>
          <t>USD</t>
        </is>
      </c>
      <c r="O3" s="3" t="n">
        <v>264.14</v>
      </c>
      <c r="P3" s="3" t="n">
        <v>2113.12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00000000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SUBTOTAL</t>
        </is>
      </c>
      <c r="K4" s="4" t="n"/>
      <c r="L4" s="4" t="n"/>
      <c r="M4" s="4" t="n"/>
      <c r="N4" s="4" t="n"/>
      <c r="O4" s="4" t="n"/>
      <c r="P4" s="5">
        <f>P2+P3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ADJUSTMENTS</t>
        </is>
      </c>
      <c r="K5" s="4" t="n"/>
      <c r="L5" s="4" t="n"/>
      <c r="M5" s="4" t="n"/>
      <c r="N5" s="4" t="n"/>
      <c r="O5" s="4" t="n"/>
      <c r="P5" s="5">
        <f>(T2+U2+V2-W2)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NET TOTAL</t>
        </is>
      </c>
      <c r="K6" s="4" t="n"/>
      <c r="L6" s="4" t="n"/>
      <c r="M6" s="4" t="n"/>
      <c r="N6" s="4" t="n"/>
      <c r="O6" s="4" t="n"/>
      <c r="P6" s="5">
        <f>(P4+P5)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VARIANCE CHECK</t>
        </is>
      </c>
      <c r="K7" s="4" t="n"/>
      <c r="L7" s="4" t="n"/>
      <c r="M7" s="4" t="n"/>
      <c r="N7" s="4" t="n"/>
      <c r="O7" s="4" t="n"/>
      <c r="P7" s="5">
        <f>(S2-P6)</f>
        <v/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DUTY ESTIMATION (Classification Cross-Check)</t>
        </is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(USD) = InvTotal + Freight + Insurance</t>
        </is>
      </c>
      <c r="K10" s="7" t="n"/>
      <c r="L10" s="7" t="n"/>
      <c r="M10" s="7" t="n"/>
      <c r="N10" s="7" t="n"/>
      <c r="O10" s="7" t="n"/>
      <c r="P10" s="9" t="n">
        <v>2447.07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CIF (XCD) = CIF × 2.7169</t>
        </is>
      </c>
      <c r="K11" s="7" t="n"/>
      <c r="L11" s="7" t="n"/>
      <c r="M11" s="7" t="n"/>
      <c r="N11" s="7" t="n"/>
      <c r="O11" s="7" t="n"/>
      <c r="P11" s="9" t="n">
        <v>6648.44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CET (20%) — Tariff 00000000</t>
        </is>
      </c>
      <c r="K12" s="7" t="n"/>
      <c r="L12" s="7" t="n"/>
      <c r="M12" s="7" t="n"/>
      <c r="N12" s="7" t="n"/>
      <c r="O12" s="7" t="n"/>
      <c r="P12" s="9" t="n">
        <v>1329.69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CSC (6%)</t>
        </is>
      </c>
      <c r="K13" s="7" t="n"/>
      <c r="L13" s="7" t="n"/>
      <c r="M13" s="7" t="n"/>
      <c r="N13" s="7" t="n"/>
      <c r="O13" s="7" t="n"/>
      <c r="P13" s="9" t="n">
        <v>398.91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inlineStr">
        <is>
          <t>VAT (15%) on CIF+CET+CSC</t>
        </is>
      </c>
      <c r="K14" s="7" t="n"/>
      <c r="L14" s="7" t="n"/>
      <c r="M14" s="7" t="n"/>
      <c r="N14" s="7" t="n"/>
      <c r="O14" s="7" t="n"/>
      <c r="P14" s="9" t="n">
        <v>1256.56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6" t="inlineStr">
        <is>
          <t>ESTIMATED TOTAL DUTIES</t>
        </is>
      </c>
      <c r="K15" s="10" t="n"/>
      <c r="L15" s="10" t="n"/>
      <c r="M15" s="10" t="n"/>
      <c r="N15" s="10" t="n"/>
      <c r="O15" s="10" t="n"/>
      <c r="P15" s="11" t="n">
        <v>2985.16</v>
      </c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Effective Duty Rate</t>
        </is>
      </c>
      <c r="K16" s="7" t="n"/>
      <c r="L16" s="7" t="n"/>
      <c r="M16" s="7" t="n"/>
      <c r="N16" s="7" t="n"/>
      <c r="O16" s="7" t="n"/>
      <c r="P16" s="12" t="n">
        <v>0.4490015702931816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2026-04-26T23:44:05Z</dcterms:created>
  <dcterms:modified xmlns:dcterms="http://purl.org/dc/terms/" xmlns:xsi="http://www.w3.org/2001/XMLSchema-instance" xsi:type="dcterms:W3CDTF">2026-04-26T23:53:48Z</dcterms:modified>
</cp:coreProperties>
</file>