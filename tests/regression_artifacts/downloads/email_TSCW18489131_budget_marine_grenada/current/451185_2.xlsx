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451185</t>
        </is>
      </c>
      <c r="D2" s="2" t="inlineStr"/>
      <c r="E2" s="2" t="inlineStr">
        <is>
          <t>FILTERING EQUIPMENT</t>
        </is>
      </c>
      <c r="F2" s="2" t="inlineStr">
        <is>
          <t>84219900</t>
        </is>
      </c>
      <c r="G2" s="2" t="inlineStr"/>
      <c r="H2" s="2" t="inlineStr"/>
      <c r="I2" s="2" t="inlineStr">
        <is>
          <t>FM-WCBC975</t>
        </is>
      </c>
      <c r="J2" s="2" t="inlineStr">
        <is>
          <t>Element-Wtr Filter CB 5Mic 1G</t>
        </is>
      </c>
      <c r="K2" s="2" t="n">
        <v>27</v>
      </c>
      <c r="L2" s="2" t="n"/>
      <c r="M2" s="2" t="inlineStr"/>
      <c r="N2" s="2" t="inlineStr">
        <is>
          <t>USD</t>
        </is>
      </c>
      <c r="O2" s="3" t="n">
        <v>28.82</v>
      </c>
      <c r="P2" s="3" t="n">
        <v>778.14</v>
      </c>
      <c r="Q2" s="3">
        <f>O2*K2</f>
        <v/>
      </c>
      <c r="R2" s="3">
        <f>P2-Q2</f>
        <v/>
      </c>
      <c r="S2" s="3" t="n">
        <v>832.61</v>
      </c>
      <c r="T2" s="3" t="n">
        <v>0</v>
      </c>
      <c r="U2" s="3" t="n">
        <v>0</v>
      </c>
      <c r="V2" s="3" t="n">
        <v>54.47</v>
      </c>
      <c r="W2" s="3" t="n">
        <v>0</v>
      </c>
      <c r="X2" s="2" t="n">
        <v>1</v>
      </c>
      <c r="Y2" s="2" t="n"/>
      <c r="Z2" s="2" t="inlineStr">
        <is>
          <t>WMP</t>
        </is>
      </c>
      <c r="AA2" s="2" t="inlineStr">
        <is>
          <t>West Marine Pro</t>
        </is>
      </c>
      <c r="AB2" s="2" t="inlineStr">
        <is>
          <t>PO Box 669336, Dallas, TX 75266-9336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84219900</t>
        </is>
      </c>
      <c r="AL2" t="n">
        <v>39.24</v>
      </c>
      <c r="AM2" t="n">
        <v>14.6</v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inlineStr">
        <is>
          <t>SUBTOTAL</t>
        </is>
      </c>
      <c r="K3" s="4" t="n"/>
      <c r="L3" s="4" t="n"/>
      <c r="M3" s="4" t="n"/>
      <c r="N3" s="4" t="n"/>
      <c r="O3" s="4" t="n"/>
      <c r="P3" s="5">
        <f>P2</f>
        <v/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inlineStr">
        <is>
          <t>ADJUSTMENTS</t>
        </is>
      </c>
      <c r="K4" s="4" t="n"/>
      <c r="L4" s="4" t="n"/>
      <c r="M4" s="4" t="n"/>
      <c r="N4" s="4" t="n"/>
      <c r="O4" s="4" t="n"/>
      <c r="P4" s="5">
        <f>(T2+U2+V2-W2)</f>
        <v/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inlineStr">
        <is>
          <t>NET TOTAL</t>
        </is>
      </c>
      <c r="K5" s="4" t="n"/>
      <c r="L5" s="4" t="n"/>
      <c r="M5" s="4" t="n"/>
      <c r="N5" s="4" t="n"/>
      <c r="O5" s="4" t="n"/>
      <c r="P5" s="5">
        <f>(P3+P4)</f>
        <v/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inlineStr">
        <is>
          <t>VARIANCE CHECK</t>
        </is>
      </c>
      <c r="K6" s="4" t="n"/>
      <c r="L6" s="4" t="n"/>
      <c r="M6" s="4" t="n"/>
      <c r="N6" s="4" t="n"/>
      <c r="O6" s="4" t="n"/>
      <c r="P6" s="5">
        <f>(S2-P5)</f>
        <v/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inlineStr">
        <is>
          <t>DUTY ESTIMATION (Classification Cross-Check)</t>
        </is>
      </c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8" t="inlineStr">
        <is>
          <t>CIF (USD) = InvTotal + Freight + Insurance</t>
        </is>
      </c>
      <c r="K9" s="7" t="n"/>
      <c r="L9" s="7" t="n"/>
      <c r="M9" s="7" t="n"/>
      <c r="N9" s="7" t="n"/>
      <c r="O9" s="7" t="n"/>
      <c r="P9" s="9" t="n">
        <v>832.61</v>
      </c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8" t="inlineStr">
        <is>
          <t>CIF (XCD) = CIF × 2.7169</t>
        </is>
      </c>
      <c r="K10" s="7" t="n"/>
      <c r="L10" s="7" t="n"/>
      <c r="M10" s="7" t="n"/>
      <c r="N10" s="7" t="n"/>
      <c r="O10" s="7" t="n"/>
      <c r="P10" s="9" t="n">
        <v>2262.12</v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8" t="inlineStr">
        <is>
          <t>CET (5%) — Tariff 84219900</t>
        </is>
      </c>
      <c r="K11" s="7" t="n"/>
      <c r="L11" s="7" t="n"/>
      <c r="M11" s="7" t="n"/>
      <c r="N11" s="7" t="n"/>
      <c r="O11" s="7" t="n"/>
      <c r="P11" s="9" t="n">
        <v>113.11</v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8" t="inlineStr">
        <is>
          <t>CSC (6%)</t>
        </is>
      </c>
      <c r="K12" s="7" t="n"/>
      <c r="L12" s="7" t="n"/>
      <c r="M12" s="7" t="n"/>
      <c r="N12" s="7" t="n"/>
      <c r="O12" s="7" t="n"/>
      <c r="P12" s="9" t="n">
        <v>135.73</v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8" t="inlineStr">
        <is>
          <t>VAT (15%) on CIF+CET+CSC</t>
        </is>
      </c>
      <c r="K13" s="7" t="n"/>
      <c r="L13" s="7" t="n"/>
      <c r="M13" s="7" t="n"/>
      <c r="N13" s="7" t="n"/>
      <c r="O13" s="7" t="n"/>
      <c r="P13" s="9" t="n">
        <v>376.64</v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6" t="inlineStr">
        <is>
          <t>ESTIMATED TOTAL DUTIES</t>
        </is>
      </c>
      <c r="K14" s="10" t="n"/>
      <c r="L14" s="10" t="n"/>
      <c r="M14" s="10" t="n"/>
      <c r="N14" s="10" t="n"/>
      <c r="O14" s="10" t="n"/>
      <c r="P14" s="11" t="n">
        <v>625.48</v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8" t="inlineStr">
        <is>
          <t>Effective Duty Rate</t>
        </is>
      </c>
      <c r="K15" s="7" t="n"/>
      <c r="L15" s="7" t="n"/>
      <c r="M15" s="7" t="n"/>
      <c r="N15" s="7" t="n"/>
      <c r="O15" s="7" t="n"/>
      <c r="P15" s="12" t="n">
        <v>0.2765016886814139</v>
      </c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2026-04-27T00:03:59Z</dcterms:created>
  <dcterms:modified xsi:type="dcterms:W3CDTF">2026-04-27T00:09:25Z</dcterms:modified>
</cp:coreProperties>
</file>