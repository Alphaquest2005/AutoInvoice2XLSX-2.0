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0" fillId="3" borderId="1" pivotButton="0" quotePrefix="0" xfId="0"/>
    <xf numFmtId="0" fontId="4" fillId="3" borderId="1" pivotButton="0" quotePrefix="0" xfId="0"/>
    <xf numFmtId="0" fontId="5" fillId="4" borderId="1" pivotButton="0" quotePrefix="0" xfId="0"/>
    <xf numFmtId="0" fontId="0" fillId="0" borderId="1" pivotButton="0" quotePrefix="0" xfId="0"/>
    <xf numFmtId="0" fontId="6" fillId="0" borderId="1" pivotButton="0" quotePrefix="0" xfId="0"/>
    <xf numFmtId="164" fontId="5" fillId="0" borderId="1" pivotButton="0" quotePrefix="0" xfId="0"/>
    <xf numFmtId="0" fontId="0" fillId="4" borderId="1" pivotButton="0" quotePrefix="0" xfId="0"/>
    <xf numFmtId="164" fontId="5" fillId="4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  <c r="AL1" t="inlineStr">
        <is>
          <t>BLFreight</t>
        </is>
      </c>
      <c r="AM1" t="inlineStr">
        <is>
          <t>BLInsurance</t>
        </is>
      </c>
    </row>
    <row r="2">
      <c r="A2" s="2" t="inlineStr">
        <is>
          <t>7400-000</t>
        </is>
      </c>
      <c r="B2" s="2" t="inlineStr"/>
      <c r="C2" s="2" t="inlineStr">
        <is>
          <t>8440870</t>
        </is>
      </c>
      <c r="D2" s="2" t="inlineStr">
        <is>
          <t>2026-01-23</t>
        </is>
      </c>
      <c r="E2" s="2" t="inlineStr">
        <is>
          <t>PRODUCTS</t>
        </is>
      </c>
      <c r="F2" s="2" t="inlineStr">
        <is>
          <t>00000000</t>
        </is>
      </c>
      <c r="G2" s="2" t="inlineStr"/>
      <c r="H2" s="2" t="inlineStr"/>
      <c r="I2" s="2" t="inlineStr">
        <is>
          <t>1103</t>
        </is>
      </c>
      <c r="J2" s="2" t="inlineStr"/>
      <c r="K2" s="2" t="n">
        <v>2</v>
      </c>
      <c r="L2" s="2" t="n"/>
      <c r="M2" s="2" t="inlineStr"/>
      <c r="N2" s="2" t="inlineStr">
        <is>
          <t>USD</t>
        </is>
      </c>
      <c r="O2" s="3" t="n">
        <v>39.19</v>
      </c>
      <c r="P2" s="3" t="n">
        <v>78.38</v>
      </c>
      <c r="Q2" s="3">
        <f>O2*K2</f>
        <v/>
      </c>
      <c r="R2" s="3">
        <f>P2-Q2</f>
        <v/>
      </c>
      <c r="S2" s="3" t="n">
        <v>1878.65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5</v>
      </c>
      <c r="Y2" s="2" t="n"/>
      <c r="Z2" s="2" t="inlineStr">
        <is>
          <t>DON</t>
        </is>
      </c>
      <c r="AA2" s="2" t="inlineStr">
        <is>
          <t>Donovan Marine Inc. (GRE)</t>
        </is>
      </c>
      <c r="AB2" s="2" t="inlineStr">
        <is>
          <t>PO Box 1979, Memphis, TN 38101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00000000</t>
        </is>
      </c>
      <c r="AL2" t="n">
        <v>88.53</v>
      </c>
      <c r="AM2" t="n">
        <v>32.95</v>
      </c>
    </row>
    <row r="3">
      <c r="A3" s="2" t="n"/>
      <c r="B3" s="2" t="inlineStr"/>
      <c r="C3" s="2" t="inlineStr">
        <is>
          <t>8440870</t>
        </is>
      </c>
      <c r="D3" s="2" t="inlineStr">
        <is>
          <t>2026-01-23</t>
        </is>
      </c>
      <c r="E3" s="2" t="inlineStr">
        <is>
          <t>PRODUCTS</t>
        </is>
      </c>
      <c r="F3" s="2" t="inlineStr">
        <is>
          <t>00000000</t>
        </is>
      </c>
      <c r="G3" s="2" t="inlineStr"/>
      <c r="H3" s="2" t="inlineStr"/>
      <c r="I3" s="2" t="inlineStr">
        <is>
          <t>1141</t>
        </is>
      </c>
      <c r="J3" s="2" t="inlineStr"/>
      <c r="K3" s="2" t="n">
        <v>2</v>
      </c>
      <c r="L3" s="2" t="n"/>
      <c r="M3" s="2" t="inlineStr"/>
      <c r="N3" s="2" t="inlineStr">
        <is>
          <t>USD</t>
        </is>
      </c>
      <c r="O3" s="3" t="n">
        <v>7.49</v>
      </c>
      <c r="P3" s="3" t="n">
        <v>14.98</v>
      </c>
      <c r="Q3" s="3">
        <f>O3*K3</f>
        <v/>
      </c>
      <c r="R3" s="3">
        <f>P3-Q3</f>
        <v/>
      </c>
      <c r="S3" s="3" t="n"/>
      <c r="T3" s="3" t="n"/>
      <c r="U3" s="3" t="n"/>
      <c r="V3" s="3" t="n"/>
      <c r="W3" s="3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inlineStr">
        <is>
          <t>00000000</t>
        </is>
      </c>
    </row>
    <row r="4">
      <c r="A4" s="2" t="n"/>
      <c r="B4" s="2" t="inlineStr"/>
      <c r="C4" s="2" t="inlineStr">
        <is>
          <t>8440870</t>
        </is>
      </c>
      <c r="D4" s="2" t="inlineStr">
        <is>
          <t>2026-01-23</t>
        </is>
      </c>
      <c r="E4" s="2" t="inlineStr">
        <is>
          <t>PRODUCTS</t>
        </is>
      </c>
      <c r="F4" s="2" t="inlineStr">
        <is>
          <t>00000000</t>
        </is>
      </c>
      <c r="G4" s="2" t="inlineStr"/>
      <c r="H4" s="2" t="inlineStr"/>
      <c r="I4" s="2" t="inlineStr">
        <is>
          <t>1151</t>
        </is>
      </c>
      <c r="J4" s="2" t="inlineStr"/>
      <c r="K4" s="2" t="n">
        <v>2</v>
      </c>
      <c r="L4" s="2" t="n"/>
      <c r="M4" s="2" t="inlineStr"/>
      <c r="N4" s="2" t="inlineStr">
        <is>
          <t>USD</t>
        </is>
      </c>
      <c r="O4" s="3" t="n">
        <v>14.89</v>
      </c>
      <c r="P4" s="3" t="n">
        <v>29.78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00000000</t>
        </is>
      </c>
    </row>
    <row r="5">
      <c r="A5" s="2" t="n"/>
      <c r="B5" s="2" t="inlineStr"/>
      <c r="C5" s="2" t="inlineStr">
        <is>
          <t>8440870</t>
        </is>
      </c>
      <c r="D5" s="2" t="inlineStr">
        <is>
          <t>2026-01-23</t>
        </is>
      </c>
      <c r="E5" s="2" t="inlineStr">
        <is>
          <t>PRODUCTS</t>
        </is>
      </c>
      <c r="F5" s="2" t="inlineStr">
        <is>
          <t>00000000</t>
        </is>
      </c>
      <c r="G5" s="2" t="inlineStr"/>
      <c r="H5" s="2" t="inlineStr"/>
      <c r="I5" s="2" t="inlineStr">
        <is>
          <t>06504</t>
        </is>
      </c>
      <c r="J5" s="2" t="inlineStr"/>
      <c r="K5" s="2" t="n">
        <v>2</v>
      </c>
      <c r="L5" s="2" t="n"/>
      <c r="M5" s="2" t="inlineStr"/>
      <c r="N5" s="2" t="inlineStr">
        <is>
          <t>USD</t>
        </is>
      </c>
      <c r="O5" s="3" t="n">
        <v>19.43</v>
      </c>
      <c r="P5" s="3" t="n">
        <v>38.86</v>
      </c>
      <c r="Q5" s="3">
        <f>O5*K5</f>
        <v/>
      </c>
      <c r="R5" s="3">
        <f>P5-Q5</f>
        <v/>
      </c>
      <c r="S5" s="3" t="n"/>
      <c r="T5" s="3" t="n"/>
      <c r="U5" s="3" t="n"/>
      <c r="V5" s="3" t="n"/>
      <c r="W5" s="3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inlineStr">
        <is>
          <t>00000000</t>
        </is>
      </c>
    </row>
    <row r="6">
      <c r="A6" s="2" t="n"/>
      <c r="B6" s="2" t="inlineStr"/>
      <c r="C6" s="2" t="inlineStr">
        <is>
          <t>8440870</t>
        </is>
      </c>
      <c r="D6" s="2" t="inlineStr">
        <is>
          <t>2026-01-23</t>
        </is>
      </c>
      <c r="E6" s="2" t="inlineStr">
        <is>
          <t>PRODUCTS</t>
        </is>
      </c>
      <c r="F6" s="2" t="inlineStr">
        <is>
          <t>00000000</t>
        </is>
      </c>
      <c r="G6" s="2" t="inlineStr"/>
      <c r="H6" s="2" t="inlineStr"/>
      <c r="I6" s="2" t="inlineStr">
        <is>
          <t>07025</t>
        </is>
      </c>
      <c r="J6" s="2" t="inlineStr"/>
      <c r="K6" s="2" t="n">
        <v>10</v>
      </c>
      <c r="L6" s="2" t="n"/>
      <c r="M6" s="2" t="inlineStr"/>
      <c r="N6" s="2" t="inlineStr">
        <is>
          <t>USD</t>
        </is>
      </c>
      <c r="O6" s="3" t="n">
        <v>14.54</v>
      </c>
      <c r="P6" s="3" t="n">
        <v>145.4</v>
      </c>
      <c r="Q6" s="3">
        <f>O6*K6</f>
        <v/>
      </c>
      <c r="R6" s="3">
        <f>P6-Q6</f>
        <v/>
      </c>
      <c r="S6" s="3" t="n"/>
      <c r="T6" s="3" t="n"/>
      <c r="U6" s="3" t="n"/>
      <c r="V6" s="3" t="n"/>
      <c r="W6" s="3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inlineStr">
        <is>
          <t>00000000</t>
        </is>
      </c>
    </row>
    <row r="7">
      <c r="A7" s="2" t="n"/>
      <c r="B7" s="2" t="inlineStr"/>
      <c r="C7" s="2" t="inlineStr">
        <is>
          <t>8440870</t>
        </is>
      </c>
      <c r="D7" s="2" t="inlineStr">
        <is>
          <t>2026-01-23</t>
        </is>
      </c>
      <c r="E7" s="2" t="inlineStr">
        <is>
          <t>PRODUCTS</t>
        </is>
      </c>
      <c r="F7" s="2" t="inlineStr">
        <is>
          <t>00000000</t>
        </is>
      </c>
      <c r="G7" s="2" t="inlineStr"/>
      <c r="H7" s="2" t="inlineStr"/>
      <c r="I7" s="2" t="inlineStr">
        <is>
          <t>07447</t>
        </is>
      </c>
      <c r="J7" s="2" t="inlineStr"/>
      <c r="K7" s="2" t="n">
        <v>1</v>
      </c>
      <c r="L7" s="2" t="n"/>
      <c r="M7" s="2" t="inlineStr"/>
      <c r="N7" s="2" t="inlineStr">
        <is>
          <t>USD</t>
        </is>
      </c>
      <c r="O7" s="3" t="n">
        <v>25.55</v>
      </c>
      <c r="P7" s="3" t="n">
        <v>25.55</v>
      </c>
      <c r="Q7" s="3">
        <f>O7*K7</f>
        <v/>
      </c>
      <c r="R7" s="3">
        <f>P7-Q7</f>
        <v/>
      </c>
      <c r="S7" s="3" t="n"/>
      <c r="T7" s="3" t="n"/>
      <c r="U7" s="3" t="n"/>
      <c r="V7" s="3" t="n"/>
      <c r="W7" s="3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inlineStr">
        <is>
          <t>00000000</t>
        </is>
      </c>
    </row>
    <row r="8">
      <c r="A8" s="2" t="n"/>
      <c r="B8" s="2" t="inlineStr"/>
      <c r="C8" s="2" t="inlineStr">
        <is>
          <t>8440870</t>
        </is>
      </c>
      <c r="D8" s="2" t="inlineStr">
        <is>
          <t>2026-01-23</t>
        </is>
      </c>
      <c r="E8" s="2" t="inlineStr">
        <is>
          <t>PRODUCTS</t>
        </is>
      </c>
      <c r="F8" s="2" t="inlineStr">
        <is>
          <t>00000000</t>
        </is>
      </c>
      <c r="G8" s="2" t="inlineStr"/>
      <c r="H8" s="2" t="inlineStr"/>
      <c r="I8" s="2" t="inlineStr">
        <is>
          <t>54186</t>
        </is>
      </c>
      <c r="J8" s="2" t="inlineStr"/>
      <c r="K8" s="2" t="n">
        <v>2</v>
      </c>
      <c r="L8" s="2" t="n"/>
      <c r="M8" s="2" t="inlineStr"/>
      <c r="N8" s="2" t="inlineStr">
        <is>
          <t>USD</t>
        </is>
      </c>
      <c r="O8" s="3" t="n">
        <v>19.03</v>
      </c>
      <c r="P8" s="3" t="n">
        <v>38.06</v>
      </c>
      <c r="Q8" s="3">
        <f>O8*K8</f>
        <v/>
      </c>
      <c r="R8" s="3">
        <f>P8-Q8</f>
        <v/>
      </c>
      <c r="S8" s="3" t="n"/>
      <c r="T8" s="3" t="n"/>
      <c r="U8" s="3" t="n"/>
      <c r="V8" s="3" t="n"/>
      <c r="W8" s="3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inlineStr">
        <is>
          <t>00000000</t>
        </is>
      </c>
    </row>
    <row r="9">
      <c r="A9" s="2" t="n"/>
      <c r="B9" s="2" t="inlineStr"/>
      <c r="C9" s="2" t="inlineStr">
        <is>
          <t>8440870</t>
        </is>
      </c>
      <c r="D9" s="2" t="inlineStr">
        <is>
          <t>2026-01-23</t>
        </is>
      </c>
      <c r="E9" s="2" t="inlineStr">
        <is>
          <t>PRODUCTS</t>
        </is>
      </c>
      <c r="F9" s="2" t="inlineStr">
        <is>
          <t>00000000</t>
        </is>
      </c>
      <c r="G9" s="2" t="inlineStr"/>
      <c r="H9" s="2" t="inlineStr"/>
      <c r="I9" s="2" t="inlineStr">
        <is>
          <t>5110</t>
        </is>
      </c>
      <c r="J9" s="2" t="inlineStr"/>
      <c r="K9" s="2" t="n">
        <v>8</v>
      </c>
      <c r="L9" s="2" t="n"/>
      <c r="M9" s="2" t="inlineStr"/>
      <c r="N9" s="2" t="inlineStr">
        <is>
          <t>USD</t>
        </is>
      </c>
      <c r="O9" s="3" t="n">
        <v>2.05</v>
      </c>
      <c r="P9" s="3" t="n">
        <v>16.4</v>
      </c>
      <c r="Q9" s="3">
        <f>O9*K9</f>
        <v/>
      </c>
      <c r="R9" s="3">
        <f>P9-Q9</f>
        <v/>
      </c>
      <c r="S9" s="3" t="n"/>
      <c r="T9" s="3" t="n"/>
      <c r="U9" s="3" t="n"/>
      <c r="V9" s="3" t="n"/>
      <c r="W9" s="3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inlineStr">
        <is>
          <t>00000000</t>
        </is>
      </c>
    </row>
    <row r="10">
      <c r="A10" s="2" t="n"/>
      <c r="B10" s="2" t="inlineStr"/>
      <c r="C10" s="2" t="inlineStr">
        <is>
          <t>8440870</t>
        </is>
      </c>
      <c r="D10" s="2" t="inlineStr">
        <is>
          <t>2026-01-23</t>
        </is>
      </c>
      <c r="E10" s="2" t="inlineStr">
        <is>
          <t>PRODUCTS</t>
        </is>
      </c>
      <c r="F10" s="2" t="inlineStr">
        <is>
          <t>00000000</t>
        </is>
      </c>
      <c r="G10" s="2" t="inlineStr"/>
      <c r="H10" s="2" t="inlineStr"/>
      <c r="I10" s="2" t="inlineStr">
        <is>
          <t>5126</t>
        </is>
      </c>
      <c r="J10" s="2" t="inlineStr"/>
      <c r="K10" s="2" t="n">
        <v>4</v>
      </c>
      <c r="L10" s="2" t="n"/>
      <c r="M10" s="2" t="inlineStr"/>
      <c r="N10" s="2" t="inlineStr">
        <is>
          <t>USD</t>
        </is>
      </c>
      <c r="O10" s="3" t="n">
        <v>2.07</v>
      </c>
      <c r="P10" s="3" t="n">
        <v>8.279999999999999</v>
      </c>
      <c r="Q10" s="3">
        <f>O10*K10</f>
        <v/>
      </c>
      <c r="R10" s="3">
        <f>P10-Q10</f>
        <v/>
      </c>
      <c r="S10" s="3" t="n"/>
      <c r="T10" s="3" t="n"/>
      <c r="U10" s="3" t="n"/>
      <c r="V10" s="3" t="n"/>
      <c r="W10" s="3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inlineStr">
        <is>
          <t>00000000</t>
        </is>
      </c>
    </row>
    <row r="11">
      <c r="A11" s="2" t="n"/>
      <c r="B11" s="2" t="inlineStr"/>
      <c r="C11" s="2" t="inlineStr">
        <is>
          <t>8440870</t>
        </is>
      </c>
      <c r="D11" s="2" t="inlineStr">
        <is>
          <t>2026-01-23</t>
        </is>
      </c>
      <c r="E11" s="2" t="inlineStr">
        <is>
          <t>PRODUCTS</t>
        </is>
      </c>
      <c r="F11" s="2" t="inlineStr">
        <is>
          <t>00000000</t>
        </is>
      </c>
      <c r="G11" s="2" t="inlineStr"/>
      <c r="H11" s="2" t="inlineStr"/>
      <c r="I11" s="2" t="inlineStr">
        <is>
          <t>1098</t>
        </is>
      </c>
      <c r="J11" s="2" t="inlineStr"/>
      <c r="K11" s="2" t="n">
        <v>12</v>
      </c>
      <c r="L11" s="2" t="n"/>
      <c r="M11" s="2" t="inlineStr"/>
      <c r="N11" s="2" t="inlineStr">
        <is>
          <t>USD</t>
        </is>
      </c>
      <c r="O11" s="3" t="n">
        <v>2.09</v>
      </c>
      <c r="P11" s="3" t="n">
        <v>25.08</v>
      </c>
      <c r="Q11" s="3">
        <f>O11*K11</f>
        <v/>
      </c>
      <c r="R11" s="3">
        <f>P11-Q11</f>
        <v/>
      </c>
      <c r="S11" s="3" t="n"/>
      <c r="T11" s="3" t="n"/>
      <c r="U11" s="3" t="n"/>
      <c r="V11" s="3" t="n"/>
      <c r="W11" s="3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inlineStr">
        <is>
          <t>00000000</t>
        </is>
      </c>
    </row>
    <row r="12">
      <c r="A12" s="2" t="n"/>
      <c r="B12" s="2" t="inlineStr"/>
      <c r="C12" s="2" t="inlineStr">
        <is>
          <t>8440870</t>
        </is>
      </c>
      <c r="D12" s="2" t="inlineStr">
        <is>
          <t>2026-01-23</t>
        </is>
      </c>
      <c r="E12" s="2" t="inlineStr">
        <is>
          <t>PRODUCTS</t>
        </is>
      </c>
      <c r="F12" s="2" t="inlineStr">
        <is>
          <t>00000000</t>
        </is>
      </c>
      <c r="G12" s="2" t="inlineStr"/>
      <c r="H12" s="2" t="inlineStr"/>
      <c r="I12" s="2" t="inlineStr">
        <is>
          <t>4551</t>
        </is>
      </c>
      <c r="J12" s="2" t="inlineStr"/>
      <c r="K12" s="2" t="n">
        <v>10</v>
      </c>
      <c r="L12" s="2" t="n"/>
      <c r="M12" s="2" t="inlineStr"/>
      <c r="N12" s="2" t="inlineStr">
        <is>
          <t>USD</t>
        </is>
      </c>
      <c r="O12" s="3" t="n">
        <v>2.09</v>
      </c>
      <c r="P12" s="3" t="n">
        <v>20.9</v>
      </c>
      <c r="Q12" s="3">
        <f>O12*K12</f>
        <v/>
      </c>
      <c r="R12" s="3">
        <f>P12-Q12</f>
        <v/>
      </c>
      <c r="S12" s="3" t="n"/>
      <c r="T12" s="3" t="n"/>
      <c r="U12" s="3" t="n"/>
      <c r="V12" s="3" t="n"/>
      <c r="W12" s="3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inlineStr">
        <is>
          <t>00000000</t>
        </is>
      </c>
    </row>
    <row r="13">
      <c r="A13" s="2" t="n"/>
      <c r="B13" s="2" t="inlineStr"/>
      <c r="C13" s="2" t="inlineStr">
        <is>
          <t>8440870</t>
        </is>
      </c>
      <c r="D13" s="2" t="inlineStr">
        <is>
          <t>2026-01-23</t>
        </is>
      </c>
      <c r="E13" s="2" t="inlineStr">
        <is>
          <t>PRODUCTS</t>
        </is>
      </c>
      <c r="F13" s="2" t="inlineStr">
        <is>
          <t>00000000</t>
        </is>
      </c>
      <c r="G13" s="2" t="inlineStr"/>
      <c r="H13" s="2" t="inlineStr"/>
      <c r="I13" s="2" t="inlineStr">
        <is>
          <t>3481</t>
        </is>
      </c>
      <c r="J13" s="2" t="inlineStr"/>
      <c r="K13" s="2" t="n">
        <v>4</v>
      </c>
      <c r="L13" s="2" t="n"/>
      <c r="M13" s="2" t="inlineStr"/>
      <c r="N13" s="2" t="inlineStr">
        <is>
          <t>USD</t>
        </is>
      </c>
      <c r="O13" s="3" t="n">
        <v>3.17</v>
      </c>
      <c r="P13" s="3" t="n">
        <v>12.68</v>
      </c>
      <c r="Q13" s="3">
        <f>O13*K13</f>
        <v/>
      </c>
      <c r="R13" s="3">
        <f>P13-Q13</f>
        <v/>
      </c>
      <c r="S13" s="3" t="n"/>
      <c r="T13" s="3" t="n"/>
      <c r="U13" s="3" t="n"/>
      <c r="V13" s="3" t="n"/>
      <c r="W13" s="3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inlineStr">
        <is>
          <t>00000000</t>
        </is>
      </c>
    </row>
    <row r="14">
      <c r="A14" s="2" t="n"/>
      <c r="B14" s="2" t="inlineStr"/>
      <c r="C14" s="2" t="inlineStr">
        <is>
          <t>8440870</t>
        </is>
      </c>
      <c r="D14" s="2" t="inlineStr">
        <is>
          <t>2026-01-23</t>
        </is>
      </c>
      <c r="E14" s="2" t="inlineStr">
        <is>
          <t>PRODUCTS</t>
        </is>
      </c>
      <c r="F14" s="2" t="inlineStr">
        <is>
          <t>00000000</t>
        </is>
      </c>
      <c r="G14" s="2" t="inlineStr"/>
      <c r="H14" s="2" t="inlineStr"/>
      <c r="I14" s="2" t="inlineStr">
        <is>
          <t>584</t>
        </is>
      </c>
      <c r="J14" s="2" t="inlineStr"/>
      <c r="K14" s="2" t="n">
        <v>4</v>
      </c>
      <c r="L14" s="2" t="n"/>
      <c r="M14" s="2" t="inlineStr"/>
      <c r="N14" s="2" t="inlineStr">
        <is>
          <t>USD</t>
        </is>
      </c>
      <c r="O14" s="3" t="n">
        <v>56.62</v>
      </c>
      <c r="P14" s="3" t="n">
        <v>226.48</v>
      </c>
      <c r="Q14" s="3">
        <f>O14*K14</f>
        <v/>
      </c>
      <c r="R14" s="3">
        <f>P14-Q14</f>
        <v/>
      </c>
      <c r="S14" s="3" t="n"/>
      <c r="T14" s="3" t="n"/>
      <c r="U14" s="3" t="n"/>
      <c r="V14" s="3" t="n"/>
      <c r="W14" s="3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inlineStr">
        <is>
          <t>00000000</t>
        </is>
      </c>
    </row>
    <row r="15">
      <c r="A15" s="2" t="n"/>
      <c r="B15" s="2" t="inlineStr"/>
      <c r="C15" s="2" t="inlineStr">
        <is>
          <t>8440870</t>
        </is>
      </c>
      <c r="D15" s="2" t="inlineStr">
        <is>
          <t>2026-01-23</t>
        </is>
      </c>
      <c r="E15" s="2" t="inlineStr">
        <is>
          <t>PRODUCTS</t>
        </is>
      </c>
      <c r="F15" s="2" t="inlineStr">
        <is>
          <t>00000000</t>
        </is>
      </c>
      <c r="G15" s="2" t="inlineStr"/>
      <c r="H15" s="2" t="inlineStr"/>
      <c r="I15" s="2" t="inlineStr">
        <is>
          <t>14600</t>
        </is>
      </c>
      <c r="J15" s="2" t="inlineStr"/>
      <c r="K15" s="2" t="n">
        <v>2</v>
      </c>
      <c r="L15" s="2" t="n"/>
      <c r="M15" s="2" t="inlineStr"/>
      <c r="N15" s="2" t="inlineStr">
        <is>
          <t>USD</t>
        </is>
      </c>
      <c r="O15" s="3" t="n">
        <v>4.55</v>
      </c>
      <c r="P15" s="3" t="n">
        <v>9.1</v>
      </c>
      <c r="Q15" s="3">
        <f>O15*K15</f>
        <v/>
      </c>
      <c r="R15" s="3">
        <f>P15-Q15</f>
        <v/>
      </c>
      <c r="S15" s="3" t="n"/>
      <c r="T15" s="3" t="n"/>
      <c r="U15" s="3" t="n"/>
      <c r="V15" s="3" t="n"/>
      <c r="W15" s="3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inlineStr">
        <is>
          <t>00000000</t>
        </is>
      </c>
    </row>
    <row r="16">
      <c r="A16" s="2" t="n"/>
      <c r="B16" s="2" t="inlineStr"/>
      <c r="C16" s="2" t="inlineStr">
        <is>
          <t>8440870</t>
        </is>
      </c>
      <c r="D16" s="2" t="inlineStr">
        <is>
          <t>2026-01-23</t>
        </is>
      </c>
      <c r="E16" s="2" t="inlineStr">
        <is>
          <t>PRODUCTS</t>
        </is>
      </c>
      <c r="F16" s="2" t="inlineStr">
        <is>
          <t>00000000</t>
        </is>
      </c>
      <c r="G16" s="2" t="inlineStr"/>
      <c r="H16" s="2" t="inlineStr"/>
      <c r="I16" s="2" t="inlineStr">
        <is>
          <t>5215</t>
        </is>
      </c>
      <c r="J16" s="2" t="inlineStr"/>
      <c r="K16" s="2" t="n">
        <v>2</v>
      </c>
      <c r="L16" s="2" t="n"/>
      <c r="M16" s="2" t="inlineStr"/>
      <c r="N16" s="2" t="inlineStr">
        <is>
          <t>USD</t>
        </is>
      </c>
      <c r="O16" s="3" t="n">
        <v>57.95</v>
      </c>
      <c r="P16" s="3" t="n">
        <v>115.9</v>
      </c>
      <c r="Q16" s="3">
        <f>O16*K16</f>
        <v/>
      </c>
      <c r="R16" s="3">
        <f>P16-Q16</f>
        <v/>
      </c>
      <c r="S16" s="3" t="n"/>
      <c r="T16" s="3" t="n"/>
      <c r="U16" s="3" t="n"/>
      <c r="V16" s="3" t="n"/>
      <c r="W16" s="3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inlineStr">
        <is>
          <t>00000000</t>
        </is>
      </c>
    </row>
    <row r="17">
      <c r="A17" s="2" t="n"/>
      <c r="B17" s="2" t="inlineStr"/>
      <c r="C17" s="2" t="inlineStr">
        <is>
          <t>8440870</t>
        </is>
      </c>
      <c r="D17" s="2" t="inlineStr">
        <is>
          <t>2026-01-23</t>
        </is>
      </c>
      <c r="E17" s="2" t="inlineStr">
        <is>
          <t>PRODUCTS</t>
        </is>
      </c>
      <c r="F17" s="2" t="inlineStr">
        <is>
          <t>00000000</t>
        </is>
      </c>
      <c r="G17" s="2" t="inlineStr"/>
      <c r="H17" s="2" t="inlineStr"/>
      <c r="I17" s="2" t="inlineStr">
        <is>
          <t>PL-259-CP-G</t>
        </is>
      </c>
      <c r="J17" s="2" t="inlineStr"/>
      <c r="K17" s="2" t="n">
        <v>2</v>
      </c>
      <c r="L17" s="2" t="n"/>
      <c r="M17" s="2" t="inlineStr"/>
      <c r="N17" s="2" t="inlineStr">
        <is>
          <t>USD</t>
        </is>
      </c>
      <c r="O17" s="3" t="n">
        <v>11.23</v>
      </c>
      <c r="P17" s="3" t="n">
        <v>22.46</v>
      </c>
      <c r="Q17" s="3">
        <f>O17*K17</f>
        <v/>
      </c>
      <c r="R17" s="3">
        <f>P17-Q17</f>
        <v/>
      </c>
      <c r="S17" s="3" t="n"/>
      <c r="T17" s="3" t="n"/>
      <c r="U17" s="3" t="n"/>
      <c r="V17" s="3" t="n"/>
      <c r="W17" s="3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inlineStr">
        <is>
          <t>00000000</t>
        </is>
      </c>
    </row>
    <row r="18">
      <c r="A18" s="2" t="n"/>
      <c r="B18" s="2" t="inlineStr"/>
      <c r="C18" s="2" t="inlineStr">
        <is>
          <t>8440870</t>
        </is>
      </c>
      <c r="D18" s="2" t="inlineStr">
        <is>
          <t>2026-01-23</t>
        </is>
      </c>
      <c r="E18" s="2" t="inlineStr">
        <is>
          <t>PRODUCTS</t>
        </is>
      </c>
      <c r="F18" s="2" t="inlineStr">
        <is>
          <t>00000000</t>
        </is>
      </c>
      <c r="G18" s="2" t="inlineStr"/>
      <c r="H18" s="2" t="inlineStr"/>
      <c r="I18" s="2" t="inlineStr">
        <is>
          <t>040005</t>
        </is>
      </c>
      <c r="J18" s="2" t="inlineStr"/>
      <c r="K18" s="2" t="n">
        <v>2</v>
      </c>
      <c r="L18" s="2" t="n"/>
      <c r="M18" s="2" t="inlineStr"/>
      <c r="N18" s="2" t="inlineStr">
        <is>
          <t>USD</t>
        </is>
      </c>
      <c r="O18" s="3" t="n">
        <v>34.36</v>
      </c>
      <c r="P18" s="3" t="n">
        <v>68.72</v>
      </c>
      <c r="Q18" s="3">
        <f>O18*K18</f>
        <v/>
      </c>
      <c r="R18" s="3">
        <f>P18-Q18</f>
        <v/>
      </c>
      <c r="S18" s="3" t="n"/>
      <c r="T18" s="3" t="n"/>
      <c r="U18" s="3" t="n"/>
      <c r="V18" s="3" t="n"/>
      <c r="W18" s="3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inlineStr">
        <is>
          <t>00000000</t>
        </is>
      </c>
    </row>
    <row r="19">
      <c r="A19" s="2" t="n"/>
      <c r="B19" s="2" t="inlineStr"/>
      <c r="C19" s="2" t="inlineStr">
        <is>
          <t>8440870</t>
        </is>
      </c>
      <c r="D19" s="2" t="inlineStr">
        <is>
          <t>2026-01-23</t>
        </is>
      </c>
      <c r="E19" s="2" t="inlineStr">
        <is>
          <t>PRODUCTS</t>
        </is>
      </c>
      <c r="F19" s="2" t="inlineStr">
        <is>
          <t>00000000</t>
        </is>
      </c>
      <c r="G19" s="2" t="inlineStr"/>
      <c r="H19" s="2" t="inlineStr"/>
      <c r="I19" s="2" t="inlineStr">
        <is>
          <t>040074</t>
        </is>
      </c>
      <c r="J19" s="2" t="inlineStr"/>
      <c r="K19" s="2" t="n">
        <v>2</v>
      </c>
      <c r="L19" s="2" t="n"/>
      <c r="M19" s="2" t="inlineStr"/>
      <c r="N19" s="2" t="inlineStr">
        <is>
          <t>USD</t>
        </is>
      </c>
      <c r="O19" s="3" t="n">
        <v>2.96</v>
      </c>
      <c r="P19" s="3" t="n">
        <v>5.92</v>
      </c>
      <c r="Q19" s="3">
        <f>O19*K19</f>
        <v/>
      </c>
      <c r="R19" s="3">
        <f>P19-Q19</f>
        <v/>
      </c>
      <c r="S19" s="3" t="n"/>
      <c r="T19" s="3" t="n"/>
      <c r="U19" s="3" t="n"/>
      <c r="V19" s="3" t="n"/>
      <c r="W19" s="3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inlineStr">
        <is>
          <t>00000000</t>
        </is>
      </c>
    </row>
    <row r="20">
      <c r="A20" s="2" t="n"/>
      <c r="B20" s="2" t="inlineStr"/>
      <c r="C20" s="2" t="inlineStr">
        <is>
          <t>8440870</t>
        </is>
      </c>
      <c r="D20" s="2" t="inlineStr">
        <is>
          <t>2026-01-23</t>
        </is>
      </c>
      <c r="E20" s="2" t="inlineStr">
        <is>
          <t>PRODUCTS</t>
        </is>
      </c>
      <c r="F20" s="2" t="inlineStr">
        <is>
          <t>00000000</t>
        </is>
      </c>
      <c r="G20" s="2" t="inlineStr"/>
      <c r="H20" s="2" t="inlineStr"/>
      <c r="I20" s="2" t="inlineStr">
        <is>
          <t>087104</t>
        </is>
      </c>
      <c r="J20" s="2" t="inlineStr"/>
      <c r="K20" s="2" t="n">
        <v>2</v>
      </c>
      <c r="L20" s="2" t="n"/>
      <c r="M20" s="2" t="inlineStr"/>
      <c r="N20" s="2" t="inlineStr">
        <is>
          <t>USD</t>
        </is>
      </c>
      <c r="O20" s="3" t="n">
        <v>14.4</v>
      </c>
      <c r="P20" s="3" t="n">
        <v>28.8</v>
      </c>
      <c r="Q20" s="3">
        <f>O20*K20</f>
        <v/>
      </c>
      <c r="R20" s="3">
        <f>P20-Q20</f>
        <v/>
      </c>
      <c r="S20" s="3" t="n"/>
      <c r="T20" s="3" t="n"/>
      <c r="U20" s="3" t="n"/>
      <c r="V20" s="3" t="n"/>
      <c r="W20" s="3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inlineStr">
        <is>
          <t>00000000</t>
        </is>
      </c>
    </row>
    <row r="21">
      <c r="A21" s="2" t="n"/>
      <c r="B21" s="2" t="inlineStr"/>
      <c r="C21" s="2" t="inlineStr">
        <is>
          <t>8440870</t>
        </is>
      </c>
      <c r="D21" s="2" t="inlineStr">
        <is>
          <t>2026-01-23</t>
        </is>
      </c>
      <c r="E21" s="2" t="inlineStr">
        <is>
          <t>PRODUCTS</t>
        </is>
      </c>
      <c r="F21" s="2" t="inlineStr">
        <is>
          <t>00000000</t>
        </is>
      </c>
      <c r="G21" s="2" t="inlineStr"/>
      <c r="H21" s="2" t="inlineStr"/>
      <c r="I21" s="2" t="inlineStr">
        <is>
          <t>092832</t>
        </is>
      </c>
      <c r="J21" s="2" t="inlineStr"/>
      <c r="K21" s="2" t="n">
        <v>2</v>
      </c>
      <c r="L21" s="2" t="n"/>
      <c r="M21" s="2" t="inlineStr"/>
      <c r="N21" s="2" t="inlineStr">
        <is>
          <t>USD</t>
        </is>
      </c>
      <c r="O21" s="3" t="n">
        <v>10.72</v>
      </c>
      <c r="P21" s="3" t="n">
        <v>21.44</v>
      </c>
      <c r="Q21" s="3">
        <f>O21*K21</f>
        <v/>
      </c>
      <c r="R21" s="3">
        <f>P21-Q21</f>
        <v/>
      </c>
      <c r="S21" s="3" t="n"/>
      <c r="T21" s="3" t="n"/>
      <c r="U21" s="3" t="n"/>
      <c r="V21" s="3" t="n"/>
      <c r="W21" s="3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inlineStr">
        <is>
          <t>00000000</t>
        </is>
      </c>
    </row>
    <row r="22">
      <c r="A22" s="2" t="n"/>
      <c r="B22" s="2" t="inlineStr"/>
      <c r="C22" s="2" t="inlineStr">
        <is>
          <t>8440870</t>
        </is>
      </c>
      <c r="D22" s="2" t="inlineStr">
        <is>
          <t>2026-01-23</t>
        </is>
      </c>
      <c r="E22" s="2" t="inlineStr">
        <is>
          <t>PRODUCTS</t>
        </is>
      </c>
      <c r="F22" s="2" t="inlineStr">
        <is>
          <t>00000000</t>
        </is>
      </c>
      <c r="G22" s="2" t="inlineStr"/>
      <c r="H22" s="2" t="inlineStr"/>
      <c r="I22" s="2" t="inlineStr">
        <is>
          <t>10019</t>
        </is>
      </c>
      <c r="J22" s="2" t="inlineStr"/>
      <c r="K22" s="2" t="n">
        <v>2</v>
      </c>
      <c r="L22" s="2" t="n"/>
      <c r="M22" s="2" t="inlineStr"/>
      <c r="N22" s="2" t="inlineStr">
        <is>
          <t>USD</t>
        </is>
      </c>
      <c r="O22" s="3" t="n">
        <v>5.27</v>
      </c>
      <c r="P22" s="3" t="n">
        <v>10.54</v>
      </c>
      <c r="Q22" s="3">
        <f>O22*K22</f>
        <v/>
      </c>
      <c r="R22" s="3">
        <f>P22-Q22</f>
        <v/>
      </c>
      <c r="S22" s="3" t="n"/>
      <c r="T22" s="3" t="n"/>
      <c r="U22" s="3" t="n"/>
      <c r="V22" s="3" t="n"/>
      <c r="W22" s="3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inlineStr">
        <is>
          <t>00000000</t>
        </is>
      </c>
    </row>
    <row r="23">
      <c r="A23" s="2" t="n"/>
      <c r="B23" s="2" t="inlineStr"/>
      <c r="C23" s="2" t="inlineStr">
        <is>
          <t>8440870</t>
        </is>
      </c>
      <c r="D23" s="2" t="inlineStr">
        <is>
          <t>2026-01-23</t>
        </is>
      </c>
      <c r="E23" s="2" t="inlineStr">
        <is>
          <t>PRODUCTS</t>
        </is>
      </c>
      <c r="F23" s="2" t="inlineStr">
        <is>
          <t>00000000</t>
        </is>
      </c>
      <c r="G23" s="2" t="inlineStr"/>
      <c r="H23" s="2" t="inlineStr"/>
      <c r="I23" s="2" t="inlineStr">
        <is>
          <t>36102</t>
        </is>
      </c>
      <c r="J23" s="2" t="inlineStr"/>
      <c r="K23" s="2" t="n">
        <v>2</v>
      </c>
      <c r="L23" s="2" t="n"/>
      <c r="M23" s="2" t="inlineStr"/>
      <c r="N23" s="2" t="inlineStr">
        <is>
          <t>USD</t>
        </is>
      </c>
      <c r="O23" s="3" t="n">
        <v>54.15</v>
      </c>
      <c r="P23" s="3" t="n">
        <v>108.3</v>
      </c>
      <c r="Q23" s="3">
        <f>O23*K23</f>
        <v/>
      </c>
      <c r="R23" s="3">
        <f>P23-Q23</f>
        <v/>
      </c>
      <c r="S23" s="3" t="n"/>
      <c r="T23" s="3" t="n"/>
      <c r="U23" s="3" t="n"/>
      <c r="V23" s="3" t="n"/>
      <c r="W23" s="3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inlineStr">
        <is>
          <t>00000000</t>
        </is>
      </c>
    </row>
    <row r="24">
      <c r="A24" s="2" t="n"/>
      <c r="B24" s="2" t="inlineStr"/>
      <c r="C24" s="2" t="inlineStr">
        <is>
          <t>8440870</t>
        </is>
      </c>
      <c r="D24" s="2" t="inlineStr">
        <is>
          <t>2026-01-23</t>
        </is>
      </c>
      <c r="E24" s="2" t="inlineStr">
        <is>
          <t>PRODUCTS</t>
        </is>
      </c>
      <c r="F24" s="2" t="inlineStr">
        <is>
          <t>00000000</t>
        </is>
      </c>
      <c r="G24" s="2" t="inlineStr"/>
      <c r="H24" s="2" t="inlineStr"/>
      <c r="I24" s="2" t="inlineStr">
        <is>
          <t>097232</t>
        </is>
      </c>
      <c r="J24" s="2" t="inlineStr"/>
      <c r="K24" s="2" t="n">
        <v>2</v>
      </c>
      <c r="L24" s="2" t="n"/>
      <c r="M24" s="2" t="inlineStr"/>
      <c r="N24" s="2" t="inlineStr">
        <is>
          <t>USD</t>
        </is>
      </c>
      <c r="O24" s="3" t="n">
        <v>15.53</v>
      </c>
      <c r="P24" s="3" t="n">
        <v>31.06</v>
      </c>
      <c r="Q24" s="3">
        <f>O24*K24</f>
        <v/>
      </c>
      <c r="R24" s="3">
        <f>P24-Q24</f>
        <v/>
      </c>
      <c r="S24" s="3" t="n"/>
      <c r="T24" s="3" t="n"/>
      <c r="U24" s="3" t="n"/>
      <c r="V24" s="3" t="n"/>
      <c r="W24" s="3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inlineStr">
        <is>
          <t>00000000</t>
        </is>
      </c>
    </row>
    <row r="25">
      <c r="A25" s="2" t="n"/>
      <c r="B25" s="2" t="inlineStr"/>
      <c r="C25" s="2" t="inlineStr">
        <is>
          <t>8440870</t>
        </is>
      </c>
      <c r="D25" s="2" t="inlineStr">
        <is>
          <t>2026-01-23</t>
        </is>
      </c>
      <c r="E25" s="2" t="inlineStr">
        <is>
          <t>PRODUCTS</t>
        </is>
      </c>
      <c r="F25" s="2" t="inlineStr">
        <is>
          <t>00000000</t>
        </is>
      </c>
      <c r="G25" s="2" t="inlineStr"/>
      <c r="H25" s="2" t="inlineStr"/>
      <c r="I25" s="2" t="inlineStr">
        <is>
          <t>09171</t>
        </is>
      </c>
      <c r="J25" s="2" t="inlineStr"/>
      <c r="K25" s="2" t="n">
        <v>10</v>
      </c>
      <c r="L25" s="2" t="n"/>
      <c r="M25" s="2" t="inlineStr"/>
      <c r="N25" s="2" t="inlineStr">
        <is>
          <t>USD</t>
        </is>
      </c>
      <c r="O25" s="3" t="n">
        <v>3.36</v>
      </c>
      <c r="P25" s="3" t="n">
        <v>33.6</v>
      </c>
      <c r="Q25" s="3">
        <f>O25*K25</f>
        <v/>
      </c>
      <c r="R25" s="3">
        <f>P25-Q25</f>
        <v/>
      </c>
      <c r="S25" s="3" t="n"/>
      <c r="T25" s="3" t="n"/>
      <c r="U25" s="3" t="n"/>
      <c r="V25" s="3" t="n"/>
      <c r="W25" s="3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inlineStr">
        <is>
          <t>00000000</t>
        </is>
      </c>
    </row>
    <row r="26">
      <c r="A26" s="2" t="n"/>
      <c r="B26" s="2" t="inlineStr"/>
      <c r="C26" s="2" t="inlineStr">
        <is>
          <t>8440870</t>
        </is>
      </c>
      <c r="D26" s="2" t="inlineStr">
        <is>
          <t>2026-01-23</t>
        </is>
      </c>
      <c r="E26" s="2" t="inlineStr">
        <is>
          <t>PRODUCTS</t>
        </is>
      </c>
      <c r="F26" s="2" t="inlineStr">
        <is>
          <t>00000000</t>
        </is>
      </c>
      <c r="G26" s="2" t="inlineStr"/>
      <c r="H26" s="2" t="inlineStr"/>
      <c r="I26" s="2" t="inlineStr">
        <is>
          <t>09221 (7100272262)</t>
        </is>
      </c>
      <c r="J26" s="2" t="inlineStr"/>
      <c r="K26" s="2" t="n">
        <v>20</v>
      </c>
      <c r="L26" s="2" t="n"/>
      <c r="M26" s="2" t="inlineStr"/>
      <c r="N26" s="2" t="inlineStr">
        <is>
          <t>USD</t>
        </is>
      </c>
      <c r="O26" s="3" t="n">
        <v>5.27</v>
      </c>
      <c r="P26" s="3" t="n">
        <v>105.4</v>
      </c>
      <c r="Q26" s="3">
        <f>O26*K26</f>
        <v/>
      </c>
      <c r="R26" s="3">
        <f>P26-Q26</f>
        <v/>
      </c>
      <c r="S26" s="3" t="n"/>
      <c r="T26" s="3" t="n"/>
      <c r="U26" s="3" t="n"/>
      <c r="V26" s="3" t="n"/>
      <c r="W26" s="3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inlineStr">
        <is>
          <t>00000000</t>
        </is>
      </c>
    </row>
    <row r="27">
      <c r="A27" s="2" t="n"/>
      <c r="B27" s="2" t="inlineStr"/>
      <c r="C27" s="2" t="inlineStr">
        <is>
          <t>8440870</t>
        </is>
      </c>
      <c r="D27" s="2" t="inlineStr">
        <is>
          <t>2026-01-23</t>
        </is>
      </c>
      <c r="E27" s="2" t="inlineStr">
        <is>
          <t>PRODUCTS</t>
        </is>
      </c>
      <c r="F27" s="2" t="inlineStr">
        <is>
          <t>00000000</t>
        </is>
      </c>
      <c r="G27" s="2" t="inlineStr"/>
      <c r="H27" s="2" t="inlineStr"/>
      <c r="I27" s="2" t="inlineStr">
        <is>
          <t>HX400</t>
        </is>
      </c>
      <c r="J27" s="2" t="inlineStr"/>
      <c r="K27" s="2" t="n">
        <v>2</v>
      </c>
      <c r="L27" s="2" t="n"/>
      <c r="M27" s="2" t="inlineStr"/>
      <c r="N27" s="2" t="inlineStr">
        <is>
          <t>USD</t>
        </is>
      </c>
      <c r="O27" s="3" t="n">
        <v>251.81</v>
      </c>
      <c r="P27" s="3" t="n">
        <v>503.62</v>
      </c>
      <c r="Q27" s="3">
        <f>O27*K27</f>
        <v/>
      </c>
      <c r="R27" s="3">
        <f>P27-Q27</f>
        <v/>
      </c>
      <c r="S27" s="3" t="n"/>
      <c r="T27" s="3" t="n"/>
      <c r="U27" s="3" t="n"/>
      <c r="V27" s="3" t="n"/>
      <c r="W27" s="3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inlineStr">
        <is>
          <t>00000000</t>
        </is>
      </c>
    </row>
    <row r="28">
      <c r="A28" s="2" t="n"/>
      <c r="B28" s="2" t="inlineStr"/>
      <c r="C28" s="2" t="inlineStr">
        <is>
          <t>8440870</t>
        </is>
      </c>
      <c r="D28" s="2" t="inlineStr">
        <is>
          <t>2026-01-23</t>
        </is>
      </c>
      <c r="E28" s="2" t="inlineStr">
        <is>
          <t>PRODUCTS</t>
        </is>
      </c>
      <c r="F28" s="2" t="inlineStr">
        <is>
          <t>00000000</t>
        </is>
      </c>
      <c r="G28" s="2" t="inlineStr"/>
      <c r="H28" s="2" t="inlineStr"/>
      <c r="I28" s="2" t="inlineStr">
        <is>
          <t>265</t>
        </is>
      </c>
      <c r="J28" s="2" t="inlineStr"/>
      <c r="K28" s="2" t="n">
        <v>4</v>
      </c>
      <c r="L28" s="2" t="n"/>
      <c r="M28" s="2" t="inlineStr"/>
      <c r="N28" s="2" t="inlineStr">
        <is>
          <t>USD</t>
        </is>
      </c>
      <c r="O28" s="3" t="n">
        <v>33.24</v>
      </c>
      <c r="P28" s="3" t="n">
        <v>132.96</v>
      </c>
      <c r="Q28" s="3">
        <f>O28*K28</f>
        <v/>
      </c>
      <c r="R28" s="3">
        <f>P28-Q28</f>
        <v/>
      </c>
      <c r="S28" s="3" t="n"/>
      <c r="T28" s="3" t="n"/>
      <c r="U28" s="3" t="n"/>
      <c r="V28" s="3" t="n"/>
      <c r="W28" s="3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inlineStr">
        <is>
          <t>00000000</t>
        </is>
      </c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inlineStr">
        <is>
          <t>SUBTOTAL</t>
        </is>
      </c>
      <c r="K29" s="4" t="n"/>
      <c r="L29" s="4" t="n"/>
      <c r="M29" s="4" t="n"/>
      <c r="N29" s="4" t="n"/>
      <c r="O29" s="4" t="n"/>
      <c r="P29" s="5">
        <f>P2+P3+P4+P5+P6+P7+P8+P9+P10+P11+P12+P13+P14+P15+P16+P17+P18+P19+P20+P21+P22+P23+P24+P25+P26+P27+P28</f>
        <v/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inlineStr">
        <is>
          <t>ADJUSTMENTS</t>
        </is>
      </c>
      <c r="K30" s="4" t="n"/>
      <c r="L30" s="4" t="n"/>
      <c r="M30" s="4" t="n"/>
      <c r="N30" s="4" t="n"/>
      <c r="O30" s="4" t="n"/>
      <c r="P30" s="5">
        <f>(T2+U2+V2-W2)</f>
        <v/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inlineStr">
        <is>
          <t>NET TOTAL</t>
        </is>
      </c>
      <c r="K31" s="4" t="n"/>
      <c r="L31" s="4" t="n"/>
      <c r="M31" s="4" t="n"/>
      <c r="N31" s="4" t="n"/>
      <c r="O31" s="4" t="n"/>
      <c r="P31" s="5">
        <f>(P29+P30)</f>
        <v/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inlineStr">
        <is>
          <t>VARIANCE CHECK</t>
        </is>
      </c>
      <c r="K32" s="4" t="n"/>
      <c r="L32" s="4" t="n"/>
      <c r="M32" s="4" t="n"/>
      <c r="N32" s="4" t="n"/>
      <c r="O32" s="4" t="n"/>
      <c r="P32" s="5">
        <f>(S2-P31)</f>
        <v/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7" t="inlineStr">
        <is>
          <t>INVOICE NOTES: Structural item count mismatch: 9 price lines found between section markers but 27 items extracted</t>
        </is>
      </c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inlineStr">
        <is>
          <t>DUTY ESTIMATION (Classification Cross-Check)</t>
        </is>
      </c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10" t="inlineStr">
        <is>
          <t>CIF (USD) = InvTotal + Freight + Insurance</t>
        </is>
      </c>
      <c r="K37" s="9" t="n"/>
      <c r="L37" s="9" t="n"/>
      <c r="M37" s="9" t="n"/>
      <c r="N37" s="9" t="n"/>
      <c r="O37" s="9" t="n"/>
      <c r="P37" s="11" t="n">
        <v>1878.65</v>
      </c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10" t="inlineStr">
        <is>
          <t>CIF (XCD) = CIF × 2.7169</t>
        </is>
      </c>
      <c r="K38" s="9" t="n"/>
      <c r="L38" s="9" t="n"/>
      <c r="M38" s="9" t="n"/>
      <c r="N38" s="9" t="n"/>
      <c r="O38" s="9" t="n"/>
      <c r="P38" s="11" t="n">
        <v>5104.1</v>
      </c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10" t="inlineStr">
        <is>
          <t>CET (20%) — Tariff 00000000</t>
        </is>
      </c>
      <c r="K39" s="9" t="n"/>
      <c r="L39" s="9" t="n"/>
      <c r="M39" s="9" t="n"/>
      <c r="N39" s="9" t="n"/>
      <c r="O39" s="9" t="n"/>
      <c r="P39" s="11" t="n">
        <v>1020.82</v>
      </c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10" t="inlineStr">
        <is>
          <t>CSC (6%)</t>
        </is>
      </c>
      <c r="K40" s="9" t="n"/>
      <c r="L40" s="9" t="n"/>
      <c r="M40" s="9" t="n"/>
      <c r="N40" s="9" t="n"/>
      <c r="O40" s="9" t="n"/>
      <c r="P40" s="11" t="n">
        <v>306.25</v>
      </c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10" t="inlineStr">
        <is>
          <t>VAT (15%) on CIF+CET+CSC</t>
        </is>
      </c>
      <c r="K41" s="9" t="n"/>
      <c r="L41" s="9" t="n"/>
      <c r="M41" s="9" t="n"/>
      <c r="N41" s="9" t="n"/>
      <c r="O41" s="9" t="n"/>
      <c r="P41" s="11" t="n">
        <v>964.6799999999999</v>
      </c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8" t="inlineStr">
        <is>
          <t>ESTIMATED TOTAL DUTIES</t>
        </is>
      </c>
      <c r="K42" s="12" t="n"/>
      <c r="L42" s="12" t="n"/>
      <c r="M42" s="12" t="n"/>
      <c r="N42" s="12" t="n"/>
      <c r="O42" s="12" t="n"/>
      <c r="P42" s="13" t="n">
        <v>2291.75</v>
      </c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10" t="inlineStr">
        <is>
          <t>Effective Duty Rate</t>
        </is>
      </c>
      <c r="K43" s="9" t="n"/>
      <c r="L43" s="9" t="n"/>
      <c r="M43" s="9" t="n"/>
      <c r="N43" s="9" t="n"/>
      <c r="O43" s="9" t="n"/>
      <c r="P43" s="14" t="n">
        <v>0.4490017828804294</v>
      </c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2026-04-27T00:04:14Z</dcterms:created>
  <dcterms:modified xsi:type="dcterms:W3CDTF">2026-04-27T00:09:25Z</dcterms:modified>
</cp:coreProperties>
</file>