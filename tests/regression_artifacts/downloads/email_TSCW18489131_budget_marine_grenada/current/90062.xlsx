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90062</t>
        </is>
      </c>
      <c r="D2" s="2" t="inlineStr">
        <is>
          <t>01/21/26</t>
        </is>
      </c>
      <c r="E2" s="2" t="inlineStr">
        <is>
          <t>ENGINE PARTS</t>
        </is>
      </c>
      <c r="F2" s="2" t="inlineStr">
        <is>
          <t>84099120</t>
        </is>
      </c>
      <c r="G2" s="2" t="inlineStr"/>
      <c r="H2" s="2" t="inlineStr"/>
      <c r="I2" s="2" t="inlineStr">
        <is>
          <t>345650210M</t>
        </is>
      </c>
      <c r="J2" s="2" t="inlineStr">
        <is>
          <t>IMPELLER(25B-40C)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8.42</v>
      </c>
      <c r="P2" s="3" t="n">
        <v>16.84</v>
      </c>
      <c r="Q2" s="3">
        <f>O2*K2</f>
        <v/>
      </c>
      <c r="R2" s="3">
        <f>P2-Q2</f>
        <v/>
      </c>
      <c r="S2" s="3" t="n">
        <v>707.4400000000001</v>
      </c>
      <c r="T2" s="3" t="n">
        <v>35.49</v>
      </c>
      <c r="U2" s="3" t="n">
        <v>0</v>
      </c>
      <c r="V2" s="3" t="n">
        <v>0</v>
      </c>
      <c r="W2" s="3" t="n">
        <v>74.67</v>
      </c>
      <c r="X2" s="2" t="n">
        <v>1</v>
      </c>
      <c r="Y2" s="2" t="n"/>
      <c r="Z2" s="2" t="inlineStr">
        <is>
          <t>TOH</t>
        </is>
      </c>
      <c r="AA2" s="2" t="inlineStr">
        <is>
          <t>Tohatsu America Corporation</t>
        </is>
      </c>
      <c r="AB2" s="2" t="inlineStr">
        <is>
          <t>670 S. Freeport Parkway Suite 120, Coppell, TX 75019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84099120</t>
        </is>
      </c>
      <c r="AL2" t="n">
        <v>33.34</v>
      </c>
      <c r="AM2" t="n">
        <v>12.41</v>
      </c>
    </row>
    <row r="3">
      <c r="A3" s="2" t="n"/>
      <c r="B3" s="2" t="inlineStr"/>
      <c r="C3" s="2" t="inlineStr">
        <is>
          <t>90062</t>
        </is>
      </c>
      <c r="D3" s="2" t="inlineStr">
        <is>
          <t>01/21/26</t>
        </is>
      </c>
      <c r="E3" s="2" t="inlineStr">
        <is>
          <t>ENGINE PARTS</t>
        </is>
      </c>
      <c r="F3" s="2" t="inlineStr">
        <is>
          <t>84099120</t>
        </is>
      </c>
      <c r="G3" s="2" t="inlineStr"/>
      <c r="H3" s="2" t="inlineStr"/>
      <c r="I3" s="2" t="inlineStr">
        <is>
          <t>334650210M</t>
        </is>
      </c>
      <c r="J3" s="2" t="inlineStr">
        <is>
          <t>IMPELLER (9.9B2-18E2 &amp; 9.9/15/20 4-STROKE)</t>
        </is>
      </c>
      <c r="K3" s="2" t="n">
        <v>4</v>
      </c>
      <c r="L3" s="2" t="n"/>
      <c r="M3" s="2" t="inlineStr"/>
      <c r="N3" s="2" t="inlineStr">
        <is>
          <t>USD</t>
        </is>
      </c>
      <c r="O3" s="3" t="n">
        <v>7.94</v>
      </c>
      <c r="P3" s="3" t="n">
        <v>31.76</v>
      </c>
      <c r="Q3" s="3">
        <f>O3*K3</f>
        <v/>
      </c>
      <c r="R3" s="3">
        <f>P3-Q3</f>
        <v/>
      </c>
      <c r="S3" s="3" t="n"/>
      <c r="T3" s="3" t="n"/>
      <c r="U3" s="3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84099120</t>
        </is>
      </c>
    </row>
    <row r="4">
      <c r="A4" s="2" t="n"/>
      <c r="B4" s="2" t="inlineStr"/>
      <c r="C4" s="2" t="inlineStr">
        <is>
          <t>90062</t>
        </is>
      </c>
      <c r="D4" s="2" t="inlineStr">
        <is>
          <t>01/21/26</t>
        </is>
      </c>
      <c r="E4" s="2" t="inlineStr">
        <is>
          <t>ENGINE PARTS</t>
        </is>
      </c>
      <c r="F4" s="2" t="inlineStr">
        <is>
          <t>84099120</t>
        </is>
      </c>
      <c r="G4" s="2" t="inlineStr"/>
      <c r="H4" s="2" t="inlineStr"/>
      <c r="I4" s="2" t="inlineStr">
        <is>
          <t>369650211M</t>
        </is>
      </c>
      <c r="J4" s="2" t="inlineStr">
        <is>
          <t>IMPELLER NS3.5B/NS5B/4-6HP 4STR</t>
        </is>
      </c>
      <c r="K4" s="2" t="n">
        <v>6</v>
      </c>
      <c r="L4" s="2" t="n"/>
      <c r="M4" s="2" t="inlineStr"/>
      <c r="N4" s="2" t="inlineStr">
        <is>
          <t>USD</t>
        </is>
      </c>
      <c r="O4" s="3" t="n">
        <v>5.19</v>
      </c>
      <c r="P4" s="3" t="n">
        <v>31.14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84099120</t>
        </is>
      </c>
    </row>
    <row r="5">
      <c r="A5" s="2" t="n"/>
      <c r="B5" s="2" t="inlineStr"/>
      <c r="C5" s="2" t="inlineStr">
        <is>
          <t>90062</t>
        </is>
      </c>
      <c r="D5" s="2" t="inlineStr">
        <is>
          <t>01/21/26</t>
        </is>
      </c>
      <c r="E5" s="2" t="inlineStr">
        <is>
          <t>Pumps and parts thereof</t>
        </is>
      </c>
      <c r="F5" s="2" t="inlineStr">
        <is>
          <t>84099120</t>
        </is>
      </c>
      <c r="G5" s="2" t="inlineStr"/>
      <c r="H5" s="2" t="inlineStr"/>
      <c r="I5" s="2" t="inlineStr">
        <is>
          <t>3B2650211M</t>
        </is>
      </c>
      <c r="J5" s="2" t="inlineStr">
        <is>
          <t>IMPELLER (8/9.8)</t>
        </is>
      </c>
      <c r="K5" s="2" t="n">
        <v>4</v>
      </c>
      <c r="L5" s="2" t="n"/>
      <c r="M5" s="2" t="inlineStr"/>
      <c r="N5" s="2" t="inlineStr">
        <is>
          <t>USD</t>
        </is>
      </c>
      <c r="O5" s="3" t="n">
        <v>6.77</v>
      </c>
      <c r="P5" s="3" t="n">
        <v>27.08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84099120</t>
        </is>
      </c>
    </row>
    <row r="6">
      <c r="A6" s="2" t="n"/>
      <c r="B6" s="2" t="inlineStr"/>
      <c r="C6" s="2" t="inlineStr">
        <is>
          <t>90062</t>
        </is>
      </c>
      <c r="D6" s="2" t="inlineStr">
        <is>
          <t>01/21/26</t>
        </is>
      </c>
      <c r="E6" s="2" t="inlineStr">
        <is>
          <t>MARINE HARDWARE</t>
        </is>
      </c>
      <c r="F6" s="2" t="inlineStr">
        <is>
          <t>73182900</t>
        </is>
      </c>
      <c r="G6" s="2" t="inlineStr"/>
      <c r="H6" s="2" t="inlineStr"/>
      <c r="I6" s="2" t="inlineStr">
        <is>
          <t>332Q621021</t>
        </is>
      </c>
      <c r="J6" s="2" t="inlineStr">
        <is>
          <t>HANDLE, CLAMP SCREW</t>
        </is>
      </c>
      <c r="K6" s="2" t="n">
        <v>2</v>
      </c>
      <c r="L6" s="2" t="n"/>
      <c r="M6" s="2" t="inlineStr"/>
      <c r="N6" s="2" t="inlineStr">
        <is>
          <t>USD</t>
        </is>
      </c>
      <c r="O6" s="3" t="n">
        <v>5.29</v>
      </c>
      <c r="P6" s="3" t="n">
        <v>10.58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73182900</t>
        </is>
      </c>
    </row>
    <row r="7">
      <c r="A7" s="2" t="n"/>
      <c r="B7" s="2" t="inlineStr"/>
      <c r="C7" s="2" t="inlineStr">
        <is>
          <t>90062</t>
        </is>
      </c>
      <c r="D7" s="2" t="inlineStr">
        <is>
          <t>01/21/26</t>
        </is>
      </c>
      <c r="E7" s="2" t="inlineStr">
        <is>
          <t>MARINE ELECTRICAL</t>
        </is>
      </c>
      <c r="F7" s="2" t="inlineStr">
        <is>
          <t>85365000</t>
        </is>
      </c>
      <c r="G7" s="2" t="inlineStr"/>
      <c r="H7" s="2" t="inlineStr"/>
      <c r="I7" s="2" t="inlineStr">
        <is>
          <t>398068300M</t>
        </is>
      </c>
      <c r="J7" s="2" t="inlineStr">
        <is>
          <t>STOP SWITCH ASSY W/LANYARD</t>
        </is>
      </c>
      <c r="K7" s="2" t="n">
        <v>2</v>
      </c>
      <c r="L7" s="2" t="n"/>
      <c r="M7" s="2" t="inlineStr"/>
      <c r="N7" s="2" t="inlineStr">
        <is>
          <t>USD</t>
        </is>
      </c>
      <c r="O7" s="3" t="n">
        <v>33.8</v>
      </c>
      <c r="P7" s="3" t="n">
        <v>67.59999999999999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85365000</t>
        </is>
      </c>
    </row>
    <row r="8">
      <c r="A8" s="2" t="n"/>
      <c r="B8" s="2" t="inlineStr"/>
      <c r="C8" s="2" t="inlineStr">
        <is>
          <t>90062</t>
        </is>
      </c>
      <c r="D8" s="2" t="inlineStr">
        <is>
          <t>01/21/26</t>
        </is>
      </c>
      <c r="E8" s="2" t="inlineStr">
        <is>
          <t>ENGINE PARTS</t>
        </is>
      </c>
      <c r="F8" s="2" t="inlineStr">
        <is>
          <t>84879000</t>
        </is>
      </c>
      <c r="G8" s="2" t="inlineStr"/>
      <c r="H8" s="2" t="inlineStr"/>
      <c r="I8" s="2" t="inlineStr">
        <is>
          <t>362B641010</t>
        </is>
      </c>
      <c r="J8" s="2" t="inlineStr">
        <is>
          <t>PROPELLER (9) 3 X 9.25 X 9 (F9.9/15/20)</t>
        </is>
      </c>
      <c r="K8" s="2" t="n">
        <v>2</v>
      </c>
      <c r="L8" s="2" t="n"/>
      <c r="M8" s="2" t="inlineStr"/>
      <c r="N8" s="2" t="inlineStr">
        <is>
          <t>USD</t>
        </is>
      </c>
      <c r="O8" s="3" t="n">
        <v>62.98</v>
      </c>
      <c r="P8" s="3" t="n">
        <v>125.96</v>
      </c>
      <c r="Q8" s="3">
        <f>O8*K8</f>
        <v/>
      </c>
      <c r="R8" s="3">
        <f>P8-Q8</f>
        <v/>
      </c>
      <c r="S8" s="3" t="n"/>
      <c r="T8" s="3" t="n"/>
      <c r="U8" s="3" t="n"/>
      <c r="V8" s="3" t="n"/>
      <c r="W8" s="3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84879000</t>
        </is>
      </c>
    </row>
    <row r="9">
      <c r="A9" s="2" t="n"/>
      <c r="B9" s="2" t="inlineStr"/>
      <c r="C9" s="2" t="inlineStr">
        <is>
          <t>90062</t>
        </is>
      </c>
      <c r="D9" s="2" t="inlineStr">
        <is>
          <t>01/21/26</t>
        </is>
      </c>
      <c r="E9" s="2" t="inlineStr">
        <is>
          <t>GASKETS &amp; SEALS</t>
        </is>
      </c>
      <c r="F9" s="2" t="inlineStr">
        <is>
          <t>40169300</t>
        </is>
      </c>
      <c r="G9" s="2" t="inlineStr"/>
      <c r="H9" s="2" t="inlineStr"/>
      <c r="I9" s="2" t="inlineStr">
        <is>
          <t>369032220M</t>
        </is>
      </c>
      <c r="J9" s="2" t="inlineStr">
        <is>
          <t>O-RING</t>
        </is>
      </c>
      <c r="K9" s="2" t="n">
        <v>2</v>
      </c>
      <c r="L9" s="2" t="n"/>
      <c r="M9" s="2" t="inlineStr"/>
      <c r="N9" s="2" t="inlineStr">
        <is>
          <t>USD</t>
        </is>
      </c>
      <c r="O9" s="3" t="n">
        <v>4.24</v>
      </c>
      <c r="P9" s="3" t="n">
        <v>8.48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40169300</t>
        </is>
      </c>
    </row>
    <row r="10">
      <c r="A10" s="2" t="n"/>
      <c r="B10" s="2" t="inlineStr"/>
      <c r="C10" s="2" t="inlineStr">
        <is>
          <t>90062</t>
        </is>
      </c>
      <c r="D10" s="2" t="inlineStr">
        <is>
          <t>01/21/26</t>
        </is>
      </c>
      <c r="E10" s="2" t="inlineStr">
        <is>
          <t>GASKETS &amp; SEALS</t>
        </is>
      </c>
      <c r="F10" s="2" t="inlineStr">
        <is>
          <t>40169300</t>
        </is>
      </c>
      <c r="G10" s="2" t="inlineStr"/>
      <c r="H10" s="2" t="inlineStr"/>
      <c r="I10" s="2" t="inlineStr">
        <is>
          <t>369033060M</t>
        </is>
      </c>
      <c r="J10" s="2" t="inlineStr">
        <is>
          <t>DIAPHRAGM B</t>
        </is>
      </c>
      <c r="K10" s="2" t="n">
        <v>2</v>
      </c>
      <c r="L10" s="2" t="n"/>
      <c r="M10" s="2" t="inlineStr"/>
      <c r="N10" s="2" t="inlineStr">
        <is>
          <t>USD</t>
        </is>
      </c>
      <c r="O10" s="3" t="n">
        <v>6.14</v>
      </c>
      <c r="P10" s="3" t="n">
        <v>12.28</v>
      </c>
      <c r="Q10" s="3">
        <f>O10*K10</f>
        <v/>
      </c>
      <c r="R10" s="3">
        <f>P10-Q10</f>
        <v/>
      </c>
      <c r="S10" s="3" t="n"/>
      <c r="T10" s="3" t="n"/>
      <c r="U10" s="3" t="n"/>
      <c r="V10" s="3" t="n"/>
      <c r="W10" s="3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inlineStr">
        <is>
          <t>40169300</t>
        </is>
      </c>
    </row>
    <row r="11">
      <c r="A11" s="2" t="n"/>
      <c r="B11" s="2" t="inlineStr"/>
      <c r="C11" s="2" t="inlineStr">
        <is>
          <t>90062</t>
        </is>
      </c>
      <c r="D11" s="2" t="inlineStr">
        <is>
          <t>01/21/26</t>
        </is>
      </c>
      <c r="E11" s="2" t="inlineStr">
        <is>
          <t>Articles of iron or steel</t>
        </is>
      </c>
      <c r="F11" s="2" t="inlineStr">
        <is>
          <t>73079900</t>
        </is>
      </c>
      <c r="G11" s="2" t="inlineStr"/>
      <c r="H11" s="2" t="inlineStr"/>
      <c r="I11" s="2" t="inlineStr">
        <is>
          <t>3B2702601M</t>
        </is>
      </c>
      <c r="J11" s="2" t="inlineStr">
        <is>
          <t>FUEL CONNECTOR, ENGINE SIDE MALE</t>
        </is>
      </c>
      <c r="K11" s="2" t="n">
        <v>2</v>
      </c>
      <c r="L11" s="2" t="n"/>
      <c r="M11" s="2" t="inlineStr"/>
      <c r="N11" s="2" t="inlineStr">
        <is>
          <t>USD</t>
        </is>
      </c>
      <c r="O11" s="3" t="n">
        <v>11.84</v>
      </c>
      <c r="P11" s="3" t="n">
        <v>23.68</v>
      </c>
      <c r="Q11" s="3">
        <f>O11*K11</f>
        <v/>
      </c>
      <c r="R11" s="3">
        <f>P11-Q11</f>
        <v/>
      </c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73079900</t>
        </is>
      </c>
    </row>
    <row r="12">
      <c r="A12" s="2" t="n"/>
      <c r="B12" s="2" t="inlineStr"/>
      <c r="C12" s="2" t="inlineStr">
        <is>
          <t>90062</t>
        </is>
      </c>
      <c r="D12" s="2" t="inlineStr">
        <is>
          <t>01/21/26</t>
        </is>
      </c>
      <c r="E12" s="2" t="inlineStr">
        <is>
          <t>Ships' or boats' propellers and blades therefor</t>
        </is>
      </c>
      <c r="F12" s="2" t="inlineStr">
        <is>
          <t>84871000</t>
        </is>
      </c>
      <c r="G12" s="2" t="inlineStr"/>
      <c r="H12" s="2" t="inlineStr"/>
      <c r="I12" s="2" t="inlineStr">
        <is>
          <t>3B2B645151</t>
        </is>
      </c>
      <c r="J12" s="2" t="inlineStr">
        <is>
          <t>PROP 8 &amp; 9.8 HP (8.5 DIA. X 8.0 PITCH)</t>
        </is>
      </c>
      <c r="K12" s="2" t="n">
        <v>2</v>
      </c>
      <c r="L12" s="2" t="n"/>
      <c r="M12" s="2" t="inlineStr"/>
      <c r="N12" s="2" t="inlineStr">
        <is>
          <t>USD</t>
        </is>
      </c>
      <c r="O12" s="3" t="n">
        <v>57.87</v>
      </c>
      <c r="P12" s="3" t="n">
        <v>115.74</v>
      </c>
      <c r="Q12" s="3">
        <f>O12*K12</f>
        <v/>
      </c>
      <c r="R12" s="3">
        <f>P12-Q12</f>
        <v/>
      </c>
      <c r="S12" s="3" t="n"/>
      <c r="T12" s="3" t="n"/>
      <c r="U12" s="3" t="n"/>
      <c r="V12" s="3" t="n"/>
      <c r="W12" s="3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inlineStr">
        <is>
          <t>84871000</t>
        </is>
      </c>
    </row>
    <row r="13">
      <c r="A13" s="2" t="n"/>
      <c r="B13" s="2" t="inlineStr"/>
      <c r="C13" s="2" t="inlineStr">
        <is>
          <t>90062</t>
        </is>
      </c>
      <c r="D13" s="2" t="inlineStr">
        <is>
          <t>01/21/26</t>
        </is>
      </c>
      <c r="E13" s="2" t="inlineStr">
        <is>
          <t>Ships' or boats' propellers and blades therefor</t>
        </is>
      </c>
      <c r="F13" s="2" t="inlineStr">
        <is>
          <t>84871000</t>
        </is>
      </c>
      <c r="G13" s="2" t="inlineStr"/>
      <c r="H13" s="2" t="inlineStr"/>
      <c r="I13" s="2" t="inlineStr">
        <is>
          <t>3B2B645170</t>
        </is>
      </c>
      <c r="J13" s="2" t="inlineStr">
        <is>
          <t>PROP 8 &amp; 9.8 HP (8.5 DIA X 9.0 PITCH), BLACK</t>
        </is>
      </c>
      <c r="K13" s="2" t="n">
        <v>2</v>
      </c>
      <c r="L13" s="2" t="n"/>
      <c r="M13" s="2" t="inlineStr"/>
      <c r="N13" s="2" t="inlineStr">
        <is>
          <t>USD</t>
        </is>
      </c>
      <c r="O13" s="3" t="n">
        <v>57.87</v>
      </c>
      <c r="P13" s="3" t="n">
        <v>115.74</v>
      </c>
      <c r="Q13" s="3">
        <f>O13*K13</f>
        <v/>
      </c>
      <c r="R13" s="3">
        <f>P13-Q13</f>
        <v/>
      </c>
      <c r="S13" s="3" t="n"/>
      <c r="T13" s="3" t="n"/>
      <c r="U13" s="3" t="n"/>
      <c r="V13" s="3" t="n"/>
      <c r="W13" s="3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inlineStr">
        <is>
          <t>84871000</t>
        </is>
      </c>
    </row>
    <row r="14">
      <c r="A14" s="2" t="n"/>
      <c r="B14" s="2" t="inlineStr"/>
      <c r="C14" s="2" t="inlineStr">
        <is>
          <t>90062</t>
        </is>
      </c>
      <c r="D14" s="2" t="inlineStr">
        <is>
          <t>01/21/26</t>
        </is>
      </c>
      <c r="E14" s="2" t="inlineStr">
        <is>
          <t>Articles of iron or steel</t>
        </is>
      </c>
      <c r="F14" s="2" t="inlineStr">
        <is>
          <t>84879000</t>
        </is>
      </c>
      <c r="G14" s="2" t="inlineStr"/>
      <c r="H14" s="2" t="inlineStr"/>
      <c r="I14" s="2" t="inlineStr">
        <is>
          <t>3V1602170M</t>
        </is>
      </c>
      <c r="J14" s="2" t="inlineStr">
        <is>
          <t>TRIM TAB</t>
        </is>
      </c>
      <c r="K14" s="2" t="n">
        <v>4</v>
      </c>
      <c r="L14" s="2" t="n"/>
      <c r="M14" s="2" t="inlineStr"/>
      <c r="N14" s="2" t="inlineStr">
        <is>
          <t>USD</t>
        </is>
      </c>
      <c r="O14" s="3" t="n">
        <v>7.97</v>
      </c>
      <c r="P14" s="3" t="n">
        <v>31.88</v>
      </c>
      <c r="Q14" s="3">
        <f>O14*K14</f>
        <v/>
      </c>
      <c r="R14" s="3">
        <f>P14-Q14</f>
        <v/>
      </c>
      <c r="S14" s="3" t="n"/>
      <c r="T14" s="3" t="n"/>
      <c r="U14" s="3" t="n"/>
      <c r="V14" s="3" t="n"/>
      <c r="W14" s="3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inlineStr">
        <is>
          <t>84879000</t>
        </is>
      </c>
    </row>
    <row r="15">
      <c r="A15" s="2" t="n"/>
      <c r="B15" s="2" t="inlineStr"/>
      <c r="C15" s="2" t="inlineStr">
        <is>
          <t>90062</t>
        </is>
      </c>
      <c r="D15" s="2" t="inlineStr">
        <is>
          <t>01/21/26</t>
        </is>
      </c>
      <c r="E15" s="2" t="inlineStr">
        <is>
          <t>Distributors</t>
        </is>
      </c>
      <c r="F15" s="2" t="inlineStr">
        <is>
          <t>85113000</t>
        </is>
      </c>
      <c r="G15" s="2" t="inlineStr"/>
      <c r="H15" s="2" t="inlineStr"/>
      <c r="I15" s="2" t="inlineStr">
        <is>
          <t>3G2060405M</t>
        </is>
      </c>
      <c r="J15" s="2" t="inlineStr">
        <is>
          <t>IGNITION COIL W/RESISTANCE</t>
        </is>
      </c>
      <c r="K15" s="2" t="n">
        <v>2</v>
      </c>
      <c r="L15" s="2" t="n"/>
      <c r="M15" s="2" t="inlineStr"/>
      <c r="N15" s="2" t="inlineStr">
        <is>
          <t>USD</t>
        </is>
      </c>
      <c r="O15" s="3" t="n">
        <v>41</v>
      </c>
      <c r="P15" s="3" t="n">
        <v>82</v>
      </c>
      <c r="Q15" s="3">
        <f>O15*K15</f>
        <v/>
      </c>
      <c r="R15" s="3">
        <f>P15-Q15</f>
        <v/>
      </c>
      <c r="S15" s="3" t="n"/>
      <c r="T15" s="3" t="n"/>
      <c r="U15" s="3" t="n"/>
      <c r="V15" s="3" t="n"/>
      <c r="W15" s="3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inlineStr">
        <is>
          <t>85113000</t>
        </is>
      </c>
    </row>
    <row r="16">
      <c r="A16" s="2" t="n"/>
      <c r="B16" s="2" t="inlineStr"/>
      <c r="C16" s="2" t="inlineStr">
        <is>
          <t>90062</t>
        </is>
      </c>
      <c r="D16" s="2" t="inlineStr">
        <is>
          <t>01/21/26</t>
        </is>
      </c>
      <c r="E16" s="2" t="inlineStr">
        <is>
          <t>GASKETS &amp; SEALS</t>
        </is>
      </c>
      <c r="F16" s="2" t="inlineStr">
        <is>
          <t>40169300</t>
        </is>
      </c>
      <c r="G16" s="2" t="inlineStr"/>
      <c r="H16" s="2" t="inlineStr"/>
      <c r="I16" s="2" t="inlineStr">
        <is>
          <t>3B2010052M</t>
        </is>
      </c>
      <c r="J16" s="2" t="inlineStr">
        <is>
          <t>GASKET, CYLINDER HEAD</t>
        </is>
      </c>
      <c r="K16" s="2" t="n">
        <v>2</v>
      </c>
      <c r="L16" s="2" t="n"/>
      <c r="M16" s="2" t="inlineStr"/>
      <c r="N16" s="2" t="inlineStr">
        <is>
          <t>USD</t>
        </is>
      </c>
      <c r="O16" s="3" t="n">
        <v>22.93</v>
      </c>
      <c r="P16" s="3" t="n">
        <v>45.86</v>
      </c>
      <c r="Q16" s="3">
        <f>O16*K16</f>
        <v/>
      </c>
      <c r="R16" s="3">
        <f>P16-Q16</f>
        <v/>
      </c>
      <c r="S16" s="3" t="n"/>
      <c r="T16" s="3" t="n"/>
      <c r="U16" s="3" t="n"/>
      <c r="V16" s="3" t="n"/>
      <c r="W16" s="3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inlineStr">
        <is>
          <t>40169300</t>
        </is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inlineStr">
        <is>
          <t>SUBTOTAL</t>
        </is>
      </c>
      <c r="K17" s="4" t="n"/>
      <c r="L17" s="4" t="n"/>
      <c r="M17" s="4" t="n"/>
      <c r="N17" s="4" t="n"/>
      <c r="O17" s="4" t="n"/>
      <c r="P17" s="5">
        <f>P2+P3+P4+P5+P6+P7+P8+P9+P10+P11+P12+P13+P14+P15+P16</f>
        <v/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inlineStr">
        <is>
          <t>ADJUSTMENTS</t>
        </is>
      </c>
      <c r="K18" s="4" t="n"/>
      <c r="L18" s="4" t="n"/>
      <c r="M18" s="4" t="n"/>
      <c r="N18" s="4" t="n"/>
      <c r="O18" s="4" t="n"/>
      <c r="P18" s="5">
        <f>(T2+U2+V2-W2)</f>
        <v/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inlineStr">
        <is>
          <t>NET TOTAL</t>
        </is>
      </c>
      <c r="K19" s="4" t="n"/>
      <c r="L19" s="4" t="n"/>
      <c r="M19" s="4" t="n"/>
      <c r="N19" s="4" t="n"/>
      <c r="O19" s="4" t="n"/>
      <c r="P19" s="5">
        <f>(P17+P18)</f>
        <v/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inlineStr">
        <is>
          <t>VARIANCE CHECK</t>
        </is>
      </c>
      <c r="K20" s="4" t="n"/>
      <c r="L20" s="4" t="n"/>
      <c r="M20" s="4" t="n"/>
      <c r="N20" s="4" t="n"/>
      <c r="O20" s="4" t="n"/>
      <c r="P20" s="5">
        <f>(S2-P19)</f>
        <v/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DUTY ESTIMATION (Classification Cross-Check)</t>
        </is>
      </c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8" t="inlineStr">
        <is>
          <t>CIF (USD) = InvTotal + Freight + Insurance</t>
        </is>
      </c>
      <c r="K23" s="7" t="n"/>
      <c r="L23" s="7" t="n"/>
      <c r="M23" s="7" t="n"/>
      <c r="N23" s="7" t="n"/>
      <c r="O23" s="7" t="n"/>
      <c r="P23" s="9" t="n">
        <v>707.4400000000001</v>
      </c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8" t="inlineStr">
        <is>
          <t>CIF (XCD) = CIF × 2.7169</t>
        </is>
      </c>
      <c r="K24" s="7" t="n"/>
      <c r="L24" s="7" t="n"/>
      <c r="M24" s="7" t="n"/>
      <c r="N24" s="7" t="n"/>
      <c r="O24" s="7" t="n"/>
      <c r="P24" s="9" t="n">
        <v>1922.04</v>
      </c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inlineStr">
        <is>
          <t>CET (weighted avg 10.0%)</t>
        </is>
      </c>
      <c r="K25" s="7" t="n"/>
      <c r="L25" s="7" t="n"/>
      <c r="M25" s="7" t="n"/>
      <c r="N25" s="7" t="n"/>
      <c r="O25" s="7" t="n"/>
      <c r="P25" s="9" t="n">
        <v>192.82</v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 t="inlineStr">
        <is>
          <t xml:space="preserve">  └ 40169300: 20% CET (9% of value)</t>
        </is>
      </c>
      <c r="K26" s="7" t="n"/>
      <c r="L26" s="7" t="n"/>
      <c r="M26" s="7" t="n"/>
      <c r="N26" s="7" t="n"/>
      <c r="O26" s="7" t="n"/>
      <c r="P26" s="9" t="n">
        <v>34.3</v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 t="inlineStr">
        <is>
          <t xml:space="preserve">  └ 73079900: 20% CET (3% of value)</t>
        </is>
      </c>
      <c r="K27" s="7" t="n"/>
      <c r="L27" s="7" t="n"/>
      <c r="M27" s="7" t="n"/>
      <c r="N27" s="7" t="n"/>
      <c r="O27" s="7" t="n"/>
      <c r="P27" s="9" t="n">
        <v>12.19</v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8" t="inlineStr">
        <is>
          <t xml:space="preserve">  └ 73182900: 20% CET (1% of value)</t>
        </is>
      </c>
      <c r="K28" s="7" t="n"/>
      <c r="L28" s="7" t="n"/>
      <c r="M28" s="7" t="n"/>
      <c r="N28" s="7" t="n"/>
      <c r="O28" s="7" t="n"/>
      <c r="P28" s="9" t="n">
        <v>5.45</v>
      </c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8" t="inlineStr">
        <is>
          <t xml:space="preserve">  └ 84099120: 5% CET (11% of value)</t>
        </is>
      </c>
      <c r="K29" s="7" t="n"/>
      <c r="L29" s="7" t="n"/>
      <c r="M29" s="7" t="n"/>
      <c r="N29" s="7" t="n"/>
      <c r="O29" s="7" t="n"/>
      <c r="P29" s="9" t="n">
        <v>10.26</v>
      </c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8" t="inlineStr">
        <is>
          <t xml:space="preserve">  └ 84139190: 5% CET (4% of value)</t>
        </is>
      </c>
      <c r="K30" s="7" t="n"/>
      <c r="L30" s="7" t="n"/>
      <c r="M30" s="7" t="n"/>
      <c r="N30" s="7" t="n"/>
      <c r="O30" s="7" t="n"/>
      <c r="P30" s="9" t="n">
        <v>3.49</v>
      </c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8" t="inlineStr">
        <is>
          <t xml:space="preserve">  └ 84871000: 5% CET (31% of value)</t>
        </is>
      </c>
      <c r="K31" s="7" t="n"/>
      <c r="L31" s="7" t="n"/>
      <c r="M31" s="7" t="n"/>
      <c r="N31" s="7" t="n"/>
      <c r="O31" s="7" t="n"/>
      <c r="P31" s="9" t="n">
        <v>29.8</v>
      </c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 xml:space="preserve">  └ 84879000: 5% CET (17% of value)</t>
        </is>
      </c>
      <c r="K32" s="7" t="n"/>
      <c r="L32" s="7" t="n"/>
      <c r="M32" s="7" t="n"/>
      <c r="N32" s="7" t="n"/>
      <c r="O32" s="7" t="n"/>
      <c r="P32" s="9" t="n">
        <v>16.21</v>
      </c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8" t="inlineStr">
        <is>
          <t xml:space="preserve">  └ 85113000: 20% CET (11% of value)</t>
        </is>
      </c>
      <c r="K33" s="7" t="n"/>
      <c r="L33" s="7" t="n"/>
      <c r="M33" s="7" t="n"/>
      <c r="N33" s="7" t="n"/>
      <c r="O33" s="7" t="n"/>
      <c r="P33" s="9" t="n">
        <v>42.22</v>
      </c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8" t="inlineStr">
        <is>
          <t xml:space="preserve">  └ 85365000: 20% CET (9% of value)</t>
        </is>
      </c>
      <c r="K34" s="7" t="n"/>
      <c r="L34" s="7" t="n"/>
      <c r="M34" s="7" t="n"/>
      <c r="N34" s="7" t="n"/>
      <c r="O34" s="7" t="n"/>
      <c r="P34" s="9" t="n">
        <v>34.8</v>
      </c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8" t="inlineStr">
        <is>
          <t xml:space="preserve">  └ 86080000: 5% CET (4% of value)</t>
        </is>
      </c>
      <c r="K35" s="7" t="n"/>
      <c r="L35" s="7" t="n"/>
      <c r="M35" s="7" t="n"/>
      <c r="N35" s="7" t="n"/>
      <c r="O35" s="7" t="n"/>
      <c r="P35" s="9" t="n">
        <v>4.1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8" t="inlineStr">
        <is>
          <t>CSC (6%)</t>
        </is>
      </c>
      <c r="K36" s="7" t="n"/>
      <c r="L36" s="7" t="n"/>
      <c r="M36" s="7" t="n"/>
      <c r="N36" s="7" t="n"/>
      <c r="O36" s="7" t="n"/>
      <c r="P36" s="9" t="n">
        <v>115.32</v>
      </c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8" t="inlineStr">
        <is>
          <t>VAT (15%) on CIF+CET+CSC</t>
        </is>
      </c>
      <c r="K37" s="7" t="n"/>
      <c r="L37" s="7" t="n"/>
      <c r="M37" s="7" t="n"/>
      <c r="N37" s="7" t="n"/>
      <c r="O37" s="7" t="n"/>
      <c r="P37" s="9" t="n">
        <v>334.53</v>
      </c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6" t="inlineStr">
        <is>
          <t>ESTIMATED TOTAL DUTIES</t>
        </is>
      </c>
      <c r="K38" s="10" t="n"/>
      <c r="L38" s="10" t="n"/>
      <c r="M38" s="10" t="n"/>
      <c r="N38" s="10" t="n"/>
      <c r="O38" s="10" t="n"/>
      <c r="P38" s="11" t="n">
        <v>642.67</v>
      </c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8" t="inlineStr">
        <is>
          <t>Effective Duty Rate</t>
        </is>
      </c>
      <c r="K39" s="7" t="n"/>
      <c r="L39" s="7" t="n"/>
      <c r="M39" s="7" t="n"/>
      <c r="N39" s="7" t="n"/>
      <c r="O39" s="7" t="n"/>
      <c r="P39" s="12" t="n">
        <v>0.3343686915985099</v>
      </c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2026-04-27T00:05:11Z</dcterms:created>
  <dcterms:modified xsi:type="dcterms:W3CDTF">2026-04-27T00:10:42Z</dcterms:modified>
</cp:coreProperties>
</file>