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INV000443447</t>
        </is>
      </c>
      <c r="D2" s="2" t="inlineStr">
        <is>
          <t>2026-01-26</t>
        </is>
      </c>
      <c r="E2" s="2" t="inlineStr">
        <is>
          <t>Seats and furniture parts</t>
        </is>
      </c>
      <c r="F2" s="2" t="inlineStr">
        <is>
          <t>63079090</t>
        </is>
      </c>
      <c r="G2" s="2" t="inlineStr"/>
      <c r="H2" s="2" t="inlineStr"/>
      <c r="I2" s="2" t="inlineStr">
        <is>
          <t>2234</t>
        </is>
      </c>
      <c r="J2" s="2" t="inlineStr">
        <is>
          <t>BOSUNS CHAIR-DELUXE3</t>
        </is>
      </c>
      <c r="K2" s="2" t="n">
        <v>6</v>
      </c>
      <c r="L2" s="2" t="n"/>
      <c r="M2" s="2" t="inlineStr"/>
      <c r="N2" s="2" t="inlineStr">
        <is>
          <t>USD</t>
        </is>
      </c>
      <c r="O2" s="3" t="n">
        <v>129.84</v>
      </c>
      <c r="P2" s="3" t="n">
        <v>779.04</v>
      </c>
      <c r="Q2" s="3">
        <f>O2*K2</f>
        <v/>
      </c>
      <c r="R2" s="3">
        <f>P2-Q2</f>
        <v/>
      </c>
      <c r="S2" s="3" t="n">
        <v>2515.55</v>
      </c>
      <c r="T2" s="3" t="n">
        <v>111.11</v>
      </c>
      <c r="U2" s="3" t="n">
        <v>0</v>
      </c>
      <c r="V2" s="3" t="n">
        <v>0</v>
      </c>
      <c r="W2" s="3" t="n">
        <v>0</v>
      </c>
      <c r="X2" s="2" t="n">
        <v>2</v>
      </c>
      <c r="Y2" s="2" t="n"/>
      <c r="Z2" s="2" t="inlineStr">
        <is>
          <t>HAR</t>
        </is>
      </c>
      <c r="AA2" s="2" t="inlineStr">
        <is>
          <t>Harken International</t>
        </is>
      </c>
      <c r="AB2" s="2" t="inlineStr">
        <is>
          <t>N15W24983 Bluemound Rd, Pewaukee, WI 53072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63079090</t>
        </is>
      </c>
      <c r="AL2" t="n">
        <v>118.55</v>
      </c>
      <c r="AM2" t="n">
        <v>44.11</v>
      </c>
    </row>
    <row r="3">
      <c r="A3" s="2" t="n"/>
      <c r="B3" s="2" t="inlineStr"/>
      <c r="C3" s="2" t="inlineStr">
        <is>
          <t>INV000443447</t>
        </is>
      </c>
      <c r="D3" s="2" t="inlineStr">
        <is>
          <t>2026-01-26</t>
        </is>
      </c>
      <c r="E3" s="2" t="inlineStr">
        <is>
          <t>Other appliances</t>
        </is>
      </c>
      <c r="F3" s="2" t="inlineStr">
        <is>
          <t>84818000</t>
        </is>
      </c>
      <c r="G3" s="2" t="inlineStr"/>
      <c r="H3" s="2" t="inlineStr"/>
      <c r="I3" s="2" t="inlineStr">
        <is>
          <t>2636</t>
        </is>
      </c>
      <c r="J3" s="2" t="inlineStr">
        <is>
          <t>BLK-40MM CARBO</t>
        </is>
      </c>
      <c r="K3" s="2" t="n">
        <v>2</v>
      </c>
      <c r="L3" s="2" t="n"/>
      <c r="M3" s="2" t="inlineStr"/>
      <c r="N3" s="2" t="inlineStr">
        <is>
          <t>USD</t>
        </is>
      </c>
      <c r="O3" s="3" t="n">
        <v>14.75</v>
      </c>
      <c r="P3" s="3" t="n">
        <v>29.5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84818000</t>
        </is>
      </c>
    </row>
    <row r="4">
      <c r="A4" s="2" t="n"/>
      <c r="B4" s="2" t="inlineStr"/>
      <c r="C4" s="2" t="inlineStr">
        <is>
          <t>INV000443447</t>
        </is>
      </c>
      <c r="D4" s="2" t="inlineStr">
        <is>
          <t>2026-01-26</t>
        </is>
      </c>
      <c r="E4" s="2" t="inlineStr">
        <is>
          <t>Other appliances</t>
        </is>
      </c>
      <c r="F4" s="2" t="inlineStr">
        <is>
          <t>84818000</t>
        </is>
      </c>
      <c r="G4" s="2" t="inlineStr"/>
      <c r="H4" s="2" t="inlineStr"/>
      <c r="I4" s="2" t="inlineStr">
        <is>
          <t>2660</t>
        </is>
      </c>
      <c r="J4" s="2" t="inlineStr">
        <is>
          <t>BLK-75MM CARBO</t>
        </is>
      </c>
      <c r="K4" s="2" t="n">
        <v>4</v>
      </c>
      <c r="L4" s="2" t="n"/>
      <c r="M4" s="2" t="inlineStr"/>
      <c r="N4" s="2" t="inlineStr">
        <is>
          <t>USD</t>
        </is>
      </c>
      <c r="O4" s="3" t="n">
        <v>38.3</v>
      </c>
      <c r="P4" s="3" t="n">
        <v>153.2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84818000</t>
        </is>
      </c>
    </row>
    <row r="5">
      <c r="A5" s="2" t="n"/>
      <c r="B5" s="2" t="inlineStr"/>
      <c r="C5" s="2" t="inlineStr">
        <is>
          <t>INV000443447</t>
        </is>
      </c>
      <c r="D5" s="2" t="inlineStr">
        <is>
          <t>2026-01-26</t>
        </is>
      </c>
      <c r="E5" s="2" t="inlineStr">
        <is>
          <t>Other appliances</t>
        </is>
      </c>
      <c r="F5" s="2" t="inlineStr">
        <is>
          <t>84818000</t>
        </is>
      </c>
      <c r="G5" s="2" t="inlineStr"/>
      <c r="H5" s="2" t="inlineStr"/>
      <c r="I5" s="2" t="inlineStr">
        <is>
          <t>292</t>
        </is>
      </c>
      <c r="J5" s="2" t="inlineStr">
        <is>
          <t>BLK-MICRO SWV</t>
        </is>
      </c>
      <c r="K5" s="2" t="n">
        <v>2</v>
      </c>
      <c r="L5" s="2" t="n"/>
      <c r="M5" s="2" t="inlineStr"/>
      <c r="N5" s="2" t="inlineStr">
        <is>
          <t>USD</t>
        </is>
      </c>
      <c r="O5" s="3" t="n">
        <v>11.35</v>
      </c>
      <c r="P5" s="3" t="n">
        <v>22.7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84818000</t>
        </is>
      </c>
    </row>
    <row r="6">
      <c r="A6" s="2" t="n"/>
      <c r="B6" s="2" t="inlineStr"/>
      <c r="C6" s="2" t="inlineStr">
        <is>
          <t>INV000443447</t>
        </is>
      </c>
      <c r="D6" s="2" t="inlineStr">
        <is>
          <t>2026-01-26</t>
        </is>
      </c>
      <c r="E6" s="2" t="inlineStr">
        <is>
          <t>Other appliances</t>
        </is>
      </c>
      <c r="F6" s="2" t="inlineStr">
        <is>
          <t>84818000</t>
        </is>
      </c>
      <c r="G6" s="2" t="inlineStr"/>
      <c r="H6" s="2" t="inlineStr"/>
      <c r="I6" s="2" t="inlineStr">
        <is>
          <t>348</t>
        </is>
      </c>
      <c r="J6" s="2" t="inlineStr">
        <is>
          <t>BLK-29MM CARBO FIXED</t>
        </is>
      </c>
      <c r="K6" s="2" t="n">
        <v>2</v>
      </c>
      <c r="L6" s="2" t="n"/>
      <c r="M6" s="2" t="inlineStr"/>
      <c r="N6" s="2" t="inlineStr">
        <is>
          <t>USD</t>
        </is>
      </c>
      <c r="O6" s="3" t="n">
        <v>6.66</v>
      </c>
      <c r="P6" s="3" t="n">
        <v>13.32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84818000</t>
        </is>
      </c>
    </row>
    <row r="7">
      <c r="A7" s="2" t="n"/>
      <c r="B7" s="2" t="inlineStr"/>
      <c r="C7" s="2" t="inlineStr">
        <is>
          <t>INV000443447</t>
        </is>
      </c>
      <c r="D7" s="2" t="inlineStr">
        <is>
          <t>2026-01-26</t>
        </is>
      </c>
      <c r="E7" s="2" t="inlineStr">
        <is>
          <t>LUBRICANTS</t>
        </is>
      </c>
      <c r="F7" s="2" t="inlineStr">
        <is>
          <t>27101900</t>
        </is>
      </c>
      <c r="G7" s="2" t="inlineStr"/>
      <c r="H7" s="2" t="inlineStr"/>
      <c r="I7" s="2" t="inlineStr">
        <is>
          <t>BK4513</t>
        </is>
      </c>
      <c r="J7" s="2" t="inlineStr">
        <is>
          <t>WINCH GREASE-100ML TUBE</t>
        </is>
      </c>
      <c r="K7" s="2" t="n">
        <v>10</v>
      </c>
      <c r="L7" s="2" t="n"/>
      <c r="M7" s="2" t="inlineStr"/>
      <c r="N7" s="2" t="inlineStr">
        <is>
          <t>USD</t>
        </is>
      </c>
      <c r="O7" s="3" t="n">
        <v>9.050000000000001</v>
      </c>
      <c r="P7" s="3" t="n">
        <v>90.5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27101900</t>
        </is>
      </c>
    </row>
    <row r="8">
      <c r="A8" s="2" t="n"/>
      <c r="B8" s="2" t="inlineStr"/>
      <c r="C8" s="2" t="inlineStr">
        <is>
          <t>INV000443447</t>
        </is>
      </c>
      <c r="D8" s="2" t="inlineStr">
        <is>
          <t>2026-01-26</t>
        </is>
      </c>
      <c r="E8" s="2" t="inlineStr">
        <is>
          <t>MARINE ELECTRICAL</t>
        </is>
      </c>
      <c r="F8" s="2" t="inlineStr">
        <is>
          <t>85365000</t>
        </is>
      </c>
      <c r="G8" s="2" t="inlineStr"/>
      <c r="H8" s="2" t="inlineStr"/>
      <c r="I8" s="2" t="inlineStr">
        <is>
          <t>BRS104/P</t>
        </is>
      </c>
      <c r="J8" s="2" t="inlineStr">
        <is>
          <t>SWITCH-QUICK REMOTE W/GUARD</t>
        </is>
      </c>
      <c r="K8" s="2" t="n">
        <v>6</v>
      </c>
      <c r="L8" s="2" t="n"/>
      <c r="M8" s="2" t="inlineStr"/>
      <c r="N8" s="2" t="inlineStr">
        <is>
          <t>USD</t>
        </is>
      </c>
      <c r="O8" s="3" t="n">
        <v>44.76</v>
      </c>
      <c r="P8" s="3" t="n">
        <v>268.56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85365000</t>
        </is>
      </c>
    </row>
    <row r="9">
      <c r="A9" s="2" t="n"/>
      <c r="B9" s="2" t="inlineStr"/>
      <c r="C9" s="2" t="inlineStr">
        <is>
          <t>INV000443447</t>
        </is>
      </c>
      <c r="D9" s="2" t="inlineStr">
        <is>
          <t>2026-01-26</t>
        </is>
      </c>
      <c r="E9" s="2" t="inlineStr">
        <is>
          <t>Rubber articles</t>
        </is>
      </c>
      <c r="F9" s="2" t="inlineStr">
        <is>
          <t>40169990</t>
        </is>
      </c>
      <c r="G9" s="2" t="inlineStr"/>
      <c r="H9" s="2" t="inlineStr"/>
      <c r="I9" s="2" t="inlineStr">
        <is>
          <t>HCP2029</t>
        </is>
      </c>
      <c r="J9" s="2" t="inlineStr">
        <is>
          <t>RUBBER COVER-BRS104/P</t>
        </is>
      </c>
      <c r="K9" s="2" t="n">
        <v>10</v>
      </c>
      <c r="L9" s="2" t="n"/>
      <c r="M9" s="2" t="inlineStr"/>
      <c r="N9" s="2" t="inlineStr">
        <is>
          <t>USD</t>
        </is>
      </c>
      <c r="O9" s="3" t="n">
        <v>7.23</v>
      </c>
      <c r="P9" s="3" t="n">
        <v>72.3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40169990</t>
        </is>
      </c>
    </row>
    <row r="10">
      <c r="A10" s="2" t="n"/>
      <c r="B10" s="2" t="inlineStr"/>
      <c r="C10" s="2" t="inlineStr">
        <is>
          <t>INV000443447</t>
        </is>
      </c>
      <c r="D10" s="2" t="inlineStr">
        <is>
          <t>2026-01-26</t>
        </is>
      </c>
      <c r="E10" s="2" t="inlineStr">
        <is>
          <t>Other Leaf-springs and leaves therefor</t>
        </is>
      </c>
      <c r="F10" s="2" t="inlineStr">
        <is>
          <t>73201090</t>
        </is>
      </c>
      <c r="G10" s="2" t="inlineStr"/>
      <c r="H10" s="2" t="inlineStr"/>
      <c r="I10" s="2" t="inlineStr">
        <is>
          <t>S285040001</t>
        </is>
      </c>
      <c r="J10" s="2" t="inlineStr">
        <is>
          <t>SPRING-10MM (B28504)</t>
        </is>
      </c>
      <c r="K10" s="2" t="n">
        <v>4</v>
      </c>
      <c r="L10" s="2" t="n"/>
      <c r="M10" s="2" t="inlineStr"/>
      <c r="N10" s="2" t="inlineStr">
        <is>
          <t>USD</t>
        </is>
      </c>
      <c r="O10" s="3" t="n">
        <v>0.5600000000000001</v>
      </c>
      <c r="P10" s="3" t="n">
        <v>2.24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73201090</t>
        </is>
      </c>
    </row>
    <row r="11">
      <c r="A11" s="2" t="n"/>
      <c r="B11" s="2" t="inlineStr"/>
      <c r="C11" s="2" t="inlineStr">
        <is>
          <t>INV000443447</t>
        </is>
      </c>
      <c r="D11" s="2" t="inlineStr">
        <is>
          <t>2026-01-26</t>
        </is>
      </c>
      <c r="E11" s="2" t="inlineStr">
        <is>
          <t>Other appliances</t>
        </is>
      </c>
      <c r="F11" s="2" t="inlineStr">
        <is>
          <t>84818000</t>
        </is>
      </c>
      <c r="G11" s="2" t="inlineStr"/>
      <c r="H11" s="2" t="inlineStr"/>
      <c r="I11" s="2" t="inlineStr">
        <is>
          <t>6230</t>
        </is>
      </c>
      <c r="J11" s="2" t="inlineStr">
        <is>
          <t>BLK-45MM ELEMENT SWV SINGLE</t>
        </is>
      </c>
      <c r="K11" s="2" t="n">
        <v>2</v>
      </c>
      <c r="L11" s="2" t="n"/>
      <c r="M11" s="2" t="inlineStr"/>
      <c r="N11" s="2" t="inlineStr">
        <is>
          <t>USD</t>
        </is>
      </c>
      <c r="O11" s="3" t="n">
        <v>20.8</v>
      </c>
      <c r="P11" s="3" t="n">
        <v>41.6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84818000</t>
        </is>
      </c>
    </row>
    <row r="12">
      <c r="A12" s="2" t="n"/>
      <c r="B12" s="2" t="inlineStr"/>
      <c r="C12" s="2" t="inlineStr">
        <is>
          <t>INV000443447</t>
        </is>
      </c>
      <c r="D12" s="2" t="inlineStr">
        <is>
          <t>2026-01-26</t>
        </is>
      </c>
      <c r="E12" s="2" t="inlineStr">
        <is>
          <t>Other appliances</t>
        </is>
      </c>
      <c r="F12" s="2" t="inlineStr">
        <is>
          <t>84818000</t>
        </is>
      </c>
      <c r="G12" s="2" t="inlineStr"/>
      <c r="H12" s="2" t="inlineStr"/>
      <c r="I12" s="2" t="inlineStr">
        <is>
          <t>6238</t>
        </is>
      </c>
      <c r="J12" s="2" t="inlineStr">
        <is>
          <t>BLK-45MM ELEMENT DBL</t>
        </is>
      </c>
      <c r="K12" s="2" t="n">
        <v>4</v>
      </c>
      <c r="L12" s="2" t="n"/>
      <c r="M12" s="2" t="inlineStr"/>
      <c r="N12" s="2" t="inlineStr">
        <is>
          <t>USD</t>
        </is>
      </c>
      <c r="O12" s="3" t="n">
        <v>45.22</v>
      </c>
      <c r="P12" s="3" t="n">
        <v>180.88</v>
      </c>
      <c r="Q12" s="3">
        <f>O12*K12</f>
        <v/>
      </c>
      <c r="R12" s="3">
        <f>P12-Q12</f>
        <v/>
      </c>
      <c r="S12" s="3" t="n"/>
      <c r="T12" s="3" t="n"/>
      <c r="U12" s="3" t="n"/>
      <c r="V12" s="3" t="n"/>
      <c r="W12" s="3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inlineStr">
        <is>
          <t>84818000</t>
        </is>
      </c>
    </row>
    <row r="13">
      <c r="A13" s="2" t="n"/>
      <c r="B13" s="2" t="inlineStr"/>
      <c r="C13" s="2" t="inlineStr">
        <is>
          <t>INV000443447</t>
        </is>
      </c>
      <c r="D13" s="2" t="inlineStr">
        <is>
          <t>2026-01-26</t>
        </is>
      </c>
      <c r="E13" s="2" t="inlineStr">
        <is>
          <t>Other appliances</t>
        </is>
      </c>
      <c r="F13" s="2" t="inlineStr">
        <is>
          <t>84818000</t>
        </is>
      </c>
      <c r="G13" s="2" t="inlineStr"/>
      <c r="H13" s="2" t="inlineStr"/>
      <c r="I13" s="2" t="inlineStr">
        <is>
          <t>6260</t>
        </is>
      </c>
      <c r="J13" s="2" t="inlineStr">
        <is>
          <t>BLK-60MM ELEMENT SWV SINGLE</t>
        </is>
      </c>
      <c r="K13" s="2" t="n">
        <v>2</v>
      </c>
      <c r="L13" s="2" t="n"/>
      <c r="M13" s="2" t="inlineStr"/>
      <c r="N13" s="2" t="inlineStr">
        <is>
          <t>USD</t>
        </is>
      </c>
      <c r="O13" s="3" t="n">
        <v>28.72</v>
      </c>
      <c r="P13" s="3" t="n">
        <v>57.44</v>
      </c>
      <c r="Q13" s="3">
        <f>O13*K13</f>
        <v/>
      </c>
      <c r="R13" s="3">
        <f>P13-Q13</f>
        <v/>
      </c>
      <c r="S13" s="3" t="n"/>
      <c r="T13" s="3" t="n"/>
      <c r="U13" s="3" t="n"/>
      <c r="V13" s="3" t="n"/>
      <c r="W13" s="3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inlineStr">
        <is>
          <t>84818000</t>
        </is>
      </c>
    </row>
    <row r="14">
      <c r="A14" s="2" t="n"/>
      <c r="B14" s="2" t="inlineStr"/>
      <c r="C14" s="2" t="inlineStr">
        <is>
          <t>INV000443447</t>
        </is>
      </c>
      <c r="D14" s="2" t="inlineStr">
        <is>
          <t>2026-01-26</t>
        </is>
      </c>
      <c r="E14" s="2" t="inlineStr">
        <is>
          <t>Other appliances</t>
        </is>
      </c>
      <c r="F14" s="2" t="inlineStr">
        <is>
          <t>84818000</t>
        </is>
      </c>
      <c r="G14" s="2" t="inlineStr"/>
      <c r="H14" s="2" t="inlineStr"/>
      <c r="I14" s="2" t="inlineStr">
        <is>
          <t>6263</t>
        </is>
      </c>
      <c r="J14" s="2" t="inlineStr">
        <is>
          <t>BLK-60MM ELEMENT FIDL BKT</t>
        </is>
      </c>
      <c r="K14" s="2" t="n">
        <v>2</v>
      </c>
      <c r="L14" s="2" t="n"/>
      <c r="M14" s="2" t="inlineStr"/>
      <c r="N14" s="2" t="inlineStr">
        <is>
          <t>USD</t>
        </is>
      </c>
      <c r="O14" s="3" t="n">
        <v>43.27</v>
      </c>
      <c r="P14" s="3" t="n">
        <v>86.54000000000001</v>
      </c>
      <c r="Q14" s="3">
        <f>O14*K14</f>
        <v/>
      </c>
      <c r="R14" s="3">
        <f>P14-Q14</f>
        <v/>
      </c>
      <c r="S14" s="3" t="n"/>
      <c r="T14" s="3" t="n"/>
      <c r="U14" s="3" t="n"/>
      <c r="V14" s="3" t="n"/>
      <c r="W14" s="3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inlineStr">
        <is>
          <t>84818000</t>
        </is>
      </c>
    </row>
    <row r="15">
      <c r="A15" s="2" t="n"/>
      <c r="B15" s="2" t="inlineStr"/>
      <c r="C15" s="2" t="inlineStr">
        <is>
          <t>INV000443447</t>
        </is>
      </c>
      <c r="D15" s="2" t="inlineStr">
        <is>
          <t>2026-01-26</t>
        </is>
      </c>
      <c r="E15" s="2" t="inlineStr">
        <is>
          <t>Other appliances</t>
        </is>
      </c>
      <c r="F15" s="2" t="inlineStr">
        <is>
          <t>84818000</t>
        </is>
      </c>
      <c r="G15" s="2" t="inlineStr"/>
      <c r="H15" s="2" t="inlineStr"/>
      <c r="I15" s="2" t="inlineStr">
        <is>
          <t>6265</t>
        </is>
      </c>
      <c r="J15" s="2" t="inlineStr">
        <is>
          <t>BLK-60MM ELEMENT FIDL W/CAM</t>
        </is>
      </c>
      <c r="K15" s="2" t="n">
        <v>4</v>
      </c>
      <c r="L15" s="2" t="n"/>
      <c r="M15" s="2" t="inlineStr"/>
      <c r="N15" s="2" t="inlineStr">
        <is>
          <t>USD</t>
        </is>
      </c>
      <c r="O15" s="3" t="n">
        <v>54.91</v>
      </c>
      <c r="P15" s="3" t="n">
        <v>219.64</v>
      </c>
      <c r="Q15" s="3">
        <f>O15*K15</f>
        <v/>
      </c>
      <c r="R15" s="3">
        <f>P15-Q15</f>
        <v/>
      </c>
      <c r="S15" s="3" t="n"/>
      <c r="T15" s="3" t="n"/>
      <c r="U15" s="3" t="n"/>
      <c r="V15" s="3" t="n"/>
      <c r="W15" s="3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inlineStr">
        <is>
          <t>84818000</t>
        </is>
      </c>
    </row>
    <row r="16">
      <c r="A16" s="2" t="n"/>
      <c r="B16" s="2" t="inlineStr"/>
      <c r="C16" s="2" t="inlineStr">
        <is>
          <t>INV000443447</t>
        </is>
      </c>
      <c r="D16" s="2" t="inlineStr">
        <is>
          <t>2026-01-26</t>
        </is>
      </c>
      <c r="E16" s="2" t="inlineStr">
        <is>
          <t>Other appliances</t>
        </is>
      </c>
      <c r="F16" s="2" t="inlineStr">
        <is>
          <t>84818000</t>
        </is>
      </c>
      <c r="G16" s="2" t="inlineStr"/>
      <c r="H16" s="2" t="inlineStr"/>
      <c r="I16" s="2" t="inlineStr">
        <is>
          <t>6272</t>
        </is>
      </c>
      <c r="J16" s="2" t="inlineStr">
        <is>
          <t>BLK-60MM ELEMENT TRPL</t>
        </is>
      </c>
      <c r="K16" s="2" t="n">
        <v>2</v>
      </c>
      <c r="L16" s="2" t="n"/>
      <c r="M16" s="2" t="inlineStr"/>
      <c r="N16" s="2" t="inlineStr">
        <is>
          <t>USD</t>
        </is>
      </c>
      <c r="O16" s="3" t="n">
        <v>77</v>
      </c>
      <c r="P16" s="3" t="n">
        <v>154</v>
      </c>
      <c r="Q16" s="3">
        <f>O16*K16</f>
        <v/>
      </c>
      <c r="R16" s="3">
        <f>P16-Q16</f>
        <v/>
      </c>
      <c r="S16" s="3" t="n"/>
      <c r="T16" s="3" t="n"/>
      <c r="U16" s="3" t="n"/>
      <c r="V16" s="3" t="n"/>
      <c r="W16" s="3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inlineStr">
        <is>
          <t>84818000</t>
        </is>
      </c>
    </row>
    <row r="17">
      <c r="A17" s="2" t="n"/>
      <c r="B17" s="2" t="inlineStr"/>
      <c r="C17" s="2" t="inlineStr">
        <is>
          <t>INV000443447</t>
        </is>
      </c>
      <c r="D17" s="2" t="inlineStr">
        <is>
          <t>2026-01-26</t>
        </is>
      </c>
      <c r="E17" s="2" t="inlineStr">
        <is>
          <t>Other appliances</t>
        </is>
      </c>
      <c r="F17" s="2" t="inlineStr">
        <is>
          <t>84818000</t>
        </is>
      </c>
      <c r="G17" s="2" t="inlineStr"/>
      <c r="H17" s="2" t="inlineStr"/>
      <c r="I17" s="2" t="inlineStr">
        <is>
          <t>6290</t>
        </is>
      </c>
      <c r="J17" s="2" t="inlineStr">
        <is>
          <t>BLK-80MM ELEMENT SINGLE</t>
        </is>
      </c>
      <c r="K17" s="2" t="n">
        <v>2</v>
      </c>
      <c r="L17" s="2" t="n"/>
      <c r="M17" s="2" t="inlineStr"/>
      <c r="N17" s="2" t="inlineStr">
        <is>
          <t>USD</t>
        </is>
      </c>
      <c r="O17" s="3" t="n">
        <v>47.48</v>
      </c>
      <c r="P17" s="3" t="n">
        <v>94.95999999999999</v>
      </c>
      <c r="Q17" s="3">
        <f>O17*K17</f>
        <v/>
      </c>
      <c r="R17" s="3">
        <f>P17-Q17</f>
        <v/>
      </c>
      <c r="S17" s="3" t="n"/>
      <c r="T17" s="3" t="n"/>
      <c r="U17" s="3" t="n"/>
      <c r="V17" s="3" t="n"/>
      <c r="W17" s="3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84818000</t>
        </is>
      </c>
    </row>
    <row r="18">
      <c r="A18" s="2" t="n"/>
      <c r="B18" s="2" t="inlineStr"/>
      <c r="C18" s="2" t="inlineStr">
        <is>
          <t>INV000443447</t>
        </is>
      </c>
      <c r="D18" s="2" t="inlineStr">
        <is>
          <t>2026-01-26</t>
        </is>
      </c>
      <c r="E18" s="2" t="inlineStr">
        <is>
          <t>Other appliances</t>
        </is>
      </c>
      <c r="F18" s="2" t="inlineStr">
        <is>
          <t>84818000</t>
        </is>
      </c>
      <c r="G18" s="2" t="inlineStr"/>
      <c r="H18" s="2" t="inlineStr"/>
      <c r="I18" s="2" t="inlineStr">
        <is>
          <t>6291</t>
        </is>
      </c>
      <c r="J18" s="2" t="inlineStr">
        <is>
          <t>BLK-80MM ELEMENT BKT SINGLE</t>
        </is>
      </c>
      <c r="K18" s="2" t="n">
        <v>2</v>
      </c>
      <c r="L18" s="2" t="n"/>
      <c r="M18" s="2" t="inlineStr"/>
      <c r="N18" s="2" t="inlineStr">
        <is>
          <t>USD</t>
        </is>
      </c>
      <c r="O18" s="3" t="n">
        <v>69.01000000000001</v>
      </c>
      <c r="P18" s="3" t="n">
        <v>138.02</v>
      </c>
      <c r="Q18" s="3">
        <f>O18*K18</f>
        <v/>
      </c>
      <c r="R18" s="3">
        <f>P18-Q18</f>
        <v/>
      </c>
      <c r="S18" s="3" t="n"/>
      <c r="T18" s="3" t="n"/>
      <c r="U18" s="3" t="n"/>
      <c r="V18" s="3" t="n"/>
      <c r="W18" s="3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inlineStr">
        <is>
          <t>84818000</t>
        </is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inlineStr">
        <is>
          <t>SUBTOTAL</t>
        </is>
      </c>
      <c r="K19" s="4" t="n"/>
      <c r="L19" s="4" t="n"/>
      <c r="M19" s="4" t="n"/>
      <c r="N19" s="4" t="n"/>
      <c r="O19" s="4" t="n"/>
      <c r="P19" s="5">
        <f>P2+P3+P4+P5+P6+P7+P8+P9+P10+P11+P12+P13+P14+P15+P16+P17+P18</f>
        <v/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inlineStr">
        <is>
          <t>ADJUSTMENTS</t>
        </is>
      </c>
      <c r="K20" s="4" t="n"/>
      <c r="L20" s="4" t="n"/>
      <c r="M20" s="4" t="n"/>
      <c r="N20" s="4" t="n"/>
      <c r="O20" s="4" t="n"/>
      <c r="P20" s="5">
        <f>(T2+U2+V2-W2)</f>
        <v/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inlineStr">
        <is>
          <t>NET TOTAL</t>
        </is>
      </c>
      <c r="K21" s="4" t="n"/>
      <c r="L21" s="4" t="n"/>
      <c r="M21" s="4" t="n"/>
      <c r="N21" s="4" t="n"/>
      <c r="O21" s="4" t="n"/>
      <c r="P21" s="5">
        <f>(P19+P20)</f>
        <v/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inlineStr">
        <is>
          <t>VARIANCE CHECK</t>
        </is>
      </c>
      <c r="K22" s="4" t="n"/>
      <c r="L22" s="4" t="n"/>
      <c r="M22" s="4" t="n"/>
      <c r="N22" s="4" t="n"/>
      <c r="O22" s="4" t="n"/>
      <c r="P22" s="5">
        <f>(S2-P21)</f>
        <v/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DUTY ESTIMATION (Classification Cross-Check)</t>
        </is>
      </c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inlineStr">
        <is>
          <t>CIF (USD) = InvTotal + Freight + Insurance</t>
        </is>
      </c>
      <c r="K25" s="7" t="n"/>
      <c r="L25" s="7" t="n"/>
      <c r="M25" s="7" t="n"/>
      <c r="N25" s="7" t="n"/>
      <c r="O25" s="7" t="n"/>
      <c r="P25" s="9" t="n">
        <v>2515.55</v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inlineStr">
        <is>
          <t>CIF (XCD) = CIF × 2.7169</t>
        </is>
      </c>
      <c r="K26" s="7" t="n"/>
      <c r="L26" s="7" t="n"/>
      <c r="M26" s="7" t="n"/>
      <c r="N26" s="7" t="n"/>
      <c r="O26" s="7" t="n"/>
      <c r="P26" s="9" t="n">
        <v>6834.5</v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inlineStr">
        <is>
          <t>CET (weighted avg 12.6%)</t>
        </is>
      </c>
      <c r="K27" s="7" t="n"/>
      <c r="L27" s="7" t="n"/>
      <c r="M27" s="7" t="n"/>
      <c r="N27" s="7" t="n"/>
      <c r="O27" s="7" t="n"/>
      <c r="P27" s="9" t="n">
        <v>858.76</v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inlineStr">
        <is>
          <t xml:space="preserve">  └ 27101900: 20% CET (4% of value)</t>
        </is>
      </c>
      <c r="K28" s="7" t="n"/>
      <c r="L28" s="7" t="n"/>
      <c r="M28" s="7" t="n"/>
      <c r="N28" s="7" t="n"/>
      <c r="O28" s="7" t="n"/>
      <c r="P28" s="9" t="n">
        <v>51.45</v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8" t="inlineStr">
        <is>
          <t xml:space="preserve">  └ 40169990: 20% CET (3% of value)</t>
        </is>
      </c>
      <c r="K29" s="7" t="n"/>
      <c r="L29" s="7" t="n"/>
      <c r="M29" s="7" t="n"/>
      <c r="N29" s="7" t="n"/>
      <c r="O29" s="7" t="n"/>
      <c r="P29" s="9" t="n">
        <v>41.1</v>
      </c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inlineStr">
        <is>
          <t xml:space="preserve">  └ 73201090: 20% CET (0% of value)</t>
        </is>
      </c>
      <c r="K30" s="7" t="n"/>
      <c r="L30" s="7" t="n"/>
      <c r="M30" s="7" t="n"/>
      <c r="N30" s="7" t="n"/>
      <c r="O30" s="7" t="n"/>
      <c r="P30" s="9" t="n">
        <v>1.27</v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8" t="inlineStr">
        <is>
          <t xml:space="preserve">  └ 84818000: 5% CET (50% of value)</t>
        </is>
      </c>
      <c r="K31" s="7" t="n"/>
      <c r="L31" s="7" t="n"/>
      <c r="M31" s="7" t="n"/>
      <c r="N31" s="7" t="n"/>
      <c r="O31" s="7" t="n"/>
      <c r="P31" s="9" t="n">
        <v>169.38</v>
      </c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 xml:space="preserve">  └ 85365000: 20% CET (11% of value)</t>
        </is>
      </c>
      <c r="K32" s="7" t="n"/>
      <c r="L32" s="7" t="n"/>
      <c r="M32" s="7" t="n"/>
      <c r="N32" s="7" t="n"/>
      <c r="O32" s="7" t="n"/>
      <c r="P32" s="9" t="n">
        <v>152.67</v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8" t="inlineStr">
        <is>
          <t xml:space="preserve">  └ 94069090: 20% CET (32% of value)</t>
        </is>
      </c>
      <c r="K33" s="7" t="n"/>
      <c r="L33" s="7" t="n"/>
      <c r="M33" s="7" t="n"/>
      <c r="N33" s="7" t="n"/>
      <c r="O33" s="7" t="n"/>
      <c r="P33" s="9" t="n">
        <v>442.88</v>
      </c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8" t="inlineStr">
        <is>
          <t>CSC (6%)</t>
        </is>
      </c>
      <c r="K34" s="7" t="n"/>
      <c r="L34" s="7" t="n"/>
      <c r="M34" s="7" t="n"/>
      <c r="N34" s="7" t="n"/>
      <c r="O34" s="7" t="n"/>
      <c r="P34" s="9" t="n">
        <v>410.07</v>
      </c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8" t="inlineStr">
        <is>
          <t>VAT (15%) on CIF+CET+CSC</t>
        </is>
      </c>
      <c r="K35" s="7" t="n"/>
      <c r="L35" s="7" t="n"/>
      <c r="M35" s="7" t="n"/>
      <c r="N35" s="7" t="n"/>
      <c r="O35" s="7" t="n"/>
      <c r="P35" s="9" t="n">
        <v>1215.5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6" t="inlineStr">
        <is>
          <t>ESTIMATED TOTAL DUTIES</t>
        </is>
      </c>
      <c r="K36" s="10" t="n"/>
      <c r="L36" s="10" t="n"/>
      <c r="M36" s="10" t="n"/>
      <c r="N36" s="10" t="n"/>
      <c r="O36" s="10" t="n"/>
      <c r="P36" s="11" t="n">
        <v>2484.33</v>
      </c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8" t="inlineStr">
        <is>
          <t>Effective Duty Rate</t>
        </is>
      </c>
      <c r="K37" s="7" t="n"/>
      <c r="L37" s="7" t="n"/>
      <c r="M37" s="7" t="n"/>
      <c r="N37" s="7" t="n"/>
      <c r="O37" s="7" t="n"/>
      <c r="P37" s="12" t="n">
        <v>0.3634984270978125</v>
      </c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2026-04-27T00:06:54Z</dcterms:created>
  <dcterms:modified xsi:type="dcterms:W3CDTF">2026-04-27T00:10:48Z</dcterms:modified>
</cp:coreProperties>
</file>