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1F4E79"/>
      <sz val="10"/>
    </font>
    <font>
      <color rgb="001F4E79"/>
      <sz val="10"/>
    </font>
    <font>
      <b val="1"/>
      <color rgb="009C5700"/>
      <sz val="11"/>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D6E4F0"/>
        <bgColor rgb="00D6E4F0"/>
      </patternFill>
    </fill>
    <fill>
      <patternFill patternType="solid">
        <fgColor rgb="00E0E0E0"/>
        <bgColor rgb="00E0E0E0"/>
      </patternFill>
    </fill>
    <fill>
      <patternFill patternType="solid">
        <fgColor rgb="00FFEBCC"/>
        <bgColor rgb="00FFEBCC"/>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6" fillId="4" borderId="1" pivotButton="0" quotePrefix="0" xfId="0"/>
    <xf numFmtId="0" fontId="0" fillId="0" borderId="1" pivotButton="0" quotePrefix="0" xfId="0"/>
    <xf numFmtId="0" fontId="7" fillId="0" borderId="1" pivotButton="0" quotePrefix="0" xfId="0"/>
    <xf numFmtId="164" fontId="6" fillId="0" borderId="1" pivotButton="0" quotePrefix="0" xfId="0"/>
    <xf numFmtId="0" fontId="0" fillId="4" borderId="1" pivotButton="0" quotePrefix="0" xfId="0"/>
    <xf numFmtId="164" fontId="6" fillId="4" borderId="1" pivotButton="0" quotePrefix="0" xfId="0"/>
    <xf numFmtId="165" fontId="6" fillId="0" borderId="1" pivotButton="0" quotePrefix="0" xfId="0"/>
    <xf numFmtId="0" fontId="0" fillId="5" borderId="0" pivotButton="0" quotePrefix="0" xfId="0"/>
    <xf numFmtId="0" fontId="0" fillId="6" borderId="1" pivotButton="0" quotePrefix="0" xfId="0"/>
    <xf numFmtId="0" fontId="8" fillId="6" borderId="1"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02"/>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INVUS20240717001998094</t>
        </is>
      </c>
      <c r="D2" s="2" t="n"/>
      <c r="E2" s="2" t="inlineStr">
        <is>
          <t>PRODUCTS</t>
        </is>
      </c>
      <c r="F2" s="2" t="inlineStr">
        <is>
          <t>00000000</t>
        </is>
      </c>
      <c r="G2" s="2" t="n"/>
      <c r="H2" s="2" t="n"/>
      <c r="I2" s="2" t="inlineStr">
        <is>
          <t>00000000</t>
        </is>
      </c>
      <c r="J2" s="2" t="inlineStr">
        <is>
          <t>SRS Aaa a rT Sis ae eet ete Men rl Ei ea prey re RAIS ne Meena opeMlahcas mer... (1 items)</t>
        </is>
      </c>
      <c r="K2" s="2" t="n">
        <v>1</v>
      </c>
      <c r="L2" s="2" t="n"/>
      <c r="M2" s="2" t="n"/>
      <c r="N2" s="2" t="inlineStr">
        <is>
          <t>USD</t>
        </is>
      </c>
      <c r="O2" s="3" t="n">
        <v>6.45</v>
      </c>
      <c r="P2" s="3" t="n">
        <v>6.45</v>
      </c>
      <c r="Q2" s="3">
        <f>O2*K2</f>
        <v/>
      </c>
      <c r="R2" s="3">
        <f>P2-Q2</f>
        <v/>
      </c>
      <c r="S2" s="3" t="n">
        <v>6.92</v>
      </c>
      <c r="T2" s="3" t="n">
        <v>0</v>
      </c>
      <c r="U2" s="3" t="n">
        <v>0</v>
      </c>
      <c r="V2" s="3" t="n">
        <v>0.47</v>
      </c>
      <c r="W2" s="3" t="n">
        <v>0</v>
      </c>
      <c r="X2" s="2" t="n">
        <v>7</v>
      </c>
      <c r="Y2" s="2" t="n"/>
      <c r="Z2" s="2" t="inlineStr">
        <is>
          <t>SHEIN</t>
        </is>
      </c>
      <c r="AA2" s="2" t="inlineStr">
        <is>
          <t>SHEIN US Services, LLC</t>
        </is>
      </c>
      <c r="AB2" s="2" t="inlineStr">
        <is>
          <t>777 S. Alameda St., Second Floor, Los Angeles, CA 90021</t>
        </is>
      </c>
      <c r="AC2" s="2" t="inlineStr">
        <is>
          <t>US</t>
        </is>
      </c>
      <c r="AD2" s="2" t="n"/>
      <c r="AE2" s="2" t="n"/>
      <c r="AF2" s="2" t="n"/>
      <c r="AG2" s="2" t="n"/>
      <c r="AH2" s="2" t="n"/>
      <c r="AI2" s="2" t="n"/>
      <c r="AJ2" s="2" t="n"/>
      <c r="AK2" s="2" t="inlineStr">
        <is>
          <t>00000000</t>
        </is>
      </c>
    </row>
    <row r="3">
      <c r="A3" s="4" t="n"/>
      <c r="B3" s="4" t="n"/>
      <c r="C3" s="4" t="n"/>
      <c r="D3" s="4" t="n"/>
      <c r="E3" s="4" t="n"/>
      <c r="F3" s="4" t="inlineStr">
        <is>
          <t>00000000</t>
        </is>
      </c>
      <c r="G3" s="4" t="n"/>
      <c r="H3" s="4" t="n"/>
      <c r="I3" s="4" t="inlineStr">
        <is>
          <t>SHEIN-1</t>
        </is>
      </c>
      <c r="J3" s="4" t="inlineStr">
        <is>
          <t>SRS Aaa a rT Sis ae eet ete Men rl Ei ea prey re RAIS ne Meena opeMlahcas mer...</t>
        </is>
      </c>
      <c r="K3" s="4" t="n">
        <v>1</v>
      </c>
      <c r="L3" s="4" t="n"/>
      <c r="M3" s="4" t="n"/>
      <c r="N3" s="4" t="inlineStr">
        <is>
          <t>USD</t>
        </is>
      </c>
      <c r="O3" s="5" t="n">
        <v>6.45</v>
      </c>
      <c r="P3" s="5" t="n">
        <v>6.45</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6" t="n"/>
      <c r="B4" s="6" t="n"/>
      <c r="C4" s="6" t="n"/>
      <c r="D4" s="6" t="n"/>
      <c r="E4" s="6" t="n"/>
      <c r="F4" s="6" t="n"/>
      <c r="G4" s="6" t="n"/>
      <c r="H4" s="6" t="n"/>
      <c r="I4" s="6" t="n"/>
      <c r="J4" s="6" t="inlineStr">
        <is>
          <t>SUBTOTAL (GROUPED)</t>
        </is>
      </c>
      <c r="K4" s="6" t="n"/>
      <c r="L4" s="6" t="n"/>
      <c r="M4" s="6" t="n"/>
      <c r="N4" s="6" t="n"/>
      <c r="O4" s="6" t="n"/>
      <c r="P4" s="7">
        <f>P2</f>
        <v/>
      </c>
      <c r="Q4" s="7">
        <f>Q2</f>
        <v/>
      </c>
      <c r="R4" s="6" t="n"/>
      <c r="S4" s="6" t="n"/>
      <c r="T4" s="6" t="n"/>
      <c r="U4" s="6" t="n"/>
      <c r="V4" s="6" t="n"/>
      <c r="W4" s="6" t="n"/>
      <c r="X4" s="6" t="n"/>
      <c r="Y4" s="6" t="n"/>
      <c r="Z4" s="6" t="n"/>
      <c r="AA4" s="6" t="n"/>
      <c r="AB4" s="6" t="n"/>
      <c r="AC4" s="6" t="n"/>
      <c r="AD4" s="6" t="n"/>
      <c r="AE4" s="6" t="n"/>
      <c r="AF4" s="6" t="n"/>
      <c r="AG4" s="6" t="n"/>
      <c r="AH4" s="6" t="n"/>
      <c r="AI4" s="6" t="n"/>
      <c r="AJ4" s="6" t="n"/>
      <c r="AK4" s="6" t="n"/>
    </row>
    <row r="5">
      <c r="A5" s="6" t="n"/>
      <c r="B5" s="6" t="n"/>
      <c r="C5" s="6" t="n"/>
      <c r="D5" s="6" t="n"/>
      <c r="E5" s="6" t="n"/>
      <c r="F5" s="6" t="n"/>
      <c r="G5" s="6" t="n"/>
      <c r="H5" s="6" t="n"/>
      <c r="I5" s="6" t="n"/>
      <c r="J5" s="6" t="inlineStr">
        <is>
          <t>SUBTOTAL (DETAILS)</t>
        </is>
      </c>
      <c r="K5" s="6" t="n"/>
      <c r="L5" s="6" t="n"/>
      <c r="M5" s="6" t="n"/>
      <c r="N5" s="6" t="n"/>
      <c r="O5" s="6" t="n"/>
      <c r="P5" s="7">
        <f>SUM(P2:P3)-P4</f>
        <v/>
      </c>
      <c r="Q5" s="7">
        <f>SUM(Q2:Q3)-Q4</f>
        <v/>
      </c>
      <c r="R5" s="6" t="n"/>
      <c r="S5" s="6" t="n"/>
      <c r="T5" s="6" t="n"/>
      <c r="U5" s="6" t="n"/>
      <c r="V5" s="6" t="n"/>
      <c r="W5" s="6" t="n"/>
      <c r="X5" s="6" t="n"/>
      <c r="Y5" s="6" t="n"/>
      <c r="Z5" s="6" t="n"/>
      <c r="AA5" s="6" t="n"/>
      <c r="AB5" s="6" t="n"/>
      <c r="AC5" s="6" t="n"/>
      <c r="AD5" s="6" t="n"/>
      <c r="AE5" s="6" t="n"/>
      <c r="AF5" s="6" t="n"/>
      <c r="AG5" s="6" t="n"/>
      <c r="AH5" s="6" t="n"/>
      <c r="AI5" s="6" t="n"/>
      <c r="AJ5" s="6" t="n"/>
      <c r="AK5" s="6" t="n"/>
    </row>
    <row r="6">
      <c r="A6" s="8" t="n"/>
      <c r="B6" s="8" t="n"/>
      <c r="C6" s="8" t="n"/>
      <c r="D6" s="8" t="n"/>
      <c r="E6" s="8" t="n"/>
      <c r="F6" s="8" t="n"/>
      <c r="G6" s="8" t="n"/>
      <c r="H6" s="8" t="n"/>
      <c r="I6" s="8" t="n"/>
      <c r="J6" s="8" t="inlineStr">
        <is>
          <t>GROUP VERIFICATION</t>
        </is>
      </c>
      <c r="K6" s="8" t="n"/>
      <c r="L6" s="8" t="n"/>
      <c r="M6" s="8" t="n"/>
      <c r="N6" s="8" t="n"/>
      <c r="O6" s="8" t="n"/>
      <c r="P6" s="9">
        <f>P4-P5</f>
        <v/>
      </c>
      <c r="Q6" s="9">
        <f>Q4-Q5</f>
        <v/>
      </c>
      <c r="R6" s="8" t="n"/>
      <c r="S6" s="8" t="n"/>
      <c r="T6" s="8" t="n"/>
      <c r="U6" s="8" t="n"/>
      <c r="V6" s="8" t="n"/>
      <c r="W6" s="8" t="n"/>
      <c r="X6" s="8" t="n"/>
      <c r="Y6" s="8" t="n"/>
      <c r="Z6" s="8" t="n"/>
      <c r="AA6" s="8" t="n"/>
      <c r="AB6" s="8" t="n"/>
      <c r="AC6" s="8" t="n"/>
      <c r="AD6" s="8" t="n"/>
      <c r="AE6" s="8" t="n"/>
      <c r="AF6" s="8" t="n"/>
      <c r="AG6" s="8" t="n"/>
      <c r="AH6" s="8" t="n"/>
      <c r="AI6" s="8" t="n"/>
      <c r="AJ6" s="8" t="n"/>
      <c r="AK6" s="8" t="n"/>
    </row>
    <row r="7"/>
    <row r="8">
      <c r="A8" s="6" t="n"/>
      <c r="B8" s="6" t="n"/>
      <c r="C8" s="6" t="n"/>
      <c r="D8" s="6" t="n"/>
      <c r="E8" s="6" t="n"/>
      <c r="F8" s="6" t="n"/>
      <c r="G8" s="6" t="n"/>
      <c r="H8" s="6" t="n"/>
      <c r="I8" s="6" t="n"/>
      <c r="J8" s="6" t="inlineStr">
        <is>
          <t>TOTAL INTERNAL FREIGHT</t>
        </is>
      </c>
      <c r="K8" s="6" t="n"/>
      <c r="L8" s="6" t="n"/>
      <c r="M8" s="6" t="n"/>
      <c r="N8" s="6" t="n"/>
      <c r="O8" s="6" t="n"/>
      <c r="P8" s="7" t="n">
        <v>0</v>
      </c>
      <c r="Q8" s="7" t="n"/>
      <c r="R8" s="6" t="n"/>
      <c r="S8" s="6" t="n"/>
      <c r="T8" s="6" t="n"/>
      <c r="U8" s="6" t="n"/>
      <c r="V8" s="6" t="n"/>
      <c r="W8" s="6" t="n"/>
      <c r="X8" s="6" t="n"/>
      <c r="Y8" s="6" t="n"/>
      <c r="Z8" s="6" t="n"/>
      <c r="AA8" s="6" t="n"/>
      <c r="AB8" s="6" t="n"/>
      <c r="AC8" s="6" t="n"/>
      <c r="AD8" s="6" t="n"/>
      <c r="AE8" s="6" t="n"/>
      <c r="AF8" s="6" t="n"/>
      <c r="AG8" s="6" t="n"/>
      <c r="AH8" s="6" t="n"/>
      <c r="AI8" s="6" t="n"/>
      <c r="AJ8" s="6" t="n"/>
      <c r="AK8" s="6" t="n"/>
    </row>
    <row r="9">
      <c r="A9" s="6" t="n"/>
      <c r="B9" s="6" t="n"/>
      <c r="C9" s="6" t="n"/>
      <c r="D9" s="6" t="n"/>
      <c r="E9" s="6" t="n"/>
      <c r="F9" s="6" t="n"/>
      <c r="G9" s="6" t="n"/>
      <c r="H9" s="6" t="n"/>
      <c r="I9" s="6" t="n"/>
      <c r="J9" s="6" t="inlineStr">
        <is>
          <t>TOTAL INSURANCE</t>
        </is>
      </c>
      <c r="K9" s="6" t="n"/>
      <c r="L9" s="6" t="n"/>
      <c r="M9" s="6" t="n"/>
      <c r="N9" s="6" t="n"/>
      <c r="O9" s="6" t="n"/>
      <c r="P9" s="7" t="n">
        <v>0</v>
      </c>
      <c r="Q9" s="7" t="n"/>
      <c r="R9" s="6" t="n"/>
      <c r="S9" s="6" t="n"/>
      <c r="T9" s="6" t="n"/>
      <c r="U9" s="6" t="n"/>
      <c r="V9" s="6" t="n"/>
      <c r="W9" s="6" t="n"/>
      <c r="X9" s="6" t="n"/>
      <c r="Y9" s="6" t="n"/>
      <c r="Z9" s="6" t="n"/>
      <c r="AA9" s="6" t="n"/>
      <c r="AB9" s="6" t="n"/>
      <c r="AC9" s="6" t="n"/>
      <c r="AD9" s="6" t="n"/>
      <c r="AE9" s="6" t="n"/>
      <c r="AF9" s="6" t="n"/>
      <c r="AG9" s="6" t="n"/>
      <c r="AH9" s="6" t="n"/>
      <c r="AI9" s="6" t="n"/>
      <c r="AJ9" s="6" t="n"/>
      <c r="AK9" s="6" t="n"/>
    </row>
    <row r="10">
      <c r="A10" s="6" t="n"/>
      <c r="B10" s="6" t="n"/>
      <c r="C10" s="6" t="n"/>
      <c r="D10" s="6" t="n"/>
      <c r="E10" s="6" t="n"/>
      <c r="F10" s="6" t="n"/>
      <c r="G10" s="6" t="n"/>
      <c r="H10" s="6" t="n"/>
      <c r="I10" s="6" t="n"/>
      <c r="J10" s="6" t="inlineStr">
        <is>
          <t>TOTAL OTHER COST</t>
        </is>
      </c>
      <c r="K10" s="6" t="n"/>
      <c r="L10" s="6" t="n"/>
      <c r="M10" s="6" t="n"/>
      <c r="N10" s="6" t="n"/>
      <c r="O10" s="6" t="n"/>
      <c r="P10" s="7" t="n">
        <v>0.47</v>
      </c>
      <c r="Q10" s="7" t="n"/>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6" t="n"/>
      <c r="B11" s="6" t="n"/>
      <c r="C11" s="6" t="n"/>
      <c r="D11" s="6" t="n"/>
      <c r="E11" s="6" t="n"/>
      <c r="F11" s="6" t="n"/>
      <c r="G11" s="6" t="n"/>
      <c r="H11" s="6" t="n"/>
      <c r="I11" s="6" t="n"/>
      <c r="J11" s="6" t="inlineStr">
        <is>
          <t>TOTAL DEDUCTION</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ADJUSTMENTS</t>
        </is>
      </c>
      <c r="K12" s="6" t="n"/>
      <c r="L12" s="6" t="n"/>
      <c r="M12" s="6" t="n"/>
      <c r="N12" s="6" t="n"/>
      <c r="O12" s="6" t="n"/>
      <c r="P12" s="7">
        <f>(T2+U2+V2-W2)</f>
        <v/>
      </c>
      <c r="Q12" s="7">
        <f>(T2+U2+V2-W2)</f>
        <v/>
      </c>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row r="14">
      <c r="A14" s="6" t="n"/>
      <c r="B14" s="6" t="n"/>
      <c r="C14" s="6" t="n"/>
      <c r="D14" s="6" t="n"/>
      <c r="E14" s="6" t="n"/>
      <c r="F14" s="6" t="n"/>
      <c r="G14" s="6" t="n"/>
      <c r="H14" s="6" t="n"/>
      <c r="I14" s="6" t="n"/>
      <c r="J14" s="6" t="inlineStr">
        <is>
          <t>NET TOTAL</t>
        </is>
      </c>
      <c r="K14" s="6" t="n"/>
      <c r="L14" s="6" t="n"/>
      <c r="M14" s="6" t="n"/>
      <c r="N14" s="6" t="n"/>
      <c r="O14" s="6" t="n"/>
      <c r="P14" s="7">
        <f>P4+P12</f>
        <v/>
      </c>
      <c r="Q14" s="7">
        <f>Q4+Q12</f>
        <v/>
      </c>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INVOICE TOTAL</t>
        </is>
      </c>
      <c r="K15" s="6" t="n"/>
      <c r="L15" s="6" t="n"/>
      <c r="M15" s="6" t="n"/>
      <c r="N15" s="6" t="n"/>
      <c r="O15" s="6" t="n"/>
      <c r="P15" s="7">
        <f>S2</f>
        <v/>
      </c>
      <c r="Q15" s="7" t="n"/>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row r="17">
      <c r="A17" s="10" t="n"/>
      <c r="B17" s="10" t="n"/>
      <c r="C17" s="10" t="n"/>
      <c r="D17" s="10" t="n"/>
      <c r="E17" s="10" t="n"/>
      <c r="F17" s="10" t="n"/>
      <c r="G17" s="10" t="n"/>
      <c r="H17" s="10" t="n"/>
      <c r="I17" s="10" t="n"/>
      <c r="J17" s="10" t="inlineStr">
        <is>
          <t>VARIANCE CHECK</t>
        </is>
      </c>
      <c r="K17" s="10" t="n"/>
      <c r="L17" s="10" t="n"/>
      <c r="M17" s="10" t="n"/>
      <c r="N17" s="10" t="n"/>
      <c r="O17" s="10" t="n"/>
      <c r="P17" s="11">
        <f>S2-P14</f>
        <v/>
      </c>
      <c r="Q17" s="11">
        <f>S2-Q14</f>
        <v/>
      </c>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row>
    <row r="18"/>
    <row r="19">
      <c r="A19" s="12" t="n"/>
      <c r="B19" s="12" t="n"/>
      <c r="C19" s="12" t="n"/>
      <c r="D19" s="12" t="n"/>
      <c r="E19" s="12" t="n"/>
      <c r="F19" s="12" t="n"/>
      <c r="G19" s="12" t="n"/>
      <c r="H19" s="12" t="n"/>
      <c r="I19" s="12" t="n"/>
      <c r="J19" s="12" t="inlineStr">
        <is>
          <t>DUTY ESTIMATION (Classification Cross-Check)</t>
        </is>
      </c>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row>
    <row r="20">
      <c r="A20" s="13" t="n"/>
      <c r="B20" s="13" t="n"/>
      <c r="C20" s="13" t="n"/>
      <c r="D20" s="13" t="n"/>
      <c r="E20" s="13" t="n"/>
      <c r="F20" s="13" t="n"/>
      <c r="G20" s="13" t="n"/>
      <c r="H20" s="13" t="n"/>
      <c r="I20" s="13" t="n"/>
      <c r="J20" s="14" t="inlineStr">
        <is>
          <t>CIF (USD) = InvTotal + Freight + Insurance</t>
        </is>
      </c>
      <c r="K20" s="13" t="n"/>
      <c r="L20" s="13" t="n"/>
      <c r="M20" s="13" t="n"/>
      <c r="N20" s="13" t="n"/>
      <c r="O20" s="13" t="n"/>
      <c r="P20" s="15" t="n">
        <v>6.92</v>
      </c>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row>
    <row r="21">
      <c r="A21" s="13" t="n"/>
      <c r="B21" s="13" t="n"/>
      <c r="C21" s="13" t="n"/>
      <c r="D21" s="13" t="n"/>
      <c r="E21" s="13" t="n"/>
      <c r="F21" s="13" t="n"/>
      <c r="G21" s="13" t="n"/>
      <c r="H21" s="13" t="n"/>
      <c r="I21" s="13" t="n"/>
      <c r="J21" s="14" t="inlineStr">
        <is>
          <t>CIF (XCD) = CIF × 2.7169</t>
        </is>
      </c>
      <c r="K21" s="13" t="n"/>
      <c r="L21" s="13" t="n"/>
      <c r="M21" s="13" t="n"/>
      <c r="N21" s="13" t="n"/>
      <c r="O21" s="13" t="n"/>
      <c r="P21" s="15" t="n">
        <v>18.8</v>
      </c>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row>
    <row r="22">
      <c r="A22" s="13" t="n"/>
      <c r="B22" s="13" t="n"/>
      <c r="C22" s="13" t="n"/>
      <c r="D22" s="13" t="n"/>
      <c r="E22" s="13" t="n"/>
      <c r="F22" s="13" t="n"/>
      <c r="G22" s="13" t="n"/>
      <c r="H22" s="13" t="n"/>
      <c r="I22" s="13" t="n"/>
      <c r="J22" s="14" t="inlineStr">
        <is>
          <t>CET (20%) — Tariff 00000000</t>
        </is>
      </c>
      <c r="K22" s="13" t="n"/>
      <c r="L22" s="13" t="n"/>
      <c r="M22" s="13" t="n"/>
      <c r="N22" s="13" t="n"/>
      <c r="O22" s="13" t="n"/>
      <c r="P22" s="15" t="n">
        <v>3.76</v>
      </c>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row>
    <row r="23">
      <c r="A23" s="13" t="n"/>
      <c r="B23" s="13" t="n"/>
      <c r="C23" s="13" t="n"/>
      <c r="D23" s="13" t="n"/>
      <c r="E23" s="13" t="n"/>
      <c r="F23" s="13" t="n"/>
      <c r="G23" s="13" t="n"/>
      <c r="H23" s="13" t="n"/>
      <c r="I23" s="13" t="n"/>
      <c r="J23" s="14" t="inlineStr">
        <is>
          <t>CSC (6%)</t>
        </is>
      </c>
      <c r="K23" s="13" t="n"/>
      <c r="L23" s="13" t="n"/>
      <c r="M23" s="13" t="n"/>
      <c r="N23" s="13" t="n"/>
      <c r="O23" s="13" t="n"/>
      <c r="P23" s="15" t="n">
        <v>1.13</v>
      </c>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row>
    <row r="24">
      <c r="A24" s="13" t="n"/>
      <c r="B24" s="13" t="n"/>
      <c r="C24" s="13" t="n"/>
      <c r="D24" s="13" t="n"/>
      <c r="E24" s="13" t="n"/>
      <c r="F24" s="13" t="n"/>
      <c r="G24" s="13" t="n"/>
      <c r="H24" s="13" t="n"/>
      <c r="I24" s="13" t="n"/>
      <c r="J24" s="14" t="inlineStr">
        <is>
          <t>VAT (15%) on CIF+CET+CSC</t>
        </is>
      </c>
      <c r="K24" s="13" t="n"/>
      <c r="L24" s="13" t="n"/>
      <c r="M24" s="13" t="n"/>
      <c r="N24" s="13" t="n"/>
      <c r="O24" s="13" t="n"/>
      <c r="P24" s="15" t="n">
        <v>3.55</v>
      </c>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row>
    <row r="25">
      <c r="A25" s="16" t="n"/>
      <c r="B25" s="16" t="n"/>
      <c r="C25" s="16" t="n"/>
      <c r="D25" s="16" t="n"/>
      <c r="E25" s="16" t="n"/>
      <c r="F25" s="16" t="n"/>
      <c r="G25" s="16" t="n"/>
      <c r="H25" s="16" t="n"/>
      <c r="I25" s="16" t="n"/>
      <c r="J25" s="12" t="inlineStr">
        <is>
          <t>ESTIMATED TOTAL DUTIES</t>
        </is>
      </c>
      <c r="K25" s="16" t="n"/>
      <c r="L25" s="16" t="n"/>
      <c r="M25" s="16" t="n"/>
      <c r="N25" s="16" t="n"/>
      <c r="O25" s="16" t="n"/>
      <c r="P25" s="17" t="n">
        <v>8.44</v>
      </c>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row>
    <row r="26">
      <c r="A26" s="13" t="n"/>
      <c r="B26" s="13" t="n"/>
      <c r="C26" s="13" t="n"/>
      <c r="D26" s="13" t="n"/>
      <c r="E26" s="13" t="n"/>
      <c r="F26" s="13" t="n"/>
      <c r="G26" s="13" t="n"/>
      <c r="H26" s="13" t="n"/>
      <c r="I26" s="13" t="n"/>
      <c r="J26" s="14" t="inlineStr">
        <is>
          <t>Effective Duty Rate</t>
        </is>
      </c>
      <c r="K26" s="13" t="n"/>
      <c r="L26" s="13" t="n"/>
      <c r="M26" s="13" t="n"/>
      <c r="N26" s="13" t="n"/>
      <c r="O26" s="13" t="n"/>
      <c r="P26" s="18" t="n">
        <v>0.4489361702127659</v>
      </c>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row>
    <row r="27">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c r="A28" s="2" t="inlineStr">
        <is>
          <t>4000-000</t>
        </is>
      </c>
      <c r="B28" s="2" t="n"/>
      <c r="C28" s="2" t="inlineStr">
        <is>
          <t>INVUS20240714003388571</t>
        </is>
      </c>
      <c r="D28" s="2" t="inlineStr">
        <is>
          <t>2024-07-14</t>
        </is>
      </c>
      <c r="E28" s="2" t="inlineStr">
        <is>
          <t>HOSIERY</t>
        </is>
      </c>
      <c r="F28" s="2" t="inlineStr">
        <is>
          <t>61159910</t>
        </is>
      </c>
      <c r="G28" s="2" t="n"/>
      <c r="H28" s="2" t="n"/>
      <c r="I28" s="2" t="inlineStr">
        <is>
          <t>61159910</t>
        </is>
      </c>
      <c r="J28" s="2" t="inlineStr">
        <is>
          <t>20 Pairs Children' Pure Black Simple Mid-Calf Socks, Skin-Friendly, Comfortab... (1 items)</t>
        </is>
      </c>
      <c r="K28" s="2" t="n">
        <v>1</v>
      </c>
      <c r="L28" s="2" t="n"/>
      <c r="M28" s="2" t="n"/>
      <c r="N28" s="2" t="inlineStr">
        <is>
          <t>USD</t>
        </is>
      </c>
      <c r="O28" s="3" t="n">
        <v>9.369999999999999</v>
      </c>
      <c r="P28" s="3" t="n">
        <v>9.369999999999999</v>
      </c>
      <c r="Q28" s="3">
        <f>O28*K28</f>
        <v/>
      </c>
      <c r="R28" s="3">
        <f>P28-Q28</f>
        <v/>
      </c>
      <c r="S28" s="3" t="n">
        <v>10.05</v>
      </c>
      <c r="T28" s="3" t="n">
        <v>0</v>
      </c>
      <c r="U28" s="3" t="n">
        <v>0</v>
      </c>
      <c r="V28" s="3" t="n">
        <v>0.68</v>
      </c>
      <c r="W28" s="3" t="n">
        <v>0</v>
      </c>
      <c r="X28" s="2" t="n">
        <v>1</v>
      </c>
      <c r="Y28" s="2" t="n"/>
      <c r="Z28" s="2" t="inlineStr">
        <is>
          <t>SHEIN</t>
        </is>
      </c>
      <c r="AA28" s="2" t="inlineStr">
        <is>
          <t>SHEIN US Services, LLC</t>
        </is>
      </c>
      <c r="AB28" s="2" t="inlineStr">
        <is>
          <t>777 S. Alameda St., Second Floor, Los Angeles, CA 90021</t>
        </is>
      </c>
      <c r="AC28" s="2" t="inlineStr">
        <is>
          <t>US</t>
        </is>
      </c>
      <c r="AD28" s="2" t="n"/>
      <c r="AE28" s="2" t="n"/>
      <c r="AF28" s="2" t="n"/>
      <c r="AG28" s="2" t="n"/>
      <c r="AH28" s="2" t="n"/>
      <c r="AI28" s="2" t="n"/>
      <c r="AJ28" s="2" t="n"/>
      <c r="AK28" s="2" t="inlineStr">
        <is>
          <t>61159910</t>
        </is>
      </c>
    </row>
    <row r="29">
      <c r="A29" s="4" t="n"/>
      <c r="B29" s="4" t="n"/>
      <c r="C29" s="4" t="n"/>
      <c r="D29" s="4" t="n"/>
      <c r="E29" s="4" t="n"/>
      <c r="F29" s="4" t="inlineStr">
        <is>
          <t>61159910</t>
        </is>
      </c>
      <c r="G29" s="4" t="n"/>
      <c r="H29" s="4" t="n"/>
      <c r="I29" s="4" t="inlineStr">
        <is>
          <t>SHEIN-1</t>
        </is>
      </c>
      <c r="J29" s="4" t="inlineStr">
        <is>
          <t>20 Pairs Children' Pure Black Simple Mid-Calf Socks, Skin-Friendly, Comfortab...</t>
        </is>
      </c>
      <c r="K29" s="4" t="n">
        <v>1</v>
      </c>
      <c r="L29" s="4" t="n"/>
      <c r="M29" s="4" t="n"/>
      <c r="N29" s="4" t="inlineStr">
        <is>
          <t>USD</t>
        </is>
      </c>
      <c r="O29" s="5" t="n">
        <v>9.369999999999999</v>
      </c>
      <c r="P29" s="5" t="n">
        <v>9.369999999999999</v>
      </c>
      <c r="Q29" s="5">
        <f>O29*K29</f>
        <v/>
      </c>
      <c r="R29" s="5">
        <f>P29-Q29</f>
        <v/>
      </c>
      <c r="S29" s="4" t="n"/>
      <c r="T29" s="4" t="n"/>
      <c r="U29" s="4" t="n"/>
      <c r="V29" s="4" t="n"/>
      <c r="W29" s="4" t="n"/>
      <c r="X29" s="4" t="n"/>
      <c r="Y29" s="4" t="n"/>
      <c r="Z29" s="4" t="n"/>
      <c r="AA29" s="4" t="n"/>
      <c r="AB29" s="4" t="n"/>
      <c r="AC29" s="4" t="n"/>
      <c r="AD29" s="4" t="n"/>
      <c r="AE29" s="4" t="n"/>
      <c r="AF29" s="4" t="n"/>
      <c r="AG29" s="4" t="n"/>
      <c r="AH29" s="4" t="n"/>
      <c r="AI29" s="4" t="n"/>
      <c r="AJ29" s="4" t="n"/>
      <c r="AK29" s="4" t="n"/>
    </row>
    <row r="30">
      <c r="A30" s="6" t="n"/>
      <c r="B30" s="6" t="n"/>
      <c r="C30" s="6" t="n"/>
      <c r="D30" s="6" t="n"/>
      <c r="E30" s="6" t="n"/>
      <c r="F30" s="6" t="n"/>
      <c r="G30" s="6" t="n"/>
      <c r="H30" s="6" t="n"/>
      <c r="I30" s="6" t="n"/>
      <c r="J30" s="6" t="inlineStr">
        <is>
          <t>SUBTOTAL (GROUPED)</t>
        </is>
      </c>
      <c r="K30" s="6" t="n"/>
      <c r="L30" s="6" t="n"/>
      <c r="M30" s="6" t="n"/>
      <c r="N30" s="6" t="n"/>
      <c r="O30" s="6" t="n"/>
      <c r="P30" s="7">
        <f>P28</f>
        <v/>
      </c>
      <c r="Q30" s="7">
        <f>Q28</f>
        <v/>
      </c>
      <c r="R30" s="6" t="n"/>
      <c r="S30" s="6" t="n"/>
      <c r="T30" s="6" t="n"/>
      <c r="U30" s="6" t="n"/>
      <c r="V30" s="6" t="n"/>
      <c r="W30" s="6" t="n"/>
      <c r="X30" s="6" t="n"/>
      <c r="Y30" s="6" t="n"/>
      <c r="Z30" s="6" t="n"/>
      <c r="AA30" s="6" t="n"/>
      <c r="AB30" s="6" t="n"/>
      <c r="AC30" s="6" t="n"/>
      <c r="AD30" s="6" t="n"/>
      <c r="AE30" s="6" t="n"/>
      <c r="AF30" s="6" t="n"/>
      <c r="AG30" s="6" t="n"/>
      <c r="AH30" s="6" t="n"/>
      <c r="AI30" s="6" t="n"/>
      <c r="AJ30" s="6" t="n"/>
      <c r="AK30" s="6" t="n"/>
    </row>
    <row r="31">
      <c r="A31" s="6" t="n"/>
      <c r="B31" s="6" t="n"/>
      <c r="C31" s="6" t="n"/>
      <c r="D31" s="6" t="n"/>
      <c r="E31" s="6" t="n"/>
      <c r="F31" s="6" t="n"/>
      <c r="G31" s="6" t="n"/>
      <c r="H31" s="6" t="n"/>
      <c r="I31" s="6" t="n"/>
      <c r="J31" s="6" t="inlineStr">
        <is>
          <t>SUBTOTAL (DETAILS)</t>
        </is>
      </c>
      <c r="K31" s="6" t="n"/>
      <c r="L31" s="6" t="n"/>
      <c r="M31" s="6" t="n"/>
      <c r="N31" s="6" t="n"/>
      <c r="O31" s="6" t="n"/>
      <c r="P31" s="7">
        <f>SUM(P28:P29)-P30</f>
        <v/>
      </c>
      <c r="Q31" s="7">
        <f>SUM(Q28:Q29)-Q30</f>
        <v/>
      </c>
      <c r="R31" s="6" t="n"/>
      <c r="S31" s="6" t="n"/>
      <c r="T31" s="6" t="n"/>
      <c r="U31" s="6" t="n"/>
      <c r="V31" s="6" t="n"/>
      <c r="W31" s="6" t="n"/>
      <c r="X31" s="6" t="n"/>
      <c r="Y31" s="6" t="n"/>
      <c r="Z31" s="6" t="n"/>
      <c r="AA31" s="6" t="n"/>
      <c r="AB31" s="6" t="n"/>
      <c r="AC31" s="6" t="n"/>
      <c r="AD31" s="6" t="n"/>
      <c r="AE31" s="6" t="n"/>
      <c r="AF31" s="6" t="n"/>
      <c r="AG31" s="6" t="n"/>
      <c r="AH31" s="6" t="n"/>
      <c r="AI31" s="6" t="n"/>
      <c r="AJ31" s="6" t="n"/>
      <c r="AK31" s="6" t="n"/>
    </row>
    <row r="32">
      <c r="A32" s="8" t="n"/>
      <c r="B32" s="8" t="n"/>
      <c r="C32" s="8" t="n"/>
      <c r="D32" s="8" t="n"/>
      <c r="E32" s="8" t="n"/>
      <c r="F32" s="8" t="n"/>
      <c r="G32" s="8" t="n"/>
      <c r="H32" s="8" t="n"/>
      <c r="I32" s="8" t="n"/>
      <c r="J32" s="8" t="inlineStr">
        <is>
          <t>GROUP VERIFICATION</t>
        </is>
      </c>
      <c r="K32" s="8" t="n"/>
      <c r="L32" s="8" t="n"/>
      <c r="M32" s="8" t="n"/>
      <c r="N32" s="8" t="n"/>
      <c r="O32" s="8" t="n"/>
      <c r="P32" s="9">
        <f>P30-P31</f>
        <v/>
      </c>
      <c r="Q32" s="9">
        <f>Q30-Q31</f>
        <v/>
      </c>
      <c r="R32" s="8" t="n"/>
      <c r="S32" s="8" t="n"/>
      <c r="T32" s="8" t="n"/>
      <c r="U32" s="8" t="n"/>
      <c r="V32" s="8" t="n"/>
      <c r="W32" s="8" t="n"/>
      <c r="X32" s="8" t="n"/>
      <c r="Y32" s="8" t="n"/>
      <c r="Z32" s="8" t="n"/>
      <c r="AA32" s="8" t="n"/>
      <c r="AB32" s="8" t="n"/>
      <c r="AC32" s="8" t="n"/>
      <c r="AD32" s="8" t="n"/>
      <c r="AE32" s="8" t="n"/>
      <c r="AF32" s="8" t="n"/>
      <c r="AG32" s="8" t="n"/>
      <c r="AH32" s="8" t="n"/>
      <c r="AI32" s="8" t="n"/>
      <c r="AJ32" s="8" t="n"/>
      <c r="AK32" s="8" t="n"/>
    </row>
    <row r="33"/>
    <row r="34">
      <c r="A34" s="6" t="n"/>
      <c r="B34" s="6" t="n"/>
      <c r="C34" s="6" t="n"/>
      <c r="D34" s="6" t="n"/>
      <c r="E34" s="6" t="n"/>
      <c r="F34" s="6" t="n"/>
      <c r="G34" s="6" t="n"/>
      <c r="H34" s="6" t="n"/>
      <c r="I34" s="6" t="n"/>
      <c r="J34" s="6" t="inlineStr">
        <is>
          <t>TOTAL INTERNAL FREIGHT</t>
        </is>
      </c>
      <c r="K34" s="6" t="n"/>
      <c r="L34" s="6" t="n"/>
      <c r="M34" s="6" t="n"/>
      <c r="N34" s="6" t="n"/>
      <c r="O34" s="6" t="n"/>
      <c r="P34" s="7" t="n">
        <v>0</v>
      </c>
      <c r="Q34" s="7" t="n"/>
      <c r="R34" s="6" t="n"/>
      <c r="S34" s="6" t="n"/>
      <c r="T34" s="6" t="n"/>
      <c r="U34" s="6" t="n"/>
      <c r="V34" s="6" t="n"/>
      <c r="W34" s="6" t="n"/>
      <c r="X34" s="6" t="n"/>
      <c r="Y34" s="6" t="n"/>
      <c r="Z34" s="6" t="n"/>
      <c r="AA34" s="6" t="n"/>
      <c r="AB34" s="6" t="n"/>
      <c r="AC34" s="6" t="n"/>
      <c r="AD34" s="6" t="n"/>
      <c r="AE34" s="6" t="n"/>
      <c r="AF34" s="6" t="n"/>
      <c r="AG34" s="6" t="n"/>
      <c r="AH34" s="6" t="n"/>
      <c r="AI34" s="6" t="n"/>
      <c r="AJ34" s="6" t="n"/>
      <c r="AK34" s="6" t="n"/>
    </row>
    <row r="35">
      <c r="A35" s="6" t="n"/>
      <c r="B35" s="6" t="n"/>
      <c r="C35" s="6" t="n"/>
      <c r="D35" s="6" t="n"/>
      <c r="E35" s="6" t="n"/>
      <c r="F35" s="6" t="n"/>
      <c r="G35" s="6" t="n"/>
      <c r="H35" s="6" t="n"/>
      <c r="I35" s="6" t="n"/>
      <c r="J35" s="6" t="inlineStr">
        <is>
          <t>TOTAL INSURANCE</t>
        </is>
      </c>
      <c r="K35" s="6" t="n"/>
      <c r="L35" s="6" t="n"/>
      <c r="M35" s="6" t="n"/>
      <c r="N35" s="6" t="n"/>
      <c r="O35" s="6" t="n"/>
      <c r="P35" s="7" t="n">
        <v>0</v>
      </c>
      <c r="Q35" s="7" t="n"/>
      <c r="R35" s="6" t="n"/>
      <c r="S35" s="6" t="n"/>
      <c r="T35" s="6" t="n"/>
      <c r="U35" s="6" t="n"/>
      <c r="V35" s="6" t="n"/>
      <c r="W35" s="6" t="n"/>
      <c r="X35" s="6" t="n"/>
      <c r="Y35" s="6" t="n"/>
      <c r="Z35" s="6" t="n"/>
      <c r="AA35" s="6" t="n"/>
      <c r="AB35" s="6" t="n"/>
      <c r="AC35" s="6" t="n"/>
      <c r="AD35" s="6" t="n"/>
      <c r="AE35" s="6" t="n"/>
      <c r="AF35" s="6" t="n"/>
      <c r="AG35" s="6" t="n"/>
      <c r="AH35" s="6" t="n"/>
      <c r="AI35" s="6" t="n"/>
      <c r="AJ35" s="6" t="n"/>
      <c r="AK35" s="6" t="n"/>
    </row>
    <row r="36">
      <c r="A36" s="6" t="n"/>
      <c r="B36" s="6" t="n"/>
      <c r="C36" s="6" t="n"/>
      <c r="D36" s="6" t="n"/>
      <c r="E36" s="6" t="n"/>
      <c r="F36" s="6" t="n"/>
      <c r="G36" s="6" t="n"/>
      <c r="H36" s="6" t="n"/>
      <c r="I36" s="6" t="n"/>
      <c r="J36" s="6" t="inlineStr">
        <is>
          <t>TOTAL OTHER COST</t>
        </is>
      </c>
      <c r="K36" s="6" t="n"/>
      <c r="L36" s="6" t="n"/>
      <c r="M36" s="6" t="n"/>
      <c r="N36" s="6" t="n"/>
      <c r="O36" s="6" t="n"/>
      <c r="P36" s="7" t="n">
        <v>0.68</v>
      </c>
      <c r="Q36" s="7" t="n"/>
      <c r="R36" s="6" t="n"/>
      <c r="S36" s="6" t="n"/>
      <c r="T36" s="6" t="n"/>
      <c r="U36" s="6" t="n"/>
      <c r="V36" s="6" t="n"/>
      <c r="W36" s="6" t="n"/>
      <c r="X36" s="6" t="n"/>
      <c r="Y36" s="6" t="n"/>
      <c r="Z36" s="6" t="n"/>
      <c r="AA36" s="6" t="n"/>
      <c r="AB36" s="6" t="n"/>
      <c r="AC36" s="6" t="n"/>
      <c r="AD36" s="6" t="n"/>
      <c r="AE36" s="6" t="n"/>
      <c r="AF36" s="6" t="n"/>
      <c r="AG36" s="6" t="n"/>
      <c r="AH36" s="6" t="n"/>
      <c r="AI36" s="6" t="n"/>
      <c r="AJ36" s="6" t="n"/>
      <c r="AK36" s="6" t="n"/>
    </row>
    <row r="37">
      <c r="A37" s="6" t="n"/>
      <c r="B37" s="6" t="n"/>
      <c r="C37" s="6" t="n"/>
      <c r="D37" s="6" t="n"/>
      <c r="E37" s="6" t="n"/>
      <c r="F37" s="6" t="n"/>
      <c r="G37" s="6" t="n"/>
      <c r="H37" s="6" t="n"/>
      <c r="I37" s="6" t="n"/>
      <c r="J37" s="6" t="inlineStr">
        <is>
          <t>TOTAL DEDUCTION</t>
        </is>
      </c>
      <c r="K37" s="6" t="n"/>
      <c r="L37" s="6" t="n"/>
      <c r="M37" s="6" t="n"/>
      <c r="N37" s="6" t="n"/>
      <c r="O37" s="6" t="n"/>
      <c r="P37" s="7" t="n">
        <v>0</v>
      </c>
      <c r="Q37" s="7" t="n"/>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ADJUSTMENTS</t>
        </is>
      </c>
      <c r="K38" s="6" t="n"/>
      <c r="L38" s="6" t="n"/>
      <c r="M38" s="6" t="n"/>
      <c r="N38" s="6" t="n"/>
      <c r="O38" s="6" t="n"/>
      <c r="P38" s="7">
        <f>(T28+U28+V28-W28)</f>
        <v/>
      </c>
      <c r="Q38" s="7">
        <f>(T28+U28+V28-W28)</f>
        <v/>
      </c>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row r="40">
      <c r="A40" s="6" t="n"/>
      <c r="B40" s="6" t="n"/>
      <c r="C40" s="6" t="n"/>
      <c r="D40" s="6" t="n"/>
      <c r="E40" s="6" t="n"/>
      <c r="F40" s="6" t="n"/>
      <c r="G40" s="6" t="n"/>
      <c r="H40" s="6" t="n"/>
      <c r="I40" s="6" t="n"/>
      <c r="J40" s="6" t="inlineStr">
        <is>
          <t>NET TOTAL</t>
        </is>
      </c>
      <c r="K40" s="6" t="n"/>
      <c r="L40" s="6" t="n"/>
      <c r="M40" s="6" t="n"/>
      <c r="N40" s="6" t="n"/>
      <c r="O40" s="6" t="n"/>
      <c r="P40" s="7">
        <f>P30+P38</f>
        <v/>
      </c>
      <c r="Q40" s="7">
        <f>Q30+Q38</f>
        <v/>
      </c>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c r="A41" s="6" t="n"/>
      <c r="B41" s="6" t="n"/>
      <c r="C41" s="6" t="n"/>
      <c r="D41" s="6" t="n"/>
      <c r="E41" s="6" t="n"/>
      <c r="F41" s="6" t="n"/>
      <c r="G41" s="6" t="n"/>
      <c r="H41" s="6" t="n"/>
      <c r="I41" s="6" t="n"/>
      <c r="J41" s="6" t="inlineStr">
        <is>
          <t>INVOICE TOTAL</t>
        </is>
      </c>
      <c r="K41" s="6" t="n"/>
      <c r="L41" s="6" t="n"/>
      <c r="M41" s="6" t="n"/>
      <c r="N41" s="6" t="n"/>
      <c r="O41" s="6" t="n"/>
      <c r="P41" s="7">
        <f>S28</f>
        <v/>
      </c>
      <c r="Q41" s="7" t="n"/>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row r="43">
      <c r="A43" s="10" t="n"/>
      <c r="B43" s="10" t="n"/>
      <c r="C43" s="10" t="n"/>
      <c r="D43" s="10" t="n"/>
      <c r="E43" s="10" t="n"/>
      <c r="F43" s="10" t="n"/>
      <c r="G43" s="10" t="n"/>
      <c r="H43" s="10" t="n"/>
      <c r="I43" s="10" t="n"/>
      <c r="J43" s="10" t="inlineStr">
        <is>
          <t>VARIANCE CHECK</t>
        </is>
      </c>
      <c r="K43" s="10" t="n"/>
      <c r="L43" s="10" t="n"/>
      <c r="M43" s="10" t="n"/>
      <c r="N43" s="10" t="n"/>
      <c r="O43" s="10" t="n"/>
      <c r="P43" s="11">
        <f>S28-P40</f>
        <v/>
      </c>
      <c r="Q43" s="11">
        <f>S28-Q40</f>
        <v/>
      </c>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row>
    <row r="44"/>
    <row r="45">
      <c r="A45" s="12" t="n"/>
      <c r="B45" s="12" t="n"/>
      <c r="C45" s="12" t="n"/>
      <c r="D45" s="12" t="n"/>
      <c r="E45" s="12" t="n"/>
      <c r="F45" s="12" t="n"/>
      <c r="G45" s="12" t="n"/>
      <c r="H45" s="12" t="n"/>
      <c r="I45" s="12" t="n"/>
      <c r="J45" s="12" t="inlineStr">
        <is>
          <t>DUTY ESTIMATION (Classification Cross-Check)</t>
        </is>
      </c>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row>
    <row r="46">
      <c r="A46" s="13" t="n"/>
      <c r="B46" s="13" t="n"/>
      <c r="C46" s="13" t="n"/>
      <c r="D46" s="13" t="n"/>
      <c r="E46" s="13" t="n"/>
      <c r="F46" s="13" t="n"/>
      <c r="G46" s="13" t="n"/>
      <c r="H46" s="13" t="n"/>
      <c r="I46" s="13" t="n"/>
      <c r="J46" s="14" t="inlineStr">
        <is>
          <t>CIF (USD) = InvTotal + Freight + Insurance</t>
        </is>
      </c>
      <c r="K46" s="13" t="n"/>
      <c r="L46" s="13" t="n"/>
      <c r="M46" s="13" t="n"/>
      <c r="N46" s="13" t="n"/>
      <c r="O46" s="13" t="n"/>
      <c r="P46" s="15" t="n">
        <v>10.05</v>
      </c>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row>
    <row r="47">
      <c r="A47" s="13" t="n"/>
      <c r="B47" s="13" t="n"/>
      <c r="C47" s="13" t="n"/>
      <c r="D47" s="13" t="n"/>
      <c r="E47" s="13" t="n"/>
      <c r="F47" s="13" t="n"/>
      <c r="G47" s="13" t="n"/>
      <c r="H47" s="13" t="n"/>
      <c r="I47" s="13" t="n"/>
      <c r="J47" s="14" t="inlineStr">
        <is>
          <t>CIF (XCD) = CIF × 2.7169</t>
        </is>
      </c>
      <c r="K47" s="13" t="n"/>
      <c r="L47" s="13" t="n"/>
      <c r="M47" s="13" t="n"/>
      <c r="N47" s="13" t="n"/>
      <c r="O47" s="13" t="n"/>
      <c r="P47" s="15" t="n">
        <v>27.3</v>
      </c>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row>
    <row r="48">
      <c r="A48" s="13" t="n"/>
      <c r="B48" s="13" t="n"/>
      <c r="C48" s="13" t="n"/>
      <c r="D48" s="13" t="n"/>
      <c r="E48" s="13" t="n"/>
      <c r="F48" s="13" t="n"/>
      <c r="G48" s="13" t="n"/>
      <c r="H48" s="13" t="n"/>
      <c r="I48" s="13" t="n"/>
      <c r="J48" s="14" t="inlineStr">
        <is>
          <t>CET (20%) — Tariff 61159910</t>
        </is>
      </c>
      <c r="K48" s="13" t="n"/>
      <c r="L48" s="13" t="n"/>
      <c r="M48" s="13" t="n"/>
      <c r="N48" s="13" t="n"/>
      <c r="O48" s="13" t="n"/>
      <c r="P48" s="15" t="n">
        <v>5.46</v>
      </c>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row>
    <row r="49">
      <c r="A49" s="13" t="n"/>
      <c r="B49" s="13" t="n"/>
      <c r="C49" s="13" t="n"/>
      <c r="D49" s="13" t="n"/>
      <c r="E49" s="13" t="n"/>
      <c r="F49" s="13" t="n"/>
      <c r="G49" s="13" t="n"/>
      <c r="H49" s="13" t="n"/>
      <c r="I49" s="13" t="n"/>
      <c r="J49" s="14" t="inlineStr">
        <is>
          <t>CSC (6%)</t>
        </is>
      </c>
      <c r="K49" s="13" t="n"/>
      <c r="L49" s="13" t="n"/>
      <c r="M49" s="13" t="n"/>
      <c r="N49" s="13" t="n"/>
      <c r="O49" s="13" t="n"/>
      <c r="P49" s="15" t="n">
        <v>1.64</v>
      </c>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row>
    <row r="50">
      <c r="A50" s="13" t="n"/>
      <c r="B50" s="13" t="n"/>
      <c r="C50" s="13" t="n"/>
      <c r="D50" s="13" t="n"/>
      <c r="E50" s="13" t="n"/>
      <c r="F50" s="13" t="n"/>
      <c r="G50" s="13" t="n"/>
      <c r="H50" s="13" t="n"/>
      <c r="I50" s="13" t="n"/>
      <c r="J50" s="14" t="inlineStr">
        <is>
          <t>VAT (15%) on CIF+CET+CSC</t>
        </is>
      </c>
      <c r="K50" s="13" t="n"/>
      <c r="L50" s="13" t="n"/>
      <c r="M50" s="13" t="n"/>
      <c r="N50" s="13" t="n"/>
      <c r="O50" s="13" t="n"/>
      <c r="P50" s="15" t="n">
        <v>5.16</v>
      </c>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row>
    <row r="51">
      <c r="A51" s="16" t="n"/>
      <c r="B51" s="16" t="n"/>
      <c r="C51" s="16" t="n"/>
      <c r="D51" s="16" t="n"/>
      <c r="E51" s="16" t="n"/>
      <c r="F51" s="16" t="n"/>
      <c r="G51" s="16" t="n"/>
      <c r="H51" s="16" t="n"/>
      <c r="I51" s="16" t="n"/>
      <c r="J51" s="12" t="inlineStr">
        <is>
          <t>ESTIMATED TOTAL DUTIES</t>
        </is>
      </c>
      <c r="K51" s="16" t="n"/>
      <c r="L51" s="16" t="n"/>
      <c r="M51" s="16" t="n"/>
      <c r="N51" s="16" t="n"/>
      <c r="O51" s="16" t="n"/>
      <c r="P51" s="17" t="n">
        <v>12.26</v>
      </c>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row>
    <row r="52">
      <c r="A52" s="13" t="n"/>
      <c r="B52" s="13" t="n"/>
      <c r="C52" s="13" t="n"/>
      <c r="D52" s="13" t="n"/>
      <c r="E52" s="13" t="n"/>
      <c r="F52" s="13" t="n"/>
      <c r="G52" s="13" t="n"/>
      <c r="H52" s="13" t="n"/>
      <c r="I52" s="13" t="n"/>
      <c r="J52" s="14" t="inlineStr">
        <is>
          <t>Effective Duty Rate</t>
        </is>
      </c>
      <c r="K52" s="13" t="n"/>
      <c r="L52" s="13" t="n"/>
      <c r="M52" s="13" t="n"/>
      <c r="N52" s="13" t="n"/>
      <c r="O52" s="13" t="n"/>
      <c r="P52" s="18" t="n">
        <v>0.449084249084249</v>
      </c>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row>
    <row r="53">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row>
    <row r="54">
      <c r="A54" s="2" t="inlineStr">
        <is>
          <t>4000-000</t>
        </is>
      </c>
      <c r="B54" s="2" t="n"/>
      <c r="C54" s="2" t="inlineStr">
        <is>
          <t>INVUS20240714003391892</t>
        </is>
      </c>
      <c r="D54" s="2" t="inlineStr">
        <is>
          <t>2024-07-14</t>
        </is>
      </c>
      <c r="E54" s="2" t="inlineStr">
        <is>
          <t>Impregnated, coated or covered with plastics or rubber</t>
        </is>
      </c>
      <c r="F54" s="2" t="inlineStr">
        <is>
          <t>61161000</t>
        </is>
      </c>
      <c r="G54" s="2" t="n"/>
      <c r="H54" s="2" t="n"/>
      <c r="I54" s="2" t="inlineStr">
        <is>
          <t>61161000</t>
        </is>
      </c>
      <c r="J54" s="2" t="inlineStr">
        <is>
          <t>4PCS Manual Pencil Sharpeners Double Hole Compact Handheld Design For Kids, S... (1 items)</t>
        </is>
      </c>
      <c r="K54" s="2" t="n">
        <v>1</v>
      </c>
      <c r="L54" s="2" t="n"/>
      <c r="M54" s="2" t="n"/>
      <c r="N54" s="2" t="inlineStr">
        <is>
          <t>USD</t>
        </is>
      </c>
      <c r="O54" s="3" t="n">
        <v>0.91</v>
      </c>
      <c r="P54" s="3" t="n">
        <v>0.91</v>
      </c>
      <c r="Q54" s="3">
        <f>O54*K54</f>
        <v/>
      </c>
      <c r="R54" s="3">
        <f>P54-Q54</f>
        <v/>
      </c>
      <c r="S54" s="3" t="n">
        <v>0.98</v>
      </c>
      <c r="T54" s="3" t="n">
        <v>0</v>
      </c>
      <c r="U54" s="3" t="n">
        <v>0</v>
      </c>
      <c r="V54" s="3" t="n">
        <v>0.07000000000000001</v>
      </c>
      <c r="W54" s="3" t="n">
        <v>0</v>
      </c>
      <c r="X54" s="2" t="n">
        <v>1</v>
      </c>
      <c r="Y54" s="2" t="n"/>
      <c r="Z54" s="2" t="inlineStr">
        <is>
          <t>SHEIN</t>
        </is>
      </c>
      <c r="AA54" s="2" t="inlineStr">
        <is>
          <t>SHEIN US Services, LLC</t>
        </is>
      </c>
      <c r="AB54" s="2" t="inlineStr">
        <is>
          <t>777 S. Alameda St., Second Floor, Los Angeles, CA 90021</t>
        </is>
      </c>
      <c r="AC54" s="2" t="inlineStr">
        <is>
          <t>US</t>
        </is>
      </c>
      <c r="AD54" s="2" t="n"/>
      <c r="AE54" s="2" t="n"/>
      <c r="AF54" s="2" t="n"/>
      <c r="AG54" s="2" t="n"/>
      <c r="AH54" s="2" t="n"/>
      <c r="AI54" s="2" t="n"/>
      <c r="AJ54" s="2" t="n"/>
      <c r="AK54" s="2" t="inlineStr">
        <is>
          <t>61161000</t>
        </is>
      </c>
    </row>
    <row r="55">
      <c r="A55" s="4" t="n"/>
      <c r="B55" s="4" t="n"/>
      <c r="C55" s="4" t="n"/>
      <c r="D55" s="4" t="n"/>
      <c r="E55" s="4" t="n"/>
      <c r="F55" s="4" t="inlineStr">
        <is>
          <t>61161000</t>
        </is>
      </c>
      <c r="G55" s="4" t="n"/>
      <c r="H55" s="4" t="n"/>
      <c r="I55" s="4" t="inlineStr">
        <is>
          <t>SHEIN-1</t>
        </is>
      </c>
      <c r="J55" s="4" t="inlineStr">
        <is>
          <t>4PCS Manual Pencil Sharpeners Double Hole Compact Handheld Design For Kids, S...</t>
        </is>
      </c>
      <c r="K55" s="4" t="n">
        <v>1</v>
      </c>
      <c r="L55" s="4" t="n"/>
      <c r="M55" s="4" t="n"/>
      <c r="N55" s="4" t="inlineStr">
        <is>
          <t>USD</t>
        </is>
      </c>
      <c r="O55" s="5" t="n">
        <v>0.91</v>
      </c>
      <c r="P55" s="5" t="n">
        <v>0.91</v>
      </c>
      <c r="Q55" s="5">
        <f>O55*K55</f>
        <v/>
      </c>
      <c r="R55" s="5">
        <f>P55-Q55</f>
        <v/>
      </c>
      <c r="S55" s="4" t="n"/>
      <c r="T55" s="4" t="n"/>
      <c r="U55" s="4" t="n"/>
      <c r="V55" s="4" t="n"/>
      <c r="W55" s="4" t="n"/>
      <c r="X55" s="4" t="n"/>
      <c r="Y55" s="4" t="n"/>
      <c r="Z55" s="4" t="n"/>
      <c r="AA55" s="4" t="n"/>
      <c r="AB55" s="4" t="n"/>
      <c r="AC55" s="4" t="n"/>
      <c r="AD55" s="4" t="n"/>
      <c r="AE55" s="4" t="n"/>
      <c r="AF55" s="4" t="n"/>
      <c r="AG55" s="4" t="n"/>
      <c r="AH55" s="4" t="n"/>
      <c r="AI55" s="4" t="n"/>
      <c r="AJ55" s="4" t="n"/>
      <c r="AK55" s="4" t="n"/>
    </row>
    <row r="56">
      <c r="A56" s="6" t="n"/>
      <c r="B56" s="6" t="n"/>
      <c r="C56" s="6" t="n"/>
      <c r="D56" s="6" t="n"/>
      <c r="E56" s="6" t="n"/>
      <c r="F56" s="6" t="n"/>
      <c r="G56" s="6" t="n"/>
      <c r="H56" s="6" t="n"/>
      <c r="I56" s="6" t="n"/>
      <c r="J56" s="6" t="inlineStr">
        <is>
          <t>SUBTOTAL (GROUPED)</t>
        </is>
      </c>
      <c r="K56" s="6" t="n"/>
      <c r="L56" s="6" t="n"/>
      <c r="M56" s="6" t="n"/>
      <c r="N56" s="6" t="n"/>
      <c r="O56" s="6" t="n"/>
      <c r="P56" s="7">
        <f>P54</f>
        <v/>
      </c>
      <c r="Q56" s="7">
        <f>Q54</f>
        <v/>
      </c>
      <c r="R56" s="6" t="n"/>
      <c r="S56" s="6" t="n"/>
      <c r="T56" s="6" t="n"/>
      <c r="U56" s="6" t="n"/>
      <c r="V56" s="6" t="n"/>
      <c r="W56" s="6" t="n"/>
      <c r="X56" s="6" t="n"/>
      <c r="Y56" s="6" t="n"/>
      <c r="Z56" s="6" t="n"/>
      <c r="AA56" s="6" t="n"/>
      <c r="AB56" s="6" t="n"/>
      <c r="AC56" s="6" t="n"/>
      <c r="AD56" s="6" t="n"/>
      <c r="AE56" s="6" t="n"/>
      <c r="AF56" s="6" t="n"/>
      <c r="AG56" s="6" t="n"/>
      <c r="AH56" s="6" t="n"/>
      <c r="AI56" s="6" t="n"/>
      <c r="AJ56" s="6" t="n"/>
      <c r="AK56" s="6" t="n"/>
    </row>
    <row r="57">
      <c r="A57" s="6" t="n"/>
      <c r="B57" s="6" t="n"/>
      <c r="C57" s="6" t="n"/>
      <c r="D57" s="6" t="n"/>
      <c r="E57" s="6" t="n"/>
      <c r="F57" s="6" t="n"/>
      <c r="G57" s="6" t="n"/>
      <c r="H57" s="6" t="n"/>
      <c r="I57" s="6" t="n"/>
      <c r="J57" s="6" t="inlineStr">
        <is>
          <t>SUBTOTAL (DETAILS)</t>
        </is>
      </c>
      <c r="K57" s="6" t="n"/>
      <c r="L57" s="6" t="n"/>
      <c r="M57" s="6" t="n"/>
      <c r="N57" s="6" t="n"/>
      <c r="O57" s="6" t="n"/>
      <c r="P57" s="7">
        <f>SUM(P54:P55)-P56</f>
        <v/>
      </c>
      <c r="Q57" s="7">
        <f>SUM(Q54:Q55)-Q56</f>
        <v/>
      </c>
      <c r="R57" s="6" t="n"/>
      <c r="S57" s="6" t="n"/>
      <c r="T57" s="6" t="n"/>
      <c r="U57" s="6" t="n"/>
      <c r="V57" s="6" t="n"/>
      <c r="W57" s="6" t="n"/>
      <c r="X57" s="6" t="n"/>
      <c r="Y57" s="6" t="n"/>
      <c r="Z57" s="6" t="n"/>
      <c r="AA57" s="6" t="n"/>
      <c r="AB57" s="6" t="n"/>
      <c r="AC57" s="6" t="n"/>
      <c r="AD57" s="6" t="n"/>
      <c r="AE57" s="6" t="n"/>
      <c r="AF57" s="6" t="n"/>
      <c r="AG57" s="6" t="n"/>
      <c r="AH57" s="6" t="n"/>
      <c r="AI57" s="6" t="n"/>
      <c r="AJ57" s="6" t="n"/>
      <c r="AK57" s="6" t="n"/>
    </row>
    <row r="58">
      <c r="A58" s="8" t="n"/>
      <c r="B58" s="8" t="n"/>
      <c r="C58" s="8" t="n"/>
      <c r="D58" s="8" t="n"/>
      <c r="E58" s="8" t="n"/>
      <c r="F58" s="8" t="n"/>
      <c r="G58" s="8" t="n"/>
      <c r="H58" s="8" t="n"/>
      <c r="I58" s="8" t="n"/>
      <c r="J58" s="8" t="inlineStr">
        <is>
          <t>GROUP VERIFICATION</t>
        </is>
      </c>
      <c r="K58" s="8" t="n"/>
      <c r="L58" s="8" t="n"/>
      <c r="M58" s="8" t="n"/>
      <c r="N58" s="8" t="n"/>
      <c r="O58" s="8" t="n"/>
      <c r="P58" s="9">
        <f>P56-P57</f>
        <v/>
      </c>
      <c r="Q58" s="9">
        <f>Q56-Q57</f>
        <v/>
      </c>
      <c r="R58" s="8" t="n"/>
      <c r="S58" s="8" t="n"/>
      <c r="T58" s="8" t="n"/>
      <c r="U58" s="8" t="n"/>
      <c r="V58" s="8" t="n"/>
      <c r="W58" s="8" t="n"/>
      <c r="X58" s="8" t="n"/>
      <c r="Y58" s="8" t="n"/>
      <c r="Z58" s="8" t="n"/>
      <c r="AA58" s="8" t="n"/>
      <c r="AB58" s="8" t="n"/>
      <c r="AC58" s="8" t="n"/>
      <c r="AD58" s="8" t="n"/>
      <c r="AE58" s="8" t="n"/>
      <c r="AF58" s="8" t="n"/>
      <c r="AG58" s="8" t="n"/>
      <c r="AH58" s="8" t="n"/>
      <c r="AI58" s="8" t="n"/>
      <c r="AJ58" s="8" t="n"/>
      <c r="AK58" s="8" t="n"/>
    </row>
    <row r="59"/>
    <row r="60">
      <c r="A60" s="6" t="n"/>
      <c r="B60" s="6" t="n"/>
      <c r="C60" s="6" t="n"/>
      <c r="D60" s="6" t="n"/>
      <c r="E60" s="6" t="n"/>
      <c r="F60" s="6" t="n"/>
      <c r="G60" s="6" t="n"/>
      <c r="H60" s="6" t="n"/>
      <c r="I60" s="6" t="n"/>
      <c r="J60" s="6" t="inlineStr">
        <is>
          <t>TOTAL INTERNAL FREIGHT</t>
        </is>
      </c>
      <c r="K60" s="6" t="n"/>
      <c r="L60" s="6" t="n"/>
      <c r="M60" s="6" t="n"/>
      <c r="N60" s="6" t="n"/>
      <c r="O60" s="6" t="n"/>
      <c r="P60" s="7" t="n">
        <v>0</v>
      </c>
      <c r="Q60" s="7" t="n"/>
      <c r="R60" s="6" t="n"/>
      <c r="S60" s="6" t="n"/>
      <c r="T60" s="6" t="n"/>
      <c r="U60" s="6" t="n"/>
      <c r="V60" s="6" t="n"/>
      <c r="W60" s="6" t="n"/>
      <c r="X60" s="6" t="n"/>
      <c r="Y60" s="6" t="n"/>
      <c r="Z60" s="6" t="n"/>
      <c r="AA60" s="6" t="n"/>
      <c r="AB60" s="6" t="n"/>
      <c r="AC60" s="6" t="n"/>
      <c r="AD60" s="6" t="n"/>
      <c r="AE60" s="6" t="n"/>
      <c r="AF60" s="6" t="n"/>
      <c r="AG60" s="6" t="n"/>
      <c r="AH60" s="6" t="n"/>
      <c r="AI60" s="6" t="n"/>
      <c r="AJ60" s="6" t="n"/>
      <c r="AK60" s="6" t="n"/>
    </row>
    <row r="61">
      <c r="A61" s="6" t="n"/>
      <c r="B61" s="6" t="n"/>
      <c r="C61" s="6" t="n"/>
      <c r="D61" s="6" t="n"/>
      <c r="E61" s="6" t="n"/>
      <c r="F61" s="6" t="n"/>
      <c r="G61" s="6" t="n"/>
      <c r="H61" s="6" t="n"/>
      <c r="I61" s="6" t="n"/>
      <c r="J61" s="6" t="inlineStr">
        <is>
          <t>TOTAL INSURANCE</t>
        </is>
      </c>
      <c r="K61" s="6" t="n"/>
      <c r="L61" s="6" t="n"/>
      <c r="M61" s="6" t="n"/>
      <c r="N61" s="6" t="n"/>
      <c r="O61" s="6" t="n"/>
      <c r="P61" s="7" t="n">
        <v>0</v>
      </c>
      <c r="Q61" s="7" t="n"/>
      <c r="R61" s="6" t="n"/>
      <c r="S61" s="6" t="n"/>
      <c r="T61" s="6" t="n"/>
      <c r="U61" s="6" t="n"/>
      <c r="V61" s="6" t="n"/>
      <c r="W61" s="6" t="n"/>
      <c r="X61" s="6" t="n"/>
      <c r="Y61" s="6" t="n"/>
      <c r="Z61" s="6" t="n"/>
      <c r="AA61" s="6" t="n"/>
      <c r="AB61" s="6" t="n"/>
      <c r="AC61" s="6" t="n"/>
      <c r="AD61" s="6" t="n"/>
      <c r="AE61" s="6" t="n"/>
      <c r="AF61" s="6" t="n"/>
      <c r="AG61" s="6" t="n"/>
      <c r="AH61" s="6" t="n"/>
      <c r="AI61" s="6" t="n"/>
      <c r="AJ61" s="6" t="n"/>
      <c r="AK61" s="6" t="n"/>
    </row>
    <row r="62">
      <c r="A62" s="6" t="n"/>
      <c r="B62" s="6" t="n"/>
      <c r="C62" s="6" t="n"/>
      <c r="D62" s="6" t="n"/>
      <c r="E62" s="6" t="n"/>
      <c r="F62" s="6" t="n"/>
      <c r="G62" s="6" t="n"/>
      <c r="H62" s="6" t="n"/>
      <c r="I62" s="6" t="n"/>
      <c r="J62" s="6" t="inlineStr">
        <is>
          <t>TOTAL OTHER COST</t>
        </is>
      </c>
      <c r="K62" s="6" t="n"/>
      <c r="L62" s="6" t="n"/>
      <c r="M62" s="6" t="n"/>
      <c r="N62" s="6" t="n"/>
      <c r="O62" s="6" t="n"/>
      <c r="P62" s="7" t="n">
        <v>0.07000000000000001</v>
      </c>
      <c r="Q62" s="7" t="n"/>
      <c r="R62" s="6" t="n"/>
      <c r="S62" s="6" t="n"/>
      <c r="T62" s="6" t="n"/>
      <c r="U62" s="6" t="n"/>
      <c r="V62" s="6" t="n"/>
      <c r="W62" s="6" t="n"/>
      <c r="X62" s="6" t="n"/>
      <c r="Y62" s="6" t="n"/>
      <c r="Z62" s="6" t="n"/>
      <c r="AA62" s="6" t="n"/>
      <c r="AB62" s="6" t="n"/>
      <c r="AC62" s="6" t="n"/>
      <c r="AD62" s="6" t="n"/>
      <c r="AE62" s="6" t="n"/>
      <c r="AF62" s="6" t="n"/>
      <c r="AG62" s="6" t="n"/>
      <c r="AH62" s="6" t="n"/>
      <c r="AI62" s="6" t="n"/>
      <c r="AJ62" s="6" t="n"/>
      <c r="AK62" s="6" t="n"/>
    </row>
    <row r="63">
      <c r="A63" s="6" t="n"/>
      <c r="B63" s="6" t="n"/>
      <c r="C63" s="6" t="n"/>
      <c r="D63" s="6" t="n"/>
      <c r="E63" s="6" t="n"/>
      <c r="F63" s="6" t="n"/>
      <c r="G63" s="6" t="n"/>
      <c r="H63" s="6" t="n"/>
      <c r="I63" s="6" t="n"/>
      <c r="J63" s="6" t="inlineStr">
        <is>
          <t>TOTAL DEDUCTION</t>
        </is>
      </c>
      <c r="K63" s="6" t="n"/>
      <c r="L63" s="6" t="n"/>
      <c r="M63" s="6" t="n"/>
      <c r="N63" s="6" t="n"/>
      <c r="O63" s="6" t="n"/>
      <c r="P63" s="7" t="n">
        <v>0</v>
      </c>
      <c r="Q63" s="7" t="n"/>
      <c r="R63" s="6" t="n"/>
      <c r="S63" s="6" t="n"/>
      <c r="T63" s="6" t="n"/>
      <c r="U63" s="6" t="n"/>
      <c r="V63" s="6" t="n"/>
      <c r="W63" s="6" t="n"/>
      <c r="X63" s="6" t="n"/>
      <c r="Y63" s="6" t="n"/>
      <c r="Z63" s="6" t="n"/>
      <c r="AA63" s="6" t="n"/>
      <c r="AB63" s="6" t="n"/>
      <c r="AC63" s="6" t="n"/>
      <c r="AD63" s="6" t="n"/>
      <c r="AE63" s="6" t="n"/>
      <c r="AF63" s="6" t="n"/>
      <c r="AG63" s="6" t="n"/>
      <c r="AH63" s="6" t="n"/>
      <c r="AI63" s="6" t="n"/>
      <c r="AJ63" s="6" t="n"/>
      <c r="AK63" s="6" t="n"/>
    </row>
    <row r="64">
      <c r="A64" s="6" t="n"/>
      <c r="B64" s="6" t="n"/>
      <c r="C64" s="6" t="n"/>
      <c r="D64" s="6" t="n"/>
      <c r="E64" s="6" t="n"/>
      <c r="F64" s="6" t="n"/>
      <c r="G64" s="6" t="n"/>
      <c r="H64" s="6" t="n"/>
      <c r="I64" s="6" t="n"/>
      <c r="J64" s="6" t="inlineStr">
        <is>
          <t>ADJUSTMENTS</t>
        </is>
      </c>
      <c r="K64" s="6" t="n"/>
      <c r="L64" s="6" t="n"/>
      <c r="M64" s="6" t="n"/>
      <c r="N64" s="6" t="n"/>
      <c r="O64" s="6" t="n"/>
      <c r="P64" s="7">
        <f>(T54+U54+V54-W54)</f>
        <v/>
      </c>
      <c r="Q64" s="7">
        <f>(T54+U54+V54-W54)</f>
        <v/>
      </c>
      <c r="R64" s="6" t="n"/>
      <c r="S64" s="6" t="n"/>
      <c r="T64" s="6" t="n"/>
      <c r="U64" s="6" t="n"/>
      <c r="V64" s="6" t="n"/>
      <c r="W64" s="6" t="n"/>
      <c r="X64" s="6" t="n"/>
      <c r="Y64" s="6" t="n"/>
      <c r="Z64" s="6" t="n"/>
      <c r="AA64" s="6" t="n"/>
      <c r="AB64" s="6" t="n"/>
      <c r="AC64" s="6" t="n"/>
      <c r="AD64" s="6" t="n"/>
      <c r="AE64" s="6" t="n"/>
      <c r="AF64" s="6" t="n"/>
      <c r="AG64" s="6" t="n"/>
      <c r="AH64" s="6" t="n"/>
      <c r="AI64" s="6" t="n"/>
      <c r="AJ64" s="6" t="n"/>
      <c r="AK64" s="6" t="n"/>
    </row>
    <row r="65"/>
    <row r="66">
      <c r="A66" s="6" t="n"/>
      <c r="B66" s="6" t="n"/>
      <c r="C66" s="6" t="n"/>
      <c r="D66" s="6" t="n"/>
      <c r="E66" s="6" t="n"/>
      <c r="F66" s="6" t="n"/>
      <c r="G66" s="6" t="n"/>
      <c r="H66" s="6" t="n"/>
      <c r="I66" s="6" t="n"/>
      <c r="J66" s="6" t="inlineStr">
        <is>
          <t>NET TOTAL</t>
        </is>
      </c>
      <c r="K66" s="6" t="n"/>
      <c r="L66" s="6" t="n"/>
      <c r="M66" s="6" t="n"/>
      <c r="N66" s="6" t="n"/>
      <c r="O66" s="6" t="n"/>
      <c r="P66" s="7">
        <f>P56+P64</f>
        <v/>
      </c>
      <c r="Q66" s="7">
        <f>Q56+Q64</f>
        <v/>
      </c>
      <c r="R66" s="6" t="n"/>
      <c r="S66" s="6" t="n"/>
      <c r="T66" s="6" t="n"/>
      <c r="U66" s="6" t="n"/>
      <c r="V66" s="6" t="n"/>
      <c r="W66" s="6" t="n"/>
      <c r="X66" s="6" t="n"/>
      <c r="Y66" s="6" t="n"/>
      <c r="Z66" s="6" t="n"/>
      <c r="AA66" s="6" t="n"/>
      <c r="AB66" s="6" t="n"/>
      <c r="AC66" s="6" t="n"/>
      <c r="AD66" s="6" t="n"/>
      <c r="AE66" s="6" t="n"/>
      <c r="AF66" s="6" t="n"/>
      <c r="AG66" s="6" t="n"/>
      <c r="AH66" s="6" t="n"/>
      <c r="AI66" s="6" t="n"/>
      <c r="AJ66" s="6" t="n"/>
      <c r="AK66" s="6" t="n"/>
    </row>
    <row r="67">
      <c r="A67" s="6" t="n"/>
      <c r="B67" s="6" t="n"/>
      <c r="C67" s="6" t="n"/>
      <c r="D67" s="6" t="n"/>
      <c r="E67" s="6" t="n"/>
      <c r="F67" s="6" t="n"/>
      <c r="G67" s="6" t="n"/>
      <c r="H67" s="6" t="n"/>
      <c r="I67" s="6" t="n"/>
      <c r="J67" s="6" t="inlineStr">
        <is>
          <t>INVOICE TOTAL</t>
        </is>
      </c>
      <c r="K67" s="6" t="n"/>
      <c r="L67" s="6" t="n"/>
      <c r="M67" s="6" t="n"/>
      <c r="N67" s="6" t="n"/>
      <c r="O67" s="6" t="n"/>
      <c r="P67" s="7">
        <f>S54</f>
        <v/>
      </c>
      <c r="Q67" s="7" t="n"/>
      <c r="R67" s="6" t="n"/>
      <c r="S67" s="6" t="n"/>
      <c r="T67" s="6" t="n"/>
      <c r="U67" s="6" t="n"/>
      <c r="V67" s="6" t="n"/>
      <c r="W67" s="6" t="n"/>
      <c r="X67" s="6" t="n"/>
      <c r="Y67" s="6" t="n"/>
      <c r="Z67" s="6" t="n"/>
      <c r="AA67" s="6" t="n"/>
      <c r="AB67" s="6" t="n"/>
      <c r="AC67" s="6" t="n"/>
      <c r="AD67" s="6" t="n"/>
      <c r="AE67" s="6" t="n"/>
      <c r="AF67" s="6" t="n"/>
      <c r="AG67" s="6" t="n"/>
      <c r="AH67" s="6" t="n"/>
      <c r="AI67" s="6" t="n"/>
      <c r="AJ67" s="6" t="n"/>
      <c r="AK67" s="6" t="n"/>
    </row>
    <row r="68"/>
    <row r="69">
      <c r="A69" s="10" t="n"/>
      <c r="B69" s="10" t="n"/>
      <c r="C69" s="10" t="n"/>
      <c r="D69" s="10" t="n"/>
      <c r="E69" s="10" t="n"/>
      <c r="F69" s="10" t="n"/>
      <c r="G69" s="10" t="n"/>
      <c r="H69" s="10" t="n"/>
      <c r="I69" s="10" t="n"/>
      <c r="J69" s="10" t="inlineStr">
        <is>
          <t>VARIANCE CHECK</t>
        </is>
      </c>
      <c r="K69" s="10" t="n"/>
      <c r="L69" s="10" t="n"/>
      <c r="M69" s="10" t="n"/>
      <c r="N69" s="10" t="n"/>
      <c r="O69" s="10" t="n"/>
      <c r="P69" s="11">
        <f>S54-P66</f>
        <v/>
      </c>
      <c r="Q69" s="11">
        <f>S54-Q66</f>
        <v/>
      </c>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row>
    <row r="70"/>
    <row r="71">
      <c r="A71" s="12" t="n"/>
      <c r="B71" s="12" t="n"/>
      <c r="C71" s="12" t="n"/>
      <c r="D71" s="12" t="n"/>
      <c r="E71" s="12" t="n"/>
      <c r="F71" s="12" t="n"/>
      <c r="G71" s="12" t="n"/>
      <c r="H71" s="12" t="n"/>
      <c r="I71" s="12" t="n"/>
      <c r="J71" s="12" t="inlineStr">
        <is>
          <t>DUTY ESTIMATION (Classification Cross-Check)</t>
        </is>
      </c>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row>
    <row r="72">
      <c r="A72" s="13" t="n"/>
      <c r="B72" s="13" t="n"/>
      <c r="C72" s="13" t="n"/>
      <c r="D72" s="13" t="n"/>
      <c r="E72" s="13" t="n"/>
      <c r="F72" s="13" t="n"/>
      <c r="G72" s="13" t="n"/>
      <c r="H72" s="13" t="n"/>
      <c r="I72" s="13" t="n"/>
      <c r="J72" s="14" t="inlineStr">
        <is>
          <t>CIF (USD) = InvTotal + Freight + Insurance</t>
        </is>
      </c>
      <c r="K72" s="13" t="n"/>
      <c r="L72" s="13" t="n"/>
      <c r="M72" s="13" t="n"/>
      <c r="N72" s="13" t="n"/>
      <c r="O72" s="13" t="n"/>
      <c r="P72" s="15" t="n">
        <v>0.98</v>
      </c>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row>
    <row r="73">
      <c r="A73" s="13" t="n"/>
      <c r="B73" s="13" t="n"/>
      <c r="C73" s="13" t="n"/>
      <c r="D73" s="13" t="n"/>
      <c r="E73" s="13" t="n"/>
      <c r="F73" s="13" t="n"/>
      <c r="G73" s="13" t="n"/>
      <c r="H73" s="13" t="n"/>
      <c r="I73" s="13" t="n"/>
      <c r="J73" s="14" t="inlineStr">
        <is>
          <t>CIF (XCD) = CIF × 2.7169</t>
        </is>
      </c>
      <c r="K73" s="13" t="n"/>
      <c r="L73" s="13" t="n"/>
      <c r="M73" s="13" t="n"/>
      <c r="N73" s="13" t="n"/>
      <c r="O73" s="13" t="n"/>
      <c r="P73" s="15" t="n">
        <v>2.66</v>
      </c>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row>
    <row r="74">
      <c r="A74" s="13" t="n"/>
      <c r="B74" s="13" t="n"/>
      <c r="C74" s="13" t="n"/>
      <c r="D74" s="13" t="n"/>
      <c r="E74" s="13" t="n"/>
      <c r="F74" s="13" t="n"/>
      <c r="G74" s="13" t="n"/>
      <c r="H74" s="13" t="n"/>
      <c r="I74" s="13" t="n"/>
      <c r="J74" s="14" t="inlineStr">
        <is>
          <t>CET (20%) — Tariff 61161000</t>
        </is>
      </c>
      <c r="K74" s="13" t="n"/>
      <c r="L74" s="13" t="n"/>
      <c r="M74" s="13" t="n"/>
      <c r="N74" s="13" t="n"/>
      <c r="O74" s="13" t="n"/>
      <c r="P74" s="15" t="n">
        <v>0.53</v>
      </c>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row>
    <row r="75">
      <c r="A75" s="13" t="n"/>
      <c r="B75" s="13" t="n"/>
      <c r="C75" s="13" t="n"/>
      <c r="D75" s="13" t="n"/>
      <c r="E75" s="13" t="n"/>
      <c r="F75" s="13" t="n"/>
      <c r="G75" s="13" t="n"/>
      <c r="H75" s="13" t="n"/>
      <c r="I75" s="13" t="n"/>
      <c r="J75" s="14" t="inlineStr">
        <is>
          <t>CSC (6%)</t>
        </is>
      </c>
      <c r="K75" s="13" t="n"/>
      <c r="L75" s="13" t="n"/>
      <c r="M75" s="13" t="n"/>
      <c r="N75" s="13" t="n"/>
      <c r="O75" s="13" t="n"/>
      <c r="P75" s="15" t="n">
        <v>0.16</v>
      </c>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row>
    <row r="76">
      <c r="A76" s="13" t="n"/>
      <c r="B76" s="13" t="n"/>
      <c r="C76" s="13" t="n"/>
      <c r="D76" s="13" t="n"/>
      <c r="E76" s="13" t="n"/>
      <c r="F76" s="13" t="n"/>
      <c r="G76" s="13" t="n"/>
      <c r="H76" s="13" t="n"/>
      <c r="I76" s="13" t="n"/>
      <c r="J76" s="14" t="inlineStr">
        <is>
          <t>VAT (15%) on CIF+CET+CSC</t>
        </is>
      </c>
      <c r="K76" s="13" t="n"/>
      <c r="L76" s="13" t="n"/>
      <c r="M76" s="13" t="n"/>
      <c r="N76" s="13" t="n"/>
      <c r="O76" s="13" t="n"/>
      <c r="P76" s="15" t="n">
        <v>0.5</v>
      </c>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row>
    <row r="77">
      <c r="A77" s="16" t="n"/>
      <c r="B77" s="16" t="n"/>
      <c r="C77" s="16" t="n"/>
      <c r="D77" s="16" t="n"/>
      <c r="E77" s="16" t="n"/>
      <c r="F77" s="16" t="n"/>
      <c r="G77" s="16" t="n"/>
      <c r="H77" s="16" t="n"/>
      <c r="I77" s="16" t="n"/>
      <c r="J77" s="12" t="inlineStr">
        <is>
          <t>ESTIMATED TOTAL DUTIES</t>
        </is>
      </c>
      <c r="K77" s="16" t="n"/>
      <c r="L77" s="16" t="n"/>
      <c r="M77" s="16" t="n"/>
      <c r="N77" s="16" t="n"/>
      <c r="O77" s="16" t="n"/>
      <c r="P77" s="17" t="n">
        <v>1.19</v>
      </c>
      <c r="Q77" s="16" t="n"/>
      <c r="R77" s="16" t="n"/>
      <c r="S77" s="16" t="n"/>
      <c r="T77" s="16" t="n"/>
      <c r="U77" s="16" t="n"/>
      <c r="V77" s="16" t="n"/>
      <c r="W77" s="16" t="n"/>
      <c r="X77" s="16" t="n"/>
      <c r="Y77" s="16" t="n"/>
      <c r="Z77" s="16" t="n"/>
      <c r="AA77" s="16" t="n"/>
      <c r="AB77" s="16" t="n"/>
      <c r="AC77" s="16" t="n"/>
      <c r="AD77" s="16" t="n"/>
      <c r="AE77" s="16" t="n"/>
      <c r="AF77" s="16" t="n"/>
      <c r="AG77" s="16" t="n"/>
      <c r="AH77" s="16" t="n"/>
      <c r="AI77" s="16" t="n"/>
      <c r="AJ77" s="16" t="n"/>
      <c r="AK77" s="16" t="n"/>
    </row>
    <row r="78">
      <c r="A78" s="13" t="n"/>
      <c r="B78" s="13" t="n"/>
      <c r="C78" s="13" t="n"/>
      <c r="D78" s="13" t="n"/>
      <c r="E78" s="13" t="n"/>
      <c r="F78" s="13" t="n"/>
      <c r="G78" s="13" t="n"/>
      <c r="H78" s="13" t="n"/>
      <c r="I78" s="13" t="n"/>
      <c r="J78" s="14" t="inlineStr">
        <is>
          <t>Effective Duty Rate</t>
        </is>
      </c>
      <c r="K78" s="13" t="n"/>
      <c r="L78" s="13" t="n"/>
      <c r="M78" s="13" t="n"/>
      <c r="N78" s="13" t="n"/>
      <c r="O78" s="13" t="n"/>
      <c r="P78" s="18" t="n">
        <v>0.4473684210526315</v>
      </c>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row>
    <row r="79">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row>
    <row r="80">
      <c r="A80" s="2" t="inlineStr">
        <is>
          <t>4000-000</t>
        </is>
      </c>
      <c r="B80" s="2" t="n"/>
      <c r="C80" s="2" t="inlineStr">
        <is>
          <t>INVUS20240717002005487</t>
        </is>
      </c>
      <c r="D80" s="2" t="inlineStr">
        <is>
          <t>2024-07-17</t>
        </is>
      </c>
      <c r="E80" s="2" t="inlineStr">
        <is>
          <t>FOOTWEAR</t>
        </is>
      </c>
      <c r="F80" s="2" t="inlineStr">
        <is>
          <t>64029910</t>
        </is>
      </c>
      <c r="G80" s="2" t="n"/>
      <c r="H80" s="2" t="n"/>
      <c r="I80" s="2" t="inlineStr">
        <is>
          <t>64029910</t>
        </is>
      </c>
      <c r="J80" s="2" t="inlineStr">
        <is>
          <t>Women' Thick-Soled Slippers, Summer Anti-Skid Waterproof Beach Sandals, Suita... (1 items)</t>
        </is>
      </c>
      <c r="K80" s="2" t="n">
        <v>1</v>
      </c>
      <c r="L80" s="2" t="n"/>
      <c r="M80" s="2" t="n"/>
      <c r="N80" s="2" t="inlineStr">
        <is>
          <t>USD</t>
        </is>
      </c>
      <c r="O80" s="3" t="n">
        <v>2.86</v>
      </c>
      <c r="P80" s="3" t="n">
        <v>2.86</v>
      </c>
      <c r="Q80" s="3">
        <f>O80*K80</f>
        <v/>
      </c>
      <c r="R80" s="3">
        <f>P80-Q80</f>
        <v/>
      </c>
      <c r="S80" s="3" t="n">
        <v>3.07</v>
      </c>
      <c r="T80" s="3" t="n">
        <v>0</v>
      </c>
      <c r="U80" s="3" t="n">
        <v>0</v>
      </c>
      <c r="V80" s="3" t="n">
        <v>0.21</v>
      </c>
      <c r="W80" s="3" t="n">
        <v>0</v>
      </c>
      <c r="X80" s="2" t="n">
        <v>1</v>
      </c>
      <c r="Y80" s="2" t="n"/>
      <c r="Z80" s="2" t="inlineStr">
        <is>
          <t>SHEIN</t>
        </is>
      </c>
      <c r="AA80" s="2" t="inlineStr">
        <is>
          <t>SHEIN US Services, LLC</t>
        </is>
      </c>
      <c r="AB80" s="2" t="inlineStr">
        <is>
          <t>777 S. Alameda St., Second Floor, Los Angeles, CA 90021</t>
        </is>
      </c>
      <c r="AC80" s="2" t="inlineStr">
        <is>
          <t>US</t>
        </is>
      </c>
      <c r="AD80" s="2" t="n"/>
      <c r="AE80" s="2" t="n"/>
      <c r="AF80" s="2" t="n"/>
      <c r="AG80" s="2" t="n"/>
      <c r="AH80" s="2" t="n"/>
      <c r="AI80" s="2" t="n"/>
      <c r="AJ80" s="2" t="n"/>
      <c r="AK80" s="2" t="inlineStr">
        <is>
          <t>64029910</t>
        </is>
      </c>
    </row>
    <row r="81">
      <c r="A81" s="4" t="n"/>
      <c r="B81" s="4" t="n"/>
      <c r="C81" s="4" t="n"/>
      <c r="D81" s="4" t="n"/>
      <c r="E81" s="4" t="n"/>
      <c r="F81" s="4" t="inlineStr">
        <is>
          <t>64029910</t>
        </is>
      </c>
      <c r="G81" s="4" t="n"/>
      <c r="H81" s="4" t="n"/>
      <c r="I81" s="4" t="inlineStr">
        <is>
          <t>SHEIN-1</t>
        </is>
      </c>
      <c r="J81" s="4" t="inlineStr">
        <is>
          <t>Women' Thick-Soled Slippers, Summer Anti-Skid Waterproof Beach Sandals, Suita...</t>
        </is>
      </c>
      <c r="K81" s="4" t="n">
        <v>1</v>
      </c>
      <c r="L81" s="4" t="n"/>
      <c r="M81" s="4" t="n"/>
      <c r="N81" s="4" t="inlineStr">
        <is>
          <t>USD</t>
        </is>
      </c>
      <c r="O81" s="5" t="n">
        <v>2.86</v>
      </c>
      <c r="P81" s="5" t="n">
        <v>2.86</v>
      </c>
      <c r="Q81" s="5">
        <f>O81*K81</f>
        <v/>
      </c>
      <c r="R81" s="5">
        <f>P81-Q81</f>
        <v/>
      </c>
      <c r="S81" s="4" t="n"/>
      <c r="T81" s="4" t="n"/>
      <c r="U81" s="4" t="n"/>
      <c r="V81" s="4" t="n"/>
      <c r="W81" s="4" t="n"/>
      <c r="X81" s="4" t="n"/>
      <c r="Y81" s="4" t="n"/>
      <c r="Z81" s="4" t="n"/>
      <c r="AA81" s="4" t="n"/>
      <c r="AB81" s="4" t="n"/>
      <c r="AC81" s="4" t="n"/>
      <c r="AD81" s="4" t="n"/>
      <c r="AE81" s="4" t="n"/>
      <c r="AF81" s="4" t="n"/>
      <c r="AG81" s="4" t="n"/>
      <c r="AH81" s="4" t="n"/>
      <c r="AI81" s="4" t="n"/>
      <c r="AJ81" s="4" t="n"/>
      <c r="AK81" s="4" t="n"/>
    </row>
    <row r="82">
      <c r="A82" s="6" t="n"/>
      <c r="B82" s="6" t="n"/>
      <c r="C82" s="6" t="n"/>
      <c r="D82" s="6" t="n"/>
      <c r="E82" s="6" t="n"/>
      <c r="F82" s="6" t="n"/>
      <c r="G82" s="6" t="n"/>
      <c r="H82" s="6" t="n"/>
      <c r="I82" s="6" t="n"/>
      <c r="J82" s="6" t="inlineStr">
        <is>
          <t>SUBTOTAL (GROUPED)</t>
        </is>
      </c>
      <c r="K82" s="6" t="n"/>
      <c r="L82" s="6" t="n"/>
      <c r="M82" s="6" t="n"/>
      <c r="N82" s="6" t="n"/>
      <c r="O82" s="6" t="n"/>
      <c r="P82" s="7">
        <f>P80</f>
        <v/>
      </c>
      <c r="Q82" s="7">
        <f>Q80</f>
        <v/>
      </c>
      <c r="R82" s="6" t="n"/>
      <c r="S82" s="6" t="n"/>
      <c r="T82" s="6" t="n"/>
      <c r="U82" s="6" t="n"/>
      <c r="V82" s="6" t="n"/>
      <c r="W82" s="6" t="n"/>
      <c r="X82" s="6" t="n"/>
      <c r="Y82" s="6" t="n"/>
      <c r="Z82" s="6" t="n"/>
      <c r="AA82" s="6" t="n"/>
      <c r="AB82" s="6" t="n"/>
      <c r="AC82" s="6" t="n"/>
      <c r="AD82" s="6" t="n"/>
      <c r="AE82" s="6" t="n"/>
      <c r="AF82" s="6" t="n"/>
      <c r="AG82" s="6" t="n"/>
      <c r="AH82" s="6" t="n"/>
      <c r="AI82" s="6" t="n"/>
      <c r="AJ82" s="6" t="n"/>
      <c r="AK82" s="6" t="n"/>
    </row>
    <row r="83">
      <c r="A83" s="6" t="n"/>
      <c r="B83" s="6" t="n"/>
      <c r="C83" s="6" t="n"/>
      <c r="D83" s="6" t="n"/>
      <c r="E83" s="6" t="n"/>
      <c r="F83" s="6" t="n"/>
      <c r="G83" s="6" t="n"/>
      <c r="H83" s="6" t="n"/>
      <c r="I83" s="6" t="n"/>
      <c r="J83" s="6" t="inlineStr">
        <is>
          <t>SUBTOTAL (DETAILS)</t>
        </is>
      </c>
      <c r="K83" s="6" t="n"/>
      <c r="L83" s="6" t="n"/>
      <c r="M83" s="6" t="n"/>
      <c r="N83" s="6" t="n"/>
      <c r="O83" s="6" t="n"/>
      <c r="P83" s="7">
        <f>SUM(P80:P81)-P82</f>
        <v/>
      </c>
      <c r="Q83" s="7">
        <f>SUM(Q80:Q81)-Q82</f>
        <v/>
      </c>
      <c r="R83" s="6" t="n"/>
      <c r="S83" s="6" t="n"/>
      <c r="T83" s="6" t="n"/>
      <c r="U83" s="6" t="n"/>
      <c r="V83" s="6" t="n"/>
      <c r="W83" s="6" t="n"/>
      <c r="X83" s="6" t="n"/>
      <c r="Y83" s="6" t="n"/>
      <c r="Z83" s="6" t="n"/>
      <c r="AA83" s="6" t="n"/>
      <c r="AB83" s="6" t="n"/>
      <c r="AC83" s="6" t="n"/>
      <c r="AD83" s="6" t="n"/>
      <c r="AE83" s="6" t="n"/>
      <c r="AF83" s="6" t="n"/>
      <c r="AG83" s="6" t="n"/>
      <c r="AH83" s="6" t="n"/>
      <c r="AI83" s="6" t="n"/>
      <c r="AJ83" s="6" t="n"/>
      <c r="AK83" s="6" t="n"/>
    </row>
    <row r="84">
      <c r="A84" s="8" t="n"/>
      <c r="B84" s="8" t="n"/>
      <c r="C84" s="8" t="n"/>
      <c r="D84" s="8" t="n"/>
      <c r="E84" s="8" t="n"/>
      <c r="F84" s="8" t="n"/>
      <c r="G84" s="8" t="n"/>
      <c r="H84" s="8" t="n"/>
      <c r="I84" s="8" t="n"/>
      <c r="J84" s="8" t="inlineStr">
        <is>
          <t>GROUP VERIFICATION</t>
        </is>
      </c>
      <c r="K84" s="8" t="n"/>
      <c r="L84" s="8" t="n"/>
      <c r="M84" s="8" t="n"/>
      <c r="N84" s="8" t="n"/>
      <c r="O84" s="8" t="n"/>
      <c r="P84" s="9">
        <f>P82-P83</f>
        <v/>
      </c>
      <c r="Q84" s="9">
        <f>Q82-Q83</f>
        <v/>
      </c>
      <c r="R84" s="8" t="n"/>
      <c r="S84" s="8" t="n"/>
      <c r="T84" s="8" t="n"/>
      <c r="U84" s="8" t="n"/>
      <c r="V84" s="8" t="n"/>
      <c r="W84" s="8" t="n"/>
      <c r="X84" s="8" t="n"/>
      <c r="Y84" s="8" t="n"/>
      <c r="Z84" s="8" t="n"/>
      <c r="AA84" s="8" t="n"/>
      <c r="AB84" s="8" t="n"/>
      <c r="AC84" s="8" t="n"/>
      <c r="AD84" s="8" t="n"/>
      <c r="AE84" s="8" t="n"/>
      <c r="AF84" s="8" t="n"/>
      <c r="AG84" s="8" t="n"/>
      <c r="AH84" s="8" t="n"/>
      <c r="AI84" s="8" t="n"/>
      <c r="AJ84" s="8" t="n"/>
      <c r="AK84" s="8" t="n"/>
    </row>
    <row r="85"/>
    <row r="86">
      <c r="A86" s="6" t="n"/>
      <c r="B86" s="6" t="n"/>
      <c r="C86" s="6" t="n"/>
      <c r="D86" s="6" t="n"/>
      <c r="E86" s="6" t="n"/>
      <c r="F86" s="6" t="n"/>
      <c r="G86" s="6" t="n"/>
      <c r="H86" s="6" t="n"/>
      <c r="I86" s="6" t="n"/>
      <c r="J86" s="6" t="inlineStr">
        <is>
          <t>TOTAL INTERNAL FREIGHT</t>
        </is>
      </c>
      <c r="K86" s="6" t="n"/>
      <c r="L86" s="6" t="n"/>
      <c r="M86" s="6" t="n"/>
      <c r="N86" s="6" t="n"/>
      <c r="O86" s="6" t="n"/>
      <c r="P86" s="7" t="n">
        <v>0</v>
      </c>
      <c r="Q86" s="7" t="n"/>
      <c r="R86" s="6" t="n"/>
      <c r="S86" s="6" t="n"/>
      <c r="T86" s="6" t="n"/>
      <c r="U86" s="6" t="n"/>
      <c r="V86" s="6" t="n"/>
      <c r="W86" s="6" t="n"/>
      <c r="X86" s="6" t="n"/>
      <c r="Y86" s="6" t="n"/>
      <c r="Z86" s="6" t="n"/>
      <c r="AA86" s="6" t="n"/>
      <c r="AB86" s="6" t="n"/>
      <c r="AC86" s="6" t="n"/>
      <c r="AD86" s="6" t="n"/>
      <c r="AE86" s="6" t="n"/>
      <c r="AF86" s="6" t="n"/>
      <c r="AG86" s="6" t="n"/>
      <c r="AH86" s="6" t="n"/>
      <c r="AI86" s="6" t="n"/>
      <c r="AJ86" s="6" t="n"/>
      <c r="AK86" s="6" t="n"/>
    </row>
    <row r="87">
      <c r="A87" s="6" t="n"/>
      <c r="B87" s="6" t="n"/>
      <c r="C87" s="6" t="n"/>
      <c r="D87" s="6" t="n"/>
      <c r="E87" s="6" t="n"/>
      <c r="F87" s="6" t="n"/>
      <c r="G87" s="6" t="n"/>
      <c r="H87" s="6" t="n"/>
      <c r="I87" s="6" t="n"/>
      <c r="J87" s="6" t="inlineStr">
        <is>
          <t>TOTAL INSURANCE</t>
        </is>
      </c>
      <c r="K87" s="6" t="n"/>
      <c r="L87" s="6" t="n"/>
      <c r="M87" s="6" t="n"/>
      <c r="N87" s="6" t="n"/>
      <c r="O87" s="6" t="n"/>
      <c r="P87" s="7" t="n">
        <v>0</v>
      </c>
      <c r="Q87" s="7" t="n"/>
      <c r="R87" s="6" t="n"/>
      <c r="S87" s="6" t="n"/>
      <c r="T87" s="6" t="n"/>
      <c r="U87" s="6" t="n"/>
      <c r="V87" s="6" t="n"/>
      <c r="W87" s="6" t="n"/>
      <c r="X87" s="6" t="n"/>
      <c r="Y87" s="6" t="n"/>
      <c r="Z87" s="6" t="n"/>
      <c r="AA87" s="6" t="n"/>
      <c r="AB87" s="6" t="n"/>
      <c r="AC87" s="6" t="n"/>
      <c r="AD87" s="6" t="n"/>
      <c r="AE87" s="6" t="n"/>
      <c r="AF87" s="6" t="n"/>
      <c r="AG87" s="6" t="n"/>
      <c r="AH87" s="6" t="n"/>
      <c r="AI87" s="6" t="n"/>
      <c r="AJ87" s="6" t="n"/>
      <c r="AK87" s="6" t="n"/>
    </row>
    <row r="88">
      <c r="A88" s="6" t="n"/>
      <c r="B88" s="6" t="n"/>
      <c r="C88" s="6" t="n"/>
      <c r="D88" s="6" t="n"/>
      <c r="E88" s="6" t="n"/>
      <c r="F88" s="6" t="n"/>
      <c r="G88" s="6" t="n"/>
      <c r="H88" s="6" t="n"/>
      <c r="I88" s="6" t="n"/>
      <c r="J88" s="6" t="inlineStr">
        <is>
          <t>TOTAL OTHER COST</t>
        </is>
      </c>
      <c r="K88" s="6" t="n"/>
      <c r="L88" s="6" t="n"/>
      <c r="M88" s="6" t="n"/>
      <c r="N88" s="6" t="n"/>
      <c r="O88" s="6" t="n"/>
      <c r="P88" s="7" t="n">
        <v>0.21</v>
      </c>
      <c r="Q88" s="7" t="n"/>
      <c r="R88" s="6" t="n"/>
      <c r="S88" s="6" t="n"/>
      <c r="T88" s="6" t="n"/>
      <c r="U88" s="6" t="n"/>
      <c r="V88" s="6" t="n"/>
      <c r="W88" s="6" t="n"/>
      <c r="X88" s="6" t="n"/>
      <c r="Y88" s="6" t="n"/>
      <c r="Z88" s="6" t="n"/>
      <c r="AA88" s="6" t="n"/>
      <c r="AB88" s="6" t="n"/>
      <c r="AC88" s="6" t="n"/>
      <c r="AD88" s="6" t="n"/>
      <c r="AE88" s="6" t="n"/>
      <c r="AF88" s="6" t="n"/>
      <c r="AG88" s="6" t="n"/>
      <c r="AH88" s="6" t="n"/>
      <c r="AI88" s="6" t="n"/>
      <c r="AJ88" s="6" t="n"/>
      <c r="AK88" s="6" t="n"/>
    </row>
    <row r="89">
      <c r="A89" s="6" t="n"/>
      <c r="B89" s="6" t="n"/>
      <c r="C89" s="6" t="n"/>
      <c r="D89" s="6" t="n"/>
      <c r="E89" s="6" t="n"/>
      <c r="F89" s="6" t="n"/>
      <c r="G89" s="6" t="n"/>
      <c r="H89" s="6" t="n"/>
      <c r="I89" s="6" t="n"/>
      <c r="J89" s="6" t="inlineStr">
        <is>
          <t>TOTAL DEDUCTION</t>
        </is>
      </c>
      <c r="K89" s="6" t="n"/>
      <c r="L89" s="6" t="n"/>
      <c r="M89" s="6" t="n"/>
      <c r="N89" s="6" t="n"/>
      <c r="O89" s="6" t="n"/>
      <c r="P89" s="7" t="n">
        <v>0</v>
      </c>
      <c r="Q89" s="7" t="n"/>
      <c r="R89" s="6" t="n"/>
      <c r="S89" s="6" t="n"/>
      <c r="T89" s="6" t="n"/>
      <c r="U89" s="6" t="n"/>
      <c r="V89" s="6" t="n"/>
      <c r="W89" s="6" t="n"/>
      <c r="X89" s="6" t="n"/>
      <c r="Y89" s="6" t="n"/>
      <c r="Z89" s="6" t="n"/>
      <c r="AA89" s="6" t="n"/>
      <c r="AB89" s="6" t="n"/>
      <c r="AC89" s="6" t="n"/>
      <c r="AD89" s="6" t="n"/>
      <c r="AE89" s="6" t="n"/>
      <c r="AF89" s="6" t="n"/>
      <c r="AG89" s="6" t="n"/>
      <c r="AH89" s="6" t="n"/>
      <c r="AI89" s="6" t="n"/>
      <c r="AJ89" s="6" t="n"/>
      <c r="AK89" s="6" t="n"/>
    </row>
    <row r="90">
      <c r="A90" s="6" t="n"/>
      <c r="B90" s="6" t="n"/>
      <c r="C90" s="6" t="n"/>
      <c r="D90" s="6" t="n"/>
      <c r="E90" s="6" t="n"/>
      <c r="F90" s="6" t="n"/>
      <c r="G90" s="6" t="n"/>
      <c r="H90" s="6" t="n"/>
      <c r="I90" s="6" t="n"/>
      <c r="J90" s="6" t="inlineStr">
        <is>
          <t>ADJUSTMENTS</t>
        </is>
      </c>
      <c r="K90" s="6" t="n"/>
      <c r="L90" s="6" t="n"/>
      <c r="M90" s="6" t="n"/>
      <c r="N90" s="6" t="n"/>
      <c r="O90" s="6" t="n"/>
      <c r="P90" s="7">
        <f>(T80+U80+V80-W80)</f>
        <v/>
      </c>
      <c r="Q90" s="7">
        <f>(T80+U80+V80-W80)</f>
        <v/>
      </c>
      <c r="R90" s="6" t="n"/>
      <c r="S90" s="6" t="n"/>
      <c r="T90" s="6" t="n"/>
      <c r="U90" s="6" t="n"/>
      <c r="V90" s="6" t="n"/>
      <c r="W90" s="6" t="n"/>
      <c r="X90" s="6" t="n"/>
      <c r="Y90" s="6" t="n"/>
      <c r="Z90" s="6" t="n"/>
      <c r="AA90" s="6" t="n"/>
      <c r="AB90" s="6" t="n"/>
      <c r="AC90" s="6" t="n"/>
      <c r="AD90" s="6" t="n"/>
      <c r="AE90" s="6" t="n"/>
      <c r="AF90" s="6" t="n"/>
      <c r="AG90" s="6" t="n"/>
      <c r="AH90" s="6" t="n"/>
      <c r="AI90" s="6" t="n"/>
      <c r="AJ90" s="6" t="n"/>
      <c r="AK90" s="6" t="n"/>
    </row>
    <row r="91"/>
    <row r="92">
      <c r="A92" s="6" t="n"/>
      <c r="B92" s="6" t="n"/>
      <c r="C92" s="6" t="n"/>
      <c r="D92" s="6" t="n"/>
      <c r="E92" s="6" t="n"/>
      <c r="F92" s="6" t="n"/>
      <c r="G92" s="6" t="n"/>
      <c r="H92" s="6" t="n"/>
      <c r="I92" s="6" t="n"/>
      <c r="J92" s="6" t="inlineStr">
        <is>
          <t>NET TOTAL</t>
        </is>
      </c>
      <c r="K92" s="6" t="n"/>
      <c r="L92" s="6" t="n"/>
      <c r="M92" s="6" t="n"/>
      <c r="N92" s="6" t="n"/>
      <c r="O92" s="6" t="n"/>
      <c r="P92" s="7">
        <f>P82+P90</f>
        <v/>
      </c>
      <c r="Q92" s="7">
        <f>Q82+Q90</f>
        <v/>
      </c>
      <c r="R92" s="6" t="n"/>
      <c r="S92" s="6" t="n"/>
      <c r="T92" s="6" t="n"/>
      <c r="U92" s="6" t="n"/>
      <c r="V92" s="6" t="n"/>
      <c r="W92" s="6" t="n"/>
      <c r="X92" s="6" t="n"/>
      <c r="Y92" s="6" t="n"/>
      <c r="Z92" s="6" t="n"/>
      <c r="AA92" s="6" t="n"/>
      <c r="AB92" s="6" t="n"/>
      <c r="AC92" s="6" t="n"/>
      <c r="AD92" s="6" t="n"/>
      <c r="AE92" s="6" t="n"/>
      <c r="AF92" s="6" t="n"/>
      <c r="AG92" s="6" t="n"/>
      <c r="AH92" s="6" t="n"/>
      <c r="AI92" s="6" t="n"/>
      <c r="AJ92" s="6" t="n"/>
      <c r="AK92" s="6" t="n"/>
    </row>
    <row r="93">
      <c r="A93" s="6" t="n"/>
      <c r="B93" s="6" t="n"/>
      <c r="C93" s="6" t="n"/>
      <c r="D93" s="6" t="n"/>
      <c r="E93" s="6" t="n"/>
      <c r="F93" s="6" t="n"/>
      <c r="G93" s="6" t="n"/>
      <c r="H93" s="6" t="n"/>
      <c r="I93" s="6" t="n"/>
      <c r="J93" s="6" t="inlineStr">
        <is>
          <t>INVOICE TOTAL</t>
        </is>
      </c>
      <c r="K93" s="6" t="n"/>
      <c r="L93" s="6" t="n"/>
      <c r="M93" s="6" t="n"/>
      <c r="N93" s="6" t="n"/>
      <c r="O93" s="6" t="n"/>
      <c r="P93" s="7">
        <f>S80</f>
        <v/>
      </c>
      <c r="Q93" s="7" t="n"/>
      <c r="R93" s="6" t="n"/>
      <c r="S93" s="6" t="n"/>
      <c r="T93" s="6" t="n"/>
      <c r="U93" s="6" t="n"/>
      <c r="V93" s="6" t="n"/>
      <c r="W93" s="6" t="n"/>
      <c r="X93" s="6" t="n"/>
      <c r="Y93" s="6" t="n"/>
      <c r="Z93" s="6" t="n"/>
      <c r="AA93" s="6" t="n"/>
      <c r="AB93" s="6" t="n"/>
      <c r="AC93" s="6" t="n"/>
      <c r="AD93" s="6" t="n"/>
      <c r="AE93" s="6" t="n"/>
      <c r="AF93" s="6" t="n"/>
      <c r="AG93" s="6" t="n"/>
      <c r="AH93" s="6" t="n"/>
      <c r="AI93" s="6" t="n"/>
      <c r="AJ93" s="6" t="n"/>
      <c r="AK93" s="6" t="n"/>
    </row>
    <row r="94"/>
    <row r="95">
      <c r="A95" s="10" t="n"/>
      <c r="B95" s="10" t="n"/>
      <c r="C95" s="10" t="n"/>
      <c r="D95" s="10" t="n"/>
      <c r="E95" s="10" t="n"/>
      <c r="F95" s="10" t="n"/>
      <c r="G95" s="10" t="n"/>
      <c r="H95" s="10" t="n"/>
      <c r="I95" s="10" t="n"/>
      <c r="J95" s="10" t="inlineStr">
        <is>
          <t>VARIANCE CHECK</t>
        </is>
      </c>
      <c r="K95" s="10" t="n"/>
      <c r="L95" s="10" t="n"/>
      <c r="M95" s="10" t="n"/>
      <c r="N95" s="10" t="n"/>
      <c r="O95" s="10" t="n"/>
      <c r="P95" s="11">
        <f>S80-P92</f>
        <v/>
      </c>
      <c r="Q95" s="11">
        <f>S80-Q92</f>
        <v/>
      </c>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row>
    <row r="96"/>
    <row r="97">
      <c r="A97" s="12" t="n"/>
      <c r="B97" s="12" t="n"/>
      <c r="C97" s="12" t="n"/>
      <c r="D97" s="12" t="n"/>
      <c r="E97" s="12" t="n"/>
      <c r="F97" s="12" t="n"/>
      <c r="G97" s="12" t="n"/>
      <c r="H97" s="12" t="n"/>
      <c r="I97" s="12" t="n"/>
      <c r="J97" s="12" t="inlineStr">
        <is>
          <t>DUTY ESTIMATION (Classification Cross-Check)</t>
        </is>
      </c>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row>
    <row r="98">
      <c r="A98" s="13" t="n"/>
      <c r="B98" s="13" t="n"/>
      <c r="C98" s="13" t="n"/>
      <c r="D98" s="13" t="n"/>
      <c r="E98" s="13" t="n"/>
      <c r="F98" s="13" t="n"/>
      <c r="G98" s="13" t="n"/>
      <c r="H98" s="13" t="n"/>
      <c r="I98" s="13" t="n"/>
      <c r="J98" s="14" t="inlineStr">
        <is>
          <t>CIF (USD) = InvTotal + Freight + Insurance</t>
        </is>
      </c>
      <c r="K98" s="13" t="n"/>
      <c r="L98" s="13" t="n"/>
      <c r="M98" s="13" t="n"/>
      <c r="N98" s="13" t="n"/>
      <c r="O98" s="13" t="n"/>
      <c r="P98" s="15" t="n">
        <v>3.07</v>
      </c>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row>
    <row r="99">
      <c r="A99" s="13" t="n"/>
      <c r="B99" s="13" t="n"/>
      <c r="C99" s="13" t="n"/>
      <c r="D99" s="13" t="n"/>
      <c r="E99" s="13" t="n"/>
      <c r="F99" s="13" t="n"/>
      <c r="G99" s="13" t="n"/>
      <c r="H99" s="13" t="n"/>
      <c r="I99" s="13" t="n"/>
      <c r="J99" s="14" t="inlineStr">
        <is>
          <t>CIF (XCD) = CIF × 2.7169</t>
        </is>
      </c>
      <c r="K99" s="13" t="n"/>
      <c r="L99" s="13" t="n"/>
      <c r="M99" s="13" t="n"/>
      <c r="N99" s="13" t="n"/>
      <c r="O99" s="13" t="n"/>
      <c r="P99" s="15" t="n">
        <v>8.34</v>
      </c>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row>
    <row r="100">
      <c r="A100" s="13" t="n"/>
      <c r="B100" s="13" t="n"/>
      <c r="C100" s="13" t="n"/>
      <c r="D100" s="13" t="n"/>
      <c r="E100" s="13" t="n"/>
      <c r="F100" s="13" t="n"/>
      <c r="G100" s="13" t="n"/>
      <c r="H100" s="13" t="n"/>
      <c r="I100" s="13" t="n"/>
      <c r="J100" s="14" t="inlineStr">
        <is>
          <t>CET (20%) — Tariff 64029910</t>
        </is>
      </c>
      <c r="K100" s="13" t="n"/>
      <c r="L100" s="13" t="n"/>
      <c r="M100" s="13" t="n"/>
      <c r="N100" s="13" t="n"/>
      <c r="O100" s="13" t="n"/>
      <c r="P100" s="15" t="n">
        <v>1.67</v>
      </c>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row>
    <row r="101">
      <c r="A101" s="13" t="n"/>
      <c r="B101" s="13" t="n"/>
      <c r="C101" s="13" t="n"/>
      <c r="D101" s="13" t="n"/>
      <c r="E101" s="13" t="n"/>
      <c r="F101" s="13" t="n"/>
      <c r="G101" s="13" t="n"/>
      <c r="H101" s="13" t="n"/>
      <c r="I101" s="13" t="n"/>
      <c r="J101" s="14" t="inlineStr">
        <is>
          <t>CSC (6%)</t>
        </is>
      </c>
      <c r="K101" s="13" t="n"/>
      <c r="L101" s="13" t="n"/>
      <c r="M101" s="13" t="n"/>
      <c r="N101" s="13" t="n"/>
      <c r="O101" s="13" t="n"/>
      <c r="P101" s="15" t="n">
        <v>0.5</v>
      </c>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row>
    <row r="102">
      <c r="A102" s="13" t="n"/>
      <c r="B102" s="13" t="n"/>
      <c r="C102" s="13" t="n"/>
      <c r="D102" s="13" t="n"/>
      <c r="E102" s="13" t="n"/>
      <c r="F102" s="13" t="n"/>
      <c r="G102" s="13" t="n"/>
      <c r="H102" s="13" t="n"/>
      <c r="I102" s="13" t="n"/>
      <c r="J102" s="14" t="inlineStr">
        <is>
          <t>VAT (15%) on CIF+CET+CSC</t>
        </is>
      </c>
      <c r="K102" s="13" t="n"/>
      <c r="L102" s="13" t="n"/>
      <c r="M102" s="13" t="n"/>
      <c r="N102" s="13" t="n"/>
      <c r="O102" s="13" t="n"/>
      <c r="P102" s="15" t="n">
        <v>1.58</v>
      </c>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row>
    <row r="103">
      <c r="A103" s="16" t="n"/>
      <c r="B103" s="16" t="n"/>
      <c r="C103" s="16" t="n"/>
      <c r="D103" s="16" t="n"/>
      <c r="E103" s="16" t="n"/>
      <c r="F103" s="16" t="n"/>
      <c r="G103" s="16" t="n"/>
      <c r="H103" s="16" t="n"/>
      <c r="I103" s="16" t="n"/>
      <c r="J103" s="12" t="inlineStr">
        <is>
          <t>ESTIMATED TOTAL DUTIES</t>
        </is>
      </c>
      <c r="K103" s="16" t="n"/>
      <c r="L103" s="16" t="n"/>
      <c r="M103" s="16" t="n"/>
      <c r="N103" s="16" t="n"/>
      <c r="O103" s="16" t="n"/>
      <c r="P103" s="17" t="n">
        <v>3.75</v>
      </c>
      <c r="Q103" s="16" t="n"/>
      <c r="R103" s="16" t="n"/>
      <c r="S103" s="16" t="n"/>
      <c r="T103" s="16" t="n"/>
      <c r="U103" s="16" t="n"/>
      <c r="V103" s="16" t="n"/>
      <c r="W103" s="16" t="n"/>
      <c r="X103" s="16" t="n"/>
      <c r="Y103" s="16" t="n"/>
      <c r="Z103" s="16" t="n"/>
      <c r="AA103" s="16" t="n"/>
      <c r="AB103" s="16" t="n"/>
      <c r="AC103" s="16" t="n"/>
      <c r="AD103" s="16" t="n"/>
      <c r="AE103" s="16" t="n"/>
      <c r="AF103" s="16" t="n"/>
      <c r="AG103" s="16" t="n"/>
      <c r="AH103" s="16" t="n"/>
      <c r="AI103" s="16" t="n"/>
      <c r="AJ103" s="16" t="n"/>
      <c r="AK103" s="16" t="n"/>
    </row>
    <row r="104">
      <c r="A104" s="13" t="n"/>
      <c r="B104" s="13" t="n"/>
      <c r="C104" s="13" t="n"/>
      <c r="D104" s="13" t="n"/>
      <c r="E104" s="13" t="n"/>
      <c r="F104" s="13" t="n"/>
      <c r="G104" s="13" t="n"/>
      <c r="H104" s="13" t="n"/>
      <c r="I104" s="13" t="n"/>
      <c r="J104" s="14" t="inlineStr">
        <is>
          <t>Effective Duty Rate</t>
        </is>
      </c>
      <c r="K104" s="13" t="n"/>
      <c r="L104" s="13" t="n"/>
      <c r="M104" s="13" t="n"/>
      <c r="N104" s="13" t="n"/>
      <c r="O104" s="13" t="n"/>
      <c r="P104" s="18" t="n">
        <v>0.4496402877697842</v>
      </c>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row>
    <row r="105">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c r="AD105" s="19" t="n"/>
      <c r="AE105" s="19" t="n"/>
      <c r="AF105" s="19" t="n"/>
      <c r="AG105" s="19" t="n"/>
      <c r="AH105" s="19" t="n"/>
      <c r="AI105" s="19" t="n"/>
      <c r="AJ105" s="19" t="n"/>
      <c r="AK105" s="19" t="n"/>
    </row>
    <row r="106">
      <c r="A106" s="2" t="inlineStr">
        <is>
          <t>4000-000</t>
        </is>
      </c>
      <c r="B106" s="2" t="n"/>
      <c r="C106" s="2" t="inlineStr">
        <is>
          <t>INVUS20240717002011537</t>
        </is>
      </c>
      <c r="D106" s="2" t="n"/>
      <c r="E106" s="2" t="inlineStr">
        <is>
          <t>SIGNALING INSTRUMENTS</t>
        </is>
      </c>
      <c r="F106" s="2" t="inlineStr">
        <is>
          <t>92089000</t>
        </is>
      </c>
      <c r="G106" s="2" t="n"/>
      <c r="H106" s="2" t="n"/>
      <c r="I106" s="2" t="inlineStr">
        <is>
          <t>92089000</t>
        </is>
      </c>
      <c r="J106" s="2" t="inlineStr">
        <is>
          <t>Ba Rane ee Re nena Se Se pare eater ar ties areal Brgy apaeeatn te pm SHEIN Baby Girl Letter Graphic Cami Top Mesh Overlay Skort (1 items)</t>
        </is>
      </c>
      <c r="K106" s="2" t="n">
        <v>1</v>
      </c>
      <c r="L106" s="2" t="n"/>
      <c r="M106" s="2" t="n"/>
      <c r="N106" s="2" t="inlineStr">
        <is>
          <t>USD</t>
        </is>
      </c>
      <c r="O106" s="3" t="n">
        <v>3.68</v>
      </c>
      <c r="P106" s="3" t="n">
        <v>3.68</v>
      </c>
      <c r="Q106" s="3">
        <f>O106*K106</f>
        <v/>
      </c>
      <c r="R106" s="3">
        <f>P106-Q106</f>
        <v/>
      </c>
      <c r="S106" s="3" t="n">
        <v>13.2</v>
      </c>
      <c r="T106" s="3" t="n">
        <v>0</v>
      </c>
      <c r="U106" s="3" t="n">
        <v>0</v>
      </c>
      <c r="V106" s="3" t="n">
        <v>0</v>
      </c>
      <c r="W106" s="3" t="n">
        <v>0</v>
      </c>
      <c r="X106" s="2" t="n">
        <v>1</v>
      </c>
      <c r="Y106" s="2" t="n"/>
      <c r="Z106" s="2" t="inlineStr">
        <is>
          <t>SHEIN</t>
        </is>
      </c>
      <c r="AA106" s="2" t="inlineStr">
        <is>
          <t>SHEIN US Services, LLC</t>
        </is>
      </c>
      <c r="AB106" s="2" t="inlineStr">
        <is>
          <t>777 S. Alameda St., Second Floor, Los Angeles, CA 90021</t>
        </is>
      </c>
      <c r="AC106" s="2" t="inlineStr">
        <is>
          <t>US</t>
        </is>
      </c>
      <c r="AD106" s="2" t="n"/>
      <c r="AE106" s="2" t="n"/>
      <c r="AF106" s="2" t="n"/>
      <c r="AG106" s="2" t="n"/>
      <c r="AH106" s="2" t="n"/>
      <c r="AI106" s="2" t="n"/>
      <c r="AJ106" s="2" t="n"/>
      <c r="AK106" s="2" t="inlineStr">
        <is>
          <t>92089000</t>
        </is>
      </c>
    </row>
    <row r="107">
      <c r="A107" s="4" t="n"/>
      <c r="B107" s="4" t="n"/>
      <c r="C107" s="4" t="n"/>
      <c r="D107" s="4" t="n"/>
      <c r="E107" s="4" t="n"/>
      <c r="F107" s="4" t="inlineStr">
        <is>
          <t>92089000</t>
        </is>
      </c>
      <c r="G107" s="4" t="n"/>
      <c r="H107" s="4" t="n"/>
      <c r="I107" s="4" t="inlineStr">
        <is>
          <t>SHEIN-1</t>
        </is>
      </c>
      <c r="J107" s="4" t="inlineStr">
        <is>
          <t>Ba Rane ee Re nena Se Se pare eater ar ties areal Brgy apaeeatn te pm SHEIN Baby Girl Letter Graphic Cami Top Mesh Overlay Skort</t>
        </is>
      </c>
      <c r="K107" s="4" t="n">
        <v>1</v>
      </c>
      <c r="L107" s="4" t="n"/>
      <c r="M107" s="4" t="n"/>
      <c r="N107" s="4" t="inlineStr">
        <is>
          <t>USD</t>
        </is>
      </c>
      <c r="O107" s="5" t="n">
        <v>3.68</v>
      </c>
      <c r="P107" s="5" t="n">
        <v>3.68</v>
      </c>
      <c r="Q107" s="5">
        <f>O107*K107</f>
        <v/>
      </c>
      <c r="R107" s="5">
        <f>P107-Q107</f>
        <v/>
      </c>
      <c r="S107" s="4" t="n"/>
      <c r="T107" s="4" t="n"/>
      <c r="U107" s="4" t="n"/>
      <c r="V107" s="4" t="n"/>
      <c r="W107" s="4" t="n"/>
      <c r="X107" s="4" t="n"/>
      <c r="Y107" s="4" t="n"/>
      <c r="Z107" s="4" t="n"/>
      <c r="AA107" s="4" t="n"/>
      <c r="AB107" s="4" t="n"/>
      <c r="AC107" s="4" t="n"/>
      <c r="AD107" s="4" t="n"/>
      <c r="AE107" s="4" t="n"/>
      <c r="AF107" s="4" t="n"/>
      <c r="AG107" s="4" t="n"/>
      <c r="AH107" s="4" t="n"/>
      <c r="AI107" s="4" t="n"/>
      <c r="AJ107" s="4" t="n"/>
      <c r="AK107" s="4" t="n"/>
    </row>
    <row r="108">
      <c r="A108" s="2" t="n"/>
      <c r="B108" s="2" t="n"/>
      <c r="C108" s="2" t="inlineStr">
        <is>
          <t>INVUS20240717002011537</t>
        </is>
      </c>
      <c r="D108" s="2" t="n"/>
      <c r="E108" s="2" t="inlineStr">
        <is>
          <t>Ski suits</t>
        </is>
      </c>
      <c r="F108" s="2" t="inlineStr">
        <is>
          <t>62112000</t>
        </is>
      </c>
      <c r="G108" s="2" t="n"/>
      <c r="H108" s="2" t="n"/>
      <c r="I108" s="2" t="inlineStr">
        <is>
          <t>62112000</t>
        </is>
      </c>
      <c r="J108" s="2" t="inlineStr">
        <is>
          <t>Baby Girl Holiday Casual Cute Raw Hem Ruffle Heart Shaped Strap Elastic Comfort Top Elastic Waist (1 items)</t>
        </is>
      </c>
      <c r="K108" s="2" t="n">
        <v>2</v>
      </c>
      <c r="L108" s="2" t="n"/>
      <c r="M108" s="2" t="n"/>
      <c r="N108" s="2" t="inlineStr">
        <is>
          <t>USD</t>
        </is>
      </c>
      <c r="O108" s="3" t="n">
        <v>4.76</v>
      </c>
      <c r="P108" s="3" t="n">
        <v>9.52</v>
      </c>
      <c r="Q108" s="3">
        <f>O108*K108</f>
        <v/>
      </c>
      <c r="R108" s="3">
        <f>P108-Q108</f>
        <v/>
      </c>
      <c r="S108" s="3" t="n"/>
      <c r="T108" s="3" t="n"/>
      <c r="U108" s="3" t="n"/>
      <c r="V108" s="3" t="n"/>
      <c r="W108" s="3" t="n"/>
      <c r="X108" s="2" t="n"/>
      <c r="Y108" s="2" t="n"/>
      <c r="Z108" s="2" t="n"/>
      <c r="AA108" s="2" t="n"/>
      <c r="AB108" s="2" t="n"/>
      <c r="AC108" s="2" t="n"/>
      <c r="AD108" s="2" t="n"/>
      <c r="AE108" s="2" t="n"/>
      <c r="AF108" s="2" t="n"/>
      <c r="AG108" s="2" t="n"/>
      <c r="AH108" s="2" t="n"/>
      <c r="AI108" s="2" t="n"/>
      <c r="AJ108" s="2" t="n"/>
      <c r="AK108" s="2" t="inlineStr">
        <is>
          <t>62112000</t>
        </is>
      </c>
    </row>
    <row r="109">
      <c r="A109" s="4" t="n"/>
      <c r="B109" s="4" t="n"/>
      <c r="C109" s="4" t="n"/>
      <c r="D109" s="4" t="n"/>
      <c r="E109" s="4" t="n"/>
      <c r="F109" s="4" t="inlineStr">
        <is>
          <t>62112000</t>
        </is>
      </c>
      <c r="G109" s="4" t="n"/>
      <c r="H109" s="4" t="n"/>
      <c r="I109" s="4" t="inlineStr">
        <is>
          <t>SHEIN-2</t>
        </is>
      </c>
      <c r="J109" s="4" t="inlineStr">
        <is>
          <t>Baby Girl Holiday Casual Cute Raw Hem Ruffle Heart Shaped Strap Elastic Comfort Top Elastic Waist</t>
        </is>
      </c>
      <c r="K109" s="4" t="n">
        <v>2</v>
      </c>
      <c r="L109" s="4" t="n"/>
      <c r="M109" s="4" t="n"/>
      <c r="N109" s="4" t="inlineStr">
        <is>
          <t>USD</t>
        </is>
      </c>
      <c r="O109" s="5" t="n">
        <v>4.76</v>
      </c>
      <c r="P109" s="5" t="n">
        <v>9.52</v>
      </c>
      <c r="Q109" s="5">
        <f>O109*K109</f>
        <v/>
      </c>
      <c r="R109" s="5">
        <f>P109-Q109</f>
        <v/>
      </c>
      <c r="S109" s="4" t="n"/>
      <c r="T109" s="4" t="n"/>
      <c r="U109" s="4" t="n"/>
      <c r="V109" s="4" t="n"/>
      <c r="W109" s="4" t="n"/>
      <c r="X109" s="4" t="n"/>
      <c r="Y109" s="4" t="n"/>
      <c r="Z109" s="4" t="n"/>
      <c r="AA109" s="4" t="n"/>
      <c r="AB109" s="4" t="n"/>
      <c r="AC109" s="4" t="n"/>
      <c r="AD109" s="4" t="n"/>
      <c r="AE109" s="4" t="n"/>
      <c r="AF109" s="4" t="n"/>
      <c r="AG109" s="4" t="n"/>
      <c r="AH109" s="4" t="n"/>
      <c r="AI109" s="4" t="n"/>
      <c r="AJ109" s="4" t="n"/>
      <c r="AK109" s="4" t="n"/>
    </row>
    <row r="110">
      <c r="A110" s="6" t="n"/>
      <c r="B110" s="6" t="n"/>
      <c r="C110" s="6" t="n"/>
      <c r="D110" s="6" t="n"/>
      <c r="E110" s="6" t="n"/>
      <c r="F110" s="6" t="n"/>
      <c r="G110" s="6" t="n"/>
      <c r="H110" s="6" t="n"/>
      <c r="I110" s="6" t="n"/>
      <c r="J110" s="6" t="inlineStr">
        <is>
          <t>SUBTOTAL (GROUPED)</t>
        </is>
      </c>
      <c r="K110" s="6" t="n"/>
      <c r="L110" s="6" t="n"/>
      <c r="M110" s="6" t="n"/>
      <c r="N110" s="6" t="n"/>
      <c r="O110" s="6" t="n"/>
      <c r="P110" s="7">
        <f>P106+P108</f>
        <v/>
      </c>
      <c r="Q110" s="7">
        <f>Q106+Q108</f>
        <v/>
      </c>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row>
    <row r="111">
      <c r="A111" s="6" t="n"/>
      <c r="B111" s="6" t="n"/>
      <c r="C111" s="6" t="n"/>
      <c r="D111" s="6" t="n"/>
      <c r="E111" s="6" t="n"/>
      <c r="F111" s="6" t="n"/>
      <c r="G111" s="6" t="n"/>
      <c r="H111" s="6" t="n"/>
      <c r="I111" s="6" t="n"/>
      <c r="J111" s="6" t="inlineStr">
        <is>
          <t>SUBTOTAL (DETAILS)</t>
        </is>
      </c>
      <c r="K111" s="6" t="n"/>
      <c r="L111" s="6" t="n"/>
      <c r="M111" s="6" t="n"/>
      <c r="N111" s="6" t="n"/>
      <c r="O111" s="6" t="n"/>
      <c r="P111" s="7">
        <f>SUM(P106:P109)-P110</f>
        <v/>
      </c>
      <c r="Q111" s="7">
        <f>SUM(Q106:Q109)-Q110</f>
        <v/>
      </c>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row>
    <row r="112">
      <c r="A112" s="8" t="n"/>
      <c r="B112" s="8" t="n"/>
      <c r="C112" s="8" t="n"/>
      <c r="D112" s="8" t="n"/>
      <c r="E112" s="8" t="n"/>
      <c r="F112" s="8" t="n"/>
      <c r="G112" s="8" t="n"/>
      <c r="H112" s="8" t="n"/>
      <c r="I112" s="8" t="n"/>
      <c r="J112" s="8" t="inlineStr">
        <is>
          <t>GROUP VERIFICATION</t>
        </is>
      </c>
      <c r="K112" s="8" t="n"/>
      <c r="L112" s="8" t="n"/>
      <c r="M112" s="8" t="n"/>
      <c r="N112" s="8" t="n"/>
      <c r="O112" s="8" t="n"/>
      <c r="P112" s="9">
        <f>P110-P111</f>
        <v/>
      </c>
      <c r="Q112" s="9">
        <f>Q110-Q111</f>
        <v/>
      </c>
      <c r="R112" s="8" t="n"/>
      <c r="S112" s="8" t="n"/>
      <c r="T112" s="8" t="n"/>
      <c r="U112" s="8" t="n"/>
      <c r="V112" s="8" t="n"/>
      <c r="W112" s="8" t="n"/>
      <c r="X112" s="8" t="n"/>
      <c r="Y112" s="8" t="n"/>
      <c r="Z112" s="8" t="n"/>
      <c r="AA112" s="8" t="n"/>
      <c r="AB112" s="8" t="n"/>
      <c r="AC112" s="8" t="n"/>
      <c r="AD112" s="8" t="n"/>
      <c r="AE112" s="8" t="n"/>
      <c r="AF112" s="8" t="n"/>
      <c r="AG112" s="8" t="n"/>
      <c r="AH112" s="8" t="n"/>
      <c r="AI112" s="8" t="n"/>
      <c r="AJ112" s="8" t="n"/>
      <c r="AK112" s="8" t="n"/>
    </row>
    <row r="113"/>
    <row r="114">
      <c r="A114" s="6" t="n"/>
      <c r="B114" s="6" t="n"/>
      <c r="C114" s="6" t="n"/>
      <c r="D114" s="6" t="n"/>
      <c r="E114" s="6" t="n"/>
      <c r="F114" s="6" t="n"/>
      <c r="G114" s="6" t="n"/>
      <c r="H114" s="6" t="n"/>
      <c r="I114" s="6" t="n"/>
      <c r="J114" s="6" t="inlineStr">
        <is>
          <t>TOTAL INTERNAL FREIGHT</t>
        </is>
      </c>
      <c r="K114" s="6" t="n"/>
      <c r="L114" s="6" t="n"/>
      <c r="M114" s="6" t="n"/>
      <c r="N114" s="6" t="n"/>
      <c r="O114" s="6" t="n"/>
      <c r="P114" s="7" t="n">
        <v>0</v>
      </c>
      <c r="Q114" s="7"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row>
    <row r="115">
      <c r="A115" s="6" t="n"/>
      <c r="B115" s="6" t="n"/>
      <c r="C115" s="6" t="n"/>
      <c r="D115" s="6" t="n"/>
      <c r="E115" s="6" t="n"/>
      <c r="F115" s="6" t="n"/>
      <c r="G115" s="6" t="n"/>
      <c r="H115" s="6" t="n"/>
      <c r="I115" s="6" t="n"/>
      <c r="J115" s="6" t="inlineStr">
        <is>
          <t>TOTAL INSURANCE</t>
        </is>
      </c>
      <c r="K115" s="6" t="n"/>
      <c r="L115" s="6" t="n"/>
      <c r="M115" s="6" t="n"/>
      <c r="N115" s="6" t="n"/>
      <c r="O115" s="6" t="n"/>
      <c r="P115" s="7" t="n">
        <v>0</v>
      </c>
      <c r="Q115" s="7"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row>
    <row r="116">
      <c r="A116" s="6" t="n"/>
      <c r="B116" s="6" t="n"/>
      <c r="C116" s="6" t="n"/>
      <c r="D116" s="6" t="n"/>
      <c r="E116" s="6" t="n"/>
      <c r="F116" s="6" t="n"/>
      <c r="G116" s="6" t="n"/>
      <c r="H116" s="6" t="n"/>
      <c r="I116" s="6" t="n"/>
      <c r="J116" s="6" t="inlineStr">
        <is>
          <t>TOTAL OTHER COST</t>
        </is>
      </c>
      <c r="K116" s="6" t="n"/>
      <c r="L116" s="6" t="n"/>
      <c r="M116" s="6" t="n"/>
      <c r="N116" s="6" t="n"/>
      <c r="O116" s="6" t="n"/>
      <c r="P116" s="7" t="n">
        <v>0</v>
      </c>
      <c r="Q116" s="7"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row>
    <row r="117">
      <c r="A117" s="6" t="n"/>
      <c r="B117" s="6" t="n"/>
      <c r="C117" s="6" t="n"/>
      <c r="D117" s="6" t="n"/>
      <c r="E117" s="6" t="n"/>
      <c r="F117" s="6" t="n"/>
      <c r="G117" s="6" t="n"/>
      <c r="H117" s="6" t="n"/>
      <c r="I117" s="6" t="n"/>
      <c r="J117" s="6" t="inlineStr">
        <is>
          <t>TOTAL DEDUCTION</t>
        </is>
      </c>
      <c r="K117" s="6" t="n"/>
      <c r="L117" s="6" t="n"/>
      <c r="M117" s="6" t="n"/>
      <c r="N117" s="6" t="n"/>
      <c r="O117" s="6" t="n"/>
      <c r="P117" s="7" t="n">
        <v>0</v>
      </c>
      <c r="Q117" s="7"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row>
    <row r="118">
      <c r="A118" s="6" t="n"/>
      <c r="B118" s="6" t="n"/>
      <c r="C118" s="6" t="n"/>
      <c r="D118" s="6" t="n"/>
      <c r="E118" s="6" t="n"/>
      <c r="F118" s="6" t="n"/>
      <c r="G118" s="6" t="n"/>
      <c r="H118" s="6" t="n"/>
      <c r="I118" s="6" t="n"/>
      <c r="J118" s="6" t="inlineStr">
        <is>
          <t>ADJUSTMENTS</t>
        </is>
      </c>
      <c r="K118" s="6" t="n"/>
      <c r="L118" s="6" t="n"/>
      <c r="M118" s="6" t="n"/>
      <c r="N118" s="6" t="n"/>
      <c r="O118" s="6" t="n"/>
      <c r="P118" s="7">
        <f>(T106+U106+V106-W106)</f>
        <v/>
      </c>
      <c r="Q118" s="7">
        <f>(T106+U106+V106-W106)</f>
        <v/>
      </c>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row>
    <row r="119"/>
    <row r="120">
      <c r="A120" s="6" t="n"/>
      <c r="B120" s="6" t="n"/>
      <c r="C120" s="6" t="n"/>
      <c r="D120" s="6" t="n"/>
      <c r="E120" s="6" t="n"/>
      <c r="F120" s="6" t="n"/>
      <c r="G120" s="6" t="n"/>
      <c r="H120" s="6" t="n"/>
      <c r="I120" s="6" t="n"/>
      <c r="J120" s="6" t="inlineStr">
        <is>
          <t>NET TOTAL</t>
        </is>
      </c>
      <c r="K120" s="6" t="n"/>
      <c r="L120" s="6" t="n"/>
      <c r="M120" s="6" t="n"/>
      <c r="N120" s="6" t="n"/>
      <c r="O120" s="6" t="n"/>
      <c r="P120" s="7">
        <f>P110+P118</f>
        <v/>
      </c>
      <c r="Q120" s="7">
        <f>Q110+Q118</f>
        <v/>
      </c>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row>
    <row r="121">
      <c r="A121" s="6" t="n"/>
      <c r="B121" s="6" t="n"/>
      <c r="C121" s="6" t="n"/>
      <c r="D121" s="6" t="n"/>
      <c r="E121" s="6" t="n"/>
      <c r="F121" s="6" t="n"/>
      <c r="G121" s="6" t="n"/>
      <c r="H121" s="6" t="n"/>
      <c r="I121" s="6" t="n"/>
      <c r="J121" s="6" t="inlineStr">
        <is>
          <t>INVOICE TOTAL</t>
        </is>
      </c>
      <c r="K121" s="6" t="n"/>
      <c r="L121" s="6" t="n"/>
      <c r="M121" s="6" t="n"/>
      <c r="N121" s="6" t="n"/>
      <c r="O121" s="6" t="n"/>
      <c r="P121" s="7">
        <f>S106</f>
        <v/>
      </c>
      <c r="Q121" s="7"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row>
    <row r="122"/>
    <row r="123">
      <c r="A123" s="10" t="n"/>
      <c r="B123" s="10" t="n"/>
      <c r="C123" s="10" t="n"/>
      <c r="D123" s="10" t="n"/>
      <c r="E123" s="10" t="n"/>
      <c r="F123" s="10" t="n"/>
      <c r="G123" s="10" t="n"/>
      <c r="H123" s="10" t="n"/>
      <c r="I123" s="10" t="n"/>
      <c r="J123" s="10" t="inlineStr">
        <is>
          <t>VARIANCE CHECK</t>
        </is>
      </c>
      <c r="K123" s="10" t="n"/>
      <c r="L123" s="10" t="n"/>
      <c r="M123" s="10" t="n"/>
      <c r="N123" s="10" t="n"/>
      <c r="O123" s="10" t="n"/>
      <c r="P123" s="11">
        <f>S106-P120</f>
        <v/>
      </c>
      <c r="Q123" s="11">
        <f>S106-Q120</f>
        <v/>
      </c>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row>
    <row r="124"/>
    <row r="125">
      <c r="A125" s="20" t="n"/>
      <c r="B125" s="20" t="n"/>
      <c r="C125" s="20" t="n"/>
      <c r="D125" s="20" t="n"/>
      <c r="E125" s="20" t="n"/>
      <c r="F125" s="20" t="n"/>
      <c r="G125" s="20" t="n"/>
      <c r="H125" s="20" t="n"/>
      <c r="I125" s="20" t="n"/>
      <c r="J125" s="21" t="inlineStr">
        <is>
          <t>INVOICE NOTES: Invoice total uncertain</t>
        </is>
      </c>
      <c r="K125" s="20" t="n"/>
      <c r="L125" s="20" t="n"/>
      <c r="M125" s="20" t="n"/>
      <c r="N125" s="20" t="n"/>
      <c r="O125" s="20" t="n"/>
      <c r="P125" s="20" t="n"/>
      <c r="Q125" s="20" t="n"/>
      <c r="R125" s="20" t="n"/>
      <c r="S125" s="20" t="n"/>
      <c r="T125" s="20" t="n"/>
      <c r="U125" s="20" t="n"/>
      <c r="V125" s="20" t="n"/>
      <c r="W125" s="20" t="n"/>
      <c r="X125" s="20" t="n"/>
      <c r="Y125" s="20" t="n"/>
      <c r="Z125" s="20" t="n"/>
      <c r="AA125" s="20" t="n"/>
      <c r="AB125" s="20" t="n"/>
      <c r="AC125" s="20" t="n"/>
      <c r="AD125" s="20" t="n"/>
      <c r="AE125" s="20" t="n"/>
      <c r="AF125" s="20" t="n"/>
      <c r="AG125" s="20" t="n"/>
      <c r="AH125" s="20" t="n"/>
      <c r="AI125" s="20" t="n"/>
      <c r="AJ125" s="20" t="n"/>
      <c r="AK125" s="20" t="n"/>
    </row>
    <row r="126"/>
    <row r="127">
      <c r="A127" s="12" t="n"/>
      <c r="B127" s="12" t="n"/>
      <c r="C127" s="12" t="n"/>
      <c r="D127" s="12" t="n"/>
      <c r="E127" s="12" t="n"/>
      <c r="F127" s="12" t="n"/>
      <c r="G127" s="12" t="n"/>
      <c r="H127" s="12" t="n"/>
      <c r="I127" s="12" t="n"/>
      <c r="J127" s="12" t="inlineStr">
        <is>
          <t>DUTY ESTIMATION (Classification Cross-Check)</t>
        </is>
      </c>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row>
    <row r="128">
      <c r="A128" s="13" t="n"/>
      <c r="B128" s="13" t="n"/>
      <c r="C128" s="13" t="n"/>
      <c r="D128" s="13" t="n"/>
      <c r="E128" s="13" t="n"/>
      <c r="F128" s="13" t="n"/>
      <c r="G128" s="13" t="n"/>
      <c r="H128" s="13" t="n"/>
      <c r="I128" s="13" t="n"/>
      <c r="J128" s="14" t="inlineStr">
        <is>
          <t>CIF (USD) = InvTotal + Freight + Insurance</t>
        </is>
      </c>
      <c r="K128" s="13" t="n"/>
      <c r="L128" s="13" t="n"/>
      <c r="M128" s="13" t="n"/>
      <c r="N128" s="13" t="n"/>
      <c r="O128" s="13" t="n"/>
      <c r="P128" s="15" t="n">
        <v>13.2</v>
      </c>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row>
    <row r="129">
      <c r="A129" s="13" t="n"/>
      <c r="B129" s="13" t="n"/>
      <c r="C129" s="13" t="n"/>
      <c r="D129" s="13" t="n"/>
      <c r="E129" s="13" t="n"/>
      <c r="F129" s="13" t="n"/>
      <c r="G129" s="13" t="n"/>
      <c r="H129" s="13" t="n"/>
      <c r="I129" s="13" t="n"/>
      <c r="J129" s="14" t="inlineStr">
        <is>
          <t>CIF (XCD) = CIF × 2.7169</t>
        </is>
      </c>
      <c r="K129" s="13" t="n"/>
      <c r="L129" s="13" t="n"/>
      <c r="M129" s="13" t="n"/>
      <c r="N129" s="13" t="n"/>
      <c r="O129" s="13" t="n"/>
      <c r="P129" s="15" t="n">
        <v>35.86</v>
      </c>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row>
    <row r="130">
      <c r="A130" s="13" t="n"/>
      <c r="B130" s="13" t="n"/>
      <c r="C130" s="13" t="n"/>
      <c r="D130" s="13" t="n"/>
      <c r="E130" s="13" t="n"/>
      <c r="F130" s="13" t="n"/>
      <c r="G130" s="13" t="n"/>
      <c r="H130" s="13" t="n"/>
      <c r="I130" s="13" t="n"/>
      <c r="J130" s="14" t="inlineStr">
        <is>
          <t>CET (weighted avg 20.0%)</t>
        </is>
      </c>
      <c r="K130" s="13" t="n"/>
      <c r="L130" s="13" t="n"/>
      <c r="M130" s="13" t="n"/>
      <c r="N130" s="13" t="n"/>
      <c r="O130" s="13" t="n"/>
      <c r="P130" s="15" t="n">
        <v>7.17</v>
      </c>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row>
    <row r="131">
      <c r="A131" s="13" t="n"/>
      <c r="B131" s="13" t="n"/>
      <c r="C131" s="13" t="n"/>
      <c r="D131" s="13" t="n"/>
      <c r="E131" s="13" t="n"/>
      <c r="F131" s="13" t="n"/>
      <c r="G131" s="13" t="n"/>
      <c r="H131" s="13" t="n"/>
      <c r="I131" s="13" t="n"/>
      <c r="J131" s="14" t="inlineStr">
        <is>
          <t xml:space="preserve">  └ 62112000: 20% CET (72% of value)</t>
        </is>
      </c>
      <c r="K131" s="13" t="n"/>
      <c r="L131" s="13" t="n"/>
      <c r="M131" s="13" t="n"/>
      <c r="N131" s="13" t="n"/>
      <c r="O131" s="13" t="n"/>
      <c r="P131" s="15" t="n">
        <v>5.17</v>
      </c>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row>
    <row r="132">
      <c r="A132" s="13" t="n"/>
      <c r="B132" s="13" t="n"/>
      <c r="C132" s="13" t="n"/>
      <c r="D132" s="13" t="n"/>
      <c r="E132" s="13" t="n"/>
      <c r="F132" s="13" t="n"/>
      <c r="G132" s="13" t="n"/>
      <c r="H132" s="13" t="n"/>
      <c r="I132" s="13" t="n"/>
      <c r="J132" s="14" t="inlineStr">
        <is>
          <t xml:space="preserve">  └ 92089000: 20% CET (28% of value)</t>
        </is>
      </c>
      <c r="K132" s="13" t="n"/>
      <c r="L132" s="13" t="n"/>
      <c r="M132" s="13" t="n"/>
      <c r="N132" s="13" t="n"/>
      <c r="O132" s="13" t="n"/>
      <c r="P132" s="15" t="n">
        <v>2</v>
      </c>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row>
    <row r="133">
      <c r="A133" s="13" t="n"/>
      <c r="B133" s="13" t="n"/>
      <c r="C133" s="13" t="n"/>
      <c r="D133" s="13" t="n"/>
      <c r="E133" s="13" t="n"/>
      <c r="F133" s="13" t="n"/>
      <c r="G133" s="13" t="n"/>
      <c r="H133" s="13" t="n"/>
      <c r="I133" s="13" t="n"/>
      <c r="J133" s="14" t="inlineStr">
        <is>
          <t>CSC (6%)</t>
        </is>
      </c>
      <c r="K133" s="13" t="n"/>
      <c r="L133" s="13" t="n"/>
      <c r="M133" s="13" t="n"/>
      <c r="N133" s="13" t="n"/>
      <c r="O133" s="13" t="n"/>
      <c r="P133" s="15" t="n">
        <v>2.15</v>
      </c>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row>
    <row r="134">
      <c r="A134" s="13" t="n"/>
      <c r="B134" s="13" t="n"/>
      <c r="C134" s="13" t="n"/>
      <c r="D134" s="13" t="n"/>
      <c r="E134" s="13" t="n"/>
      <c r="F134" s="13" t="n"/>
      <c r="G134" s="13" t="n"/>
      <c r="H134" s="13" t="n"/>
      <c r="I134" s="13" t="n"/>
      <c r="J134" s="14" t="inlineStr">
        <is>
          <t>VAT (15%) on CIF+CET+CSC</t>
        </is>
      </c>
      <c r="K134" s="13" t="n"/>
      <c r="L134" s="13" t="n"/>
      <c r="M134" s="13" t="n"/>
      <c r="N134" s="13" t="n"/>
      <c r="O134" s="13" t="n"/>
      <c r="P134" s="15" t="n">
        <v>6.78</v>
      </c>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row>
    <row r="135">
      <c r="A135" s="16" t="n"/>
      <c r="B135" s="16" t="n"/>
      <c r="C135" s="16" t="n"/>
      <c r="D135" s="16" t="n"/>
      <c r="E135" s="16" t="n"/>
      <c r="F135" s="16" t="n"/>
      <c r="G135" s="16" t="n"/>
      <c r="H135" s="16" t="n"/>
      <c r="I135" s="16" t="n"/>
      <c r="J135" s="12" t="inlineStr">
        <is>
          <t>ESTIMATED TOTAL DUTIES</t>
        </is>
      </c>
      <c r="K135" s="16" t="n"/>
      <c r="L135" s="16" t="n"/>
      <c r="M135" s="16" t="n"/>
      <c r="N135" s="16" t="n"/>
      <c r="O135" s="16" t="n"/>
      <c r="P135" s="17" t="n">
        <v>16.1</v>
      </c>
      <c r="Q135" s="16" t="n"/>
      <c r="R135" s="16" t="n"/>
      <c r="S135" s="16" t="n"/>
      <c r="T135" s="16" t="n"/>
      <c r="U135" s="16" t="n"/>
      <c r="V135" s="16" t="n"/>
      <c r="W135" s="16" t="n"/>
      <c r="X135" s="16" t="n"/>
      <c r="Y135" s="16" t="n"/>
      <c r="Z135" s="16" t="n"/>
      <c r="AA135" s="16" t="n"/>
      <c r="AB135" s="16" t="n"/>
      <c r="AC135" s="16" t="n"/>
      <c r="AD135" s="16" t="n"/>
      <c r="AE135" s="16" t="n"/>
      <c r="AF135" s="16" t="n"/>
      <c r="AG135" s="16" t="n"/>
      <c r="AH135" s="16" t="n"/>
      <c r="AI135" s="16" t="n"/>
      <c r="AJ135" s="16" t="n"/>
      <c r="AK135" s="16" t="n"/>
    </row>
    <row r="136">
      <c r="A136" s="13" t="n"/>
      <c r="B136" s="13" t="n"/>
      <c r="C136" s="13" t="n"/>
      <c r="D136" s="13" t="n"/>
      <c r="E136" s="13" t="n"/>
      <c r="F136" s="13" t="n"/>
      <c r="G136" s="13" t="n"/>
      <c r="H136" s="13" t="n"/>
      <c r="I136" s="13" t="n"/>
      <c r="J136" s="14" t="inlineStr">
        <is>
          <t>Effective Duty Rate</t>
        </is>
      </c>
      <c r="K136" s="13" t="n"/>
      <c r="L136" s="13" t="n"/>
      <c r="M136" s="13" t="n"/>
      <c r="N136" s="13" t="n"/>
      <c r="O136" s="13" t="n"/>
      <c r="P136" s="18" t="n">
        <v>0.4489682097044061</v>
      </c>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c r="AC137" s="19" t="n"/>
      <c r="AD137" s="19" t="n"/>
      <c r="AE137" s="19" t="n"/>
      <c r="AF137" s="19" t="n"/>
      <c r="AG137" s="19" t="n"/>
      <c r="AH137" s="19" t="n"/>
      <c r="AI137" s="19" t="n"/>
      <c r="AJ137" s="19" t="n"/>
      <c r="AK137" s="19" t="n"/>
    </row>
    <row r="138">
      <c r="A138" s="2" t="inlineStr">
        <is>
          <t>4000-000</t>
        </is>
      </c>
      <c r="B138" s="2" t="n"/>
      <c r="C138" s="2" t="inlineStr">
        <is>
          <t>INVUS20240717002018383</t>
        </is>
      </c>
      <c r="D138" s="2" t="inlineStr">
        <is>
          <t>2024-07-17</t>
        </is>
      </c>
      <c r="E138" s="2" t="inlineStr">
        <is>
          <t>PRODUCTS</t>
        </is>
      </c>
      <c r="F138" s="2" t="inlineStr">
        <is>
          <t>00000000</t>
        </is>
      </c>
      <c r="G138" s="2" t="n"/>
      <c r="H138" s="2" t="n"/>
      <c r="I138" s="2" t="inlineStr">
        <is>
          <t>00000000</t>
        </is>
      </c>
      <c r="J138" s="2" t="inlineStr">
        <is>
          <t>Plus Size Dresses (1 items)</t>
        </is>
      </c>
      <c r="K138" s="2" t="n">
        <v>1</v>
      </c>
      <c r="L138" s="2" t="n"/>
      <c r="M138" s="2" t="n"/>
      <c r="N138" s="2" t="inlineStr">
        <is>
          <t>USD</t>
        </is>
      </c>
      <c r="O138" s="3" t="n">
        <v>7.52</v>
      </c>
      <c r="P138" s="3" t="n">
        <v>7.52</v>
      </c>
      <c r="Q138" s="3">
        <f>O138*K138</f>
        <v/>
      </c>
      <c r="R138" s="3">
        <f>P138-Q138</f>
        <v/>
      </c>
      <c r="S138" s="3" t="n">
        <v>8.06</v>
      </c>
      <c r="T138" s="3" t="n">
        <v>0</v>
      </c>
      <c r="U138" s="3" t="n">
        <v>0</v>
      </c>
      <c r="V138" s="3" t="n">
        <v>0.54</v>
      </c>
      <c r="W138" s="3" t="n">
        <v>0</v>
      </c>
      <c r="X138" s="2" t="n">
        <v>1</v>
      </c>
      <c r="Y138" s="2" t="n"/>
      <c r="Z138" s="2" t="inlineStr">
        <is>
          <t>SHEIN</t>
        </is>
      </c>
      <c r="AA138" s="2" t="inlineStr">
        <is>
          <t>SHEIN US Services, LLC</t>
        </is>
      </c>
      <c r="AB138" s="2" t="inlineStr">
        <is>
          <t>777 S. Alameda St., Second Floor, Los Angeles, CA 90021</t>
        </is>
      </c>
      <c r="AC138" s="2" t="inlineStr">
        <is>
          <t>US</t>
        </is>
      </c>
      <c r="AD138" s="2" t="n"/>
      <c r="AE138" s="2" t="n"/>
      <c r="AF138" s="2" t="n"/>
      <c r="AG138" s="2" t="n"/>
      <c r="AH138" s="2" t="n"/>
      <c r="AI138" s="2" t="n"/>
      <c r="AJ138" s="2" t="n"/>
      <c r="AK138" s="2" t="inlineStr">
        <is>
          <t>00000000</t>
        </is>
      </c>
    </row>
    <row r="139">
      <c r="A139" s="4" t="n"/>
      <c r="B139" s="4" t="n"/>
      <c r="C139" s="4" t="n"/>
      <c r="D139" s="4" t="n"/>
      <c r="E139" s="4" t="n"/>
      <c r="F139" s="4" t="inlineStr">
        <is>
          <t>00000000</t>
        </is>
      </c>
      <c r="G139" s="4" t="n"/>
      <c r="H139" s="4" t="n"/>
      <c r="I139" s="4" t="inlineStr">
        <is>
          <t>SHEIN-1</t>
        </is>
      </c>
      <c r="J139" s="4" t="inlineStr">
        <is>
          <t>Plus Size Dresses</t>
        </is>
      </c>
      <c r="K139" s="4" t="n">
        <v>1</v>
      </c>
      <c r="L139" s="4" t="n"/>
      <c r="M139" s="4" t="n"/>
      <c r="N139" s="4" t="inlineStr">
        <is>
          <t>USD</t>
        </is>
      </c>
      <c r="O139" s="5" t="n">
        <v>7.52</v>
      </c>
      <c r="P139" s="5" t="n">
        <v>7.52</v>
      </c>
      <c r="Q139" s="5">
        <f>O139*K139</f>
        <v/>
      </c>
      <c r="R139" s="5">
        <f>P139-Q139</f>
        <v/>
      </c>
      <c r="S139" s="4" t="n"/>
      <c r="T139" s="4" t="n"/>
      <c r="U139" s="4" t="n"/>
      <c r="V139" s="4" t="n"/>
      <c r="W139" s="4" t="n"/>
      <c r="X139" s="4" t="n"/>
      <c r="Y139" s="4" t="n"/>
      <c r="Z139" s="4" t="n"/>
      <c r="AA139" s="4" t="n"/>
      <c r="AB139" s="4" t="n"/>
      <c r="AC139" s="4" t="n"/>
      <c r="AD139" s="4" t="n"/>
      <c r="AE139" s="4" t="n"/>
      <c r="AF139" s="4" t="n"/>
      <c r="AG139" s="4" t="n"/>
      <c r="AH139" s="4" t="n"/>
      <c r="AI139" s="4" t="n"/>
      <c r="AJ139" s="4" t="n"/>
      <c r="AK139" s="4" t="n"/>
    </row>
    <row r="140">
      <c r="A140" s="6" t="n"/>
      <c r="B140" s="6" t="n"/>
      <c r="C140" s="6" t="n"/>
      <c r="D140" s="6" t="n"/>
      <c r="E140" s="6" t="n"/>
      <c r="F140" s="6" t="n"/>
      <c r="G140" s="6" t="n"/>
      <c r="H140" s="6" t="n"/>
      <c r="I140" s="6" t="n"/>
      <c r="J140" s="6" t="inlineStr">
        <is>
          <t>SUBTOTAL (GROUPED)</t>
        </is>
      </c>
      <c r="K140" s="6" t="n"/>
      <c r="L140" s="6" t="n"/>
      <c r="M140" s="6" t="n"/>
      <c r="N140" s="6" t="n"/>
      <c r="O140" s="6" t="n"/>
      <c r="P140" s="7">
        <f>P138</f>
        <v/>
      </c>
      <c r="Q140" s="7">
        <f>Q138</f>
        <v/>
      </c>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row>
    <row r="141">
      <c r="A141" s="6" t="n"/>
      <c r="B141" s="6" t="n"/>
      <c r="C141" s="6" t="n"/>
      <c r="D141" s="6" t="n"/>
      <c r="E141" s="6" t="n"/>
      <c r="F141" s="6" t="n"/>
      <c r="G141" s="6" t="n"/>
      <c r="H141" s="6" t="n"/>
      <c r="I141" s="6" t="n"/>
      <c r="J141" s="6" t="inlineStr">
        <is>
          <t>SUBTOTAL (DETAILS)</t>
        </is>
      </c>
      <c r="K141" s="6" t="n"/>
      <c r="L141" s="6" t="n"/>
      <c r="M141" s="6" t="n"/>
      <c r="N141" s="6" t="n"/>
      <c r="O141" s="6" t="n"/>
      <c r="P141" s="7">
        <f>SUM(P138:P139)-P140</f>
        <v/>
      </c>
      <c r="Q141" s="7">
        <f>SUM(Q138:Q139)-Q140</f>
        <v/>
      </c>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row>
    <row r="142">
      <c r="A142" s="8" t="n"/>
      <c r="B142" s="8" t="n"/>
      <c r="C142" s="8" t="n"/>
      <c r="D142" s="8" t="n"/>
      <c r="E142" s="8" t="n"/>
      <c r="F142" s="8" t="n"/>
      <c r="G142" s="8" t="n"/>
      <c r="H142" s="8" t="n"/>
      <c r="I142" s="8" t="n"/>
      <c r="J142" s="8" t="inlineStr">
        <is>
          <t>GROUP VERIFICATION</t>
        </is>
      </c>
      <c r="K142" s="8" t="n"/>
      <c r="L142" s="8" t="n"/>
      <c r="M142" s="8" t="n"/>
      <c r="N142" s="8" t="n"/>
      <c r="O142" s="8" t="n"/>
      <c r="P142" s="9">
        <f>P140-P141</f>
        <v/>
      </c>
      <c r="Q142" s="9">
        <f>Q140-Q141</f>
        <v/>
      </c>
      <c r="R142" s="8" t="n"/>
      <c r="S142" s="8" t="n"/>
      <c r="T142" s="8" t="n"/>
      <c r="U142" s="8" t="n"/>
      <c r="V142" s="8" t="n"/>
      <c r="W142" s="8" t="n"/>
      <c r="X142" s="8" t="n"/>
      <c r="Y142" s="8" t="n"/>
      <c r="Z142" s="8" t="n"/>
      <c r="AA142" s="8" t="n"/>
      <c r="AB142" s="8" t="n"/>
      <c r="AC142" s="8" t="n"/>
      <c r="AD142" s="8" t="n"/>
      <c r="AE142" s="8" t="n"/>
      <c r="AF142" s="8" t="n"/>
      <c r="AG142" s="8" t="n"/>
      <c r="AH142" s="8" t="n"/>
      <c r="AI142" s="8" t="n"/>
      <c r="AJ142" s="8" t="n"/>
      <c r="AK142" s="8" t="n"/>
    </row>
    <row r="143"/>
    <row r="144">
      <c r="A144" s="6" t="n"/>
      <c r="B144" s="6" t="n"/>
      <c r="C144" s="6" t="n"/>
      <c r="D144" s="6" t="n"/>
      <c r="E144" s="6" t="n"/>
      <c r="F144" s="6" t="n"/>
      <c r="G144" s="6" t="n"/>
      <c r="H144" s="6" t="n"/>
      <c r="I144" s="6" t="n"/>
      <c r="J144" s="6" t="inlineStr">
        <is>
          <t>TOTAL INTERNAL FREIGHT</t>
        </is>
      </c>
      <c r="K144" s="6" t="n"/>
      <c r="L144" s="6" t="n"/>
      <c r="M144" s="6" t="n"/>
      <c r="N144" s="6" t="n"/>
      <c r="O144" s="6" t="n"/>
      <c r="P144" s="7" t="n">
        <v>0</v>
      </c>
      <c r="Q144" s="7"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row>
    <row r="145">
      <c r="A145" s="6" t="n"/>
      <c r="B145" s="6" t="n"/>
      <c r="C145" s="6" t="n"/>
      <c r="D145" s="6" t="n"/>
      <c r="E145" s="6" t="n"/>
      <c r="F145" s="6" t="n"/>
      <c r="G145" s="6" t="n"/>
      <c r="H145" s="6" t="n"/>
      <c r="I145" s="6" t="n"/>
      <c r="J145" s="6" t="inlineStr">
        <is>
          <t>TOTAL INSURANCE</t>
        </is>
      </c>
      <c r="K145" s="6" t="n"/>
      <c r="L145" s="6" t="n"/>
      <c r="M145" s="6" t="n"/>
      <c r="N145" s="6" t="n"/>
      <c r="O145" s="6" t="n"/>
      <c r="P145" s="7" t="n">
        <v>0</v>
      </c>
      <c r="Q145" s="7"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row>
    <row r="146">
      <c r="A146" s="6" t="n"/>
      <c r="B146" s="6" t="n"/>
      <c r="C146" s="6" t="n"/>
      <c r="D146" s="6" t="n"/>
      <c r="E146" s="6" t="n"/>
      <c r="F146" s="6" t="n"/>
      <c r="G146" s="6" t="n"/>
      <c r="H146" s="6" t="n"/>
      <c r="I146" s="6" t="n"/>
      <c r="J146" s="6" t="inlineStr">
        <is>
          <t>TOTAL OTHER COST</t>
        </is>
      </c>
      <c r="K146" s="6" t="n"/>
      <c r="L146" s="6" t="n"/>
      <c r="M146" s="6" t="n"/>
      <c r="N146" s="6" t="n"/>
      <c r="O146" s="6" t="n"/>
      <c r="P146" s="7" t="n">
        <v>0.54</v>
      </c>
      <c r="Q146" s="7"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row>
    <row r="147">
      <c r="A147" s="6" t="n"/>
      <c r="B147" s="6" t="n"/>
      <c r="C147" s="6" t="n"/>
      <c r="D147" s="6" t="n"/>
      <c r="E147" s="6" t="n"/>
      <c r="F147" s="6" t="n"/>
      <c r="G147" s="6" t="n"/>
      <c r="H147" s="6" t="n"/>
      <c r="I147" s="6" t="n"/>
      <c r="J147" s="6" t="inlineStr">
        <is>
          <t>TOTAL DEDUCTION</t>
        </is>
      </c>
      <c r="K147" s="6" t="n"/>
      <c r="L147" s="6" t="n"/>
      <c r="M147" s="6" t="n"/>
      <c r="N147" s="6" t="n"/>
      <c r="O147" s="6" t="n"/>
      <c r="P147" s="7" t="n">
        <v>0</v>
      </c>
      <c r="Q147" s="7"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row>
    <row r="148">
      <c r="A148" s="6" t="n"/>
      <c r="B148" s="6" t="n"/>
      <c r="C148" s="6" t="n"/>
      <c r="D148" s="6" t="n"/>
      <c r="E148" s="6" t="n"/>
      <c r="F148" s="6" t="n"/>
      <c r="G148" s="6" t="n"/>
      <c r="H148" s="6" t="n"/>
      <c r="I148" s="6" t="n"/>
      <c r="J148" s="6" t="inlineStr">
        <is>
          <t>ADJUSTMENTS</t>
        </is>
      </c>
      <c r="K148" s="6" t="n"/>
      <c r="L148" s="6" t="n"/>
      <c r="M148" s="6" t="n"/>
      <c r="N148" s="6" t="n"/>
      <c r="O148" s="6" t="n"/>
      <c r="P148" s="7">
        <f>(T138+U138+V138-W138)</f>
        <v/>
      </c>
      <c r="Q148" s="7">
        <f>(T138+U138+V138-W138)</f>
        <v/>
      </c>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row>
    <row r="149"/>
    <row r="150">
      <c r="A150" s="6" t="n"/>
      <c r="B150" s="6" t="n"/>
      <c r="C150" s="6" t="n"/>
      <c r="D150" s="6" t="n"/>
      <c r="E150" s="6" t="n"/>
      <c r="F150" s="6" t="n"/>
      <c r="G150" s="6" t="n"/>
      <c r="H150" s="6" t="n"/>
      <c r="I150" s="6" t="n"/>
      <c r="J150" s="6" t="inlineStr">
        <is>
          <t>NET TOTAL</t>
        </is>
      </c>
      <c r="K150" s="6" t="n"/>
      <c r="L150" s="6" t="n"/>
      <c r="M150" s="6" t="n"/>
      <c r="N150" s="6" t="n"/>
      <c r="O150" s="6" t="n"/>
      <c r="P150" s="7">
        <f>P140+P148</f>
        <v/>
      </c>
      <c r="Q150" s="7">
        <f>Q140+Q148</f>
        <v/>
      </c>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row>
    <row r="151">
      <c r="A151" s="6" t="n"/>
      <c r="B151" s="6" t="n"/>
      <c r="C151" s="6" t="n"/>
      <c r="D151" s="6" t="n"/>
      <c r="E151" s="6" t="n"/>
      <c r="F151" s="6" t="n"/>
      <c r="G151" s="6" t="n"/>
      <c r="H151" s="6" t="n"/>
      <c r="I151" s="6" t="n"/>
      <c r="J151" s="6" t="inlineStr">
        <is>
          <t>INVOICE TOTAL</t>
        </is>
      </c>
      <c r="K151" s="6" t="n"/>
      <c r="L151" s="6" t="n"/>
      <c r="M151" s="6" t="n"/>
      <c r="N151" s="6" t="n"/>
      <c r="O151" s="6" t="n"/>
      <c r="P151" s="7">
        <f>S138</f>
        <v/>
      </c>
      <c r="Q151" s="7"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row>
    <row r="152"/>
    <row r="153">
      <c r="A153" s="10" t="n"/>
      <c r="B153" s="10" t="n"/>
      <c r="C153" s="10" t="n"/>
      <c r="D153" s="10" t="n"/>
      <c r="E153" s="10" t="n"/>
      <c r="F153" s="10" t="n"/>
      <c r="G153" s="10" t="n"/>
      <c r="H153" s="10" t="n"/>
      <c r="I153" s="10" t="n"/>
      <c r="J153" s="10" t="inlineStr">
        <is>
          <t>VARIANCE CHECK</t>
        </is>
      </c>
      <c r="K153" s="10" t="n"/>
      <c r="L153" s="10" t="n"/>
      <c r="M153" s="10" t="n"/>
      <c r="N153" s="10" t="n"/>
      <c r="O153" s="10" t="n"/>
      <c r="P153" s="11">
        <f>S138-P150</f>
        <v/>
      </c>
      <c r="Q153" s="11">
        <f>S138-Q150</f>
        <v/>
      </c>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row>
    <row r="154"/>
    <row r="155">
      <c r="A155" s="12" t="n"/>
      <c r="B155" s="12" t="n"/>
      <c r="C155" s="12" t="n"/>
      <c r="D155" s="12" t="n"/>
      <c r="E155" s="12" t="n"/>
      <c r="F155" s="12" t="n"/>
      <c r="G155" s="12" t="n"/>
      <c r="H155" s="12" t="n"/>
      <c r="I155" s="12" t="n"/>
      <c r="J155" s="12" t="inlineStr">
        <is>
          <t>DUTY ESTIMATION (Classification Cross-Check)</t>
        </is>
      </c>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row>
    <row r="156">
      <c r="A156" s="13" t="n"/>
      <c r="B156" s="13" t="n"/>
      <c r="C156" s="13" t="n"/>
      <c r="D156" s="13" t="n"/>
      <c r="E156" s="13" t="n"/>
      <c r="F156" s="13" t="n"/>
      <c r="G156" s="13" t="n"/>
      <c r="H156" s="13" t="n"/>
      <c r="I156" s="13" t="n"/>
      <c r="J156" s="14" t="inlineStr">
        <is>
          <t>CIF (USD) = InvTotal + Freight + Insurance</t>
        </is>
      </c>
      <c r="K156" s="13" t="n"/>
      <c r="L156" s="13" t="n"/>
      <c r="M156" s="13" t="n"/>
      <c r="N156" s="13" t="n"/>
      <c r="O156" s="13" t="n"/>
      <c r="P156" s="15" t="n">
        <v>8.06</v>
      </c>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row>
    <row r="157">
      <c r="A157" s="13" t="n"/>
      <c r="B157" s="13" t="n"/>
      <c r="C157" s="13" t="n"/>
      <c r="D157" s="13" t="n"/>
      <c r="E157" s="13" t="n"/>
      <c r="F157" s="13" t="n"/>
      <c r="G157" s="13" t="n"/>
      <c r="H157" s="13" t="n"/>
      <c r="I157" s="13" t="n"/>
      <c r="J157" s="14" t="inlineStr">
        <is>
          <t>CIF (XCD) = CIF × 2.7169</t>
        </is>
      </c>
      <c r="K157" s="13" t="n"/>
      <c r="L157" s="13" t="n"/>
      <c r="M157" s="13" t="n"/>
      <c r="N157" s="13" t="n"/>
      <c r="O157" s="13" t="n"/>
      <c r="P157" s="15" t="n">
        <v>21.9</v>
      </c>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row>
    <row r="158">
      <c r="A158" s="13" t="n"/>
      <c r="B158" s="13" t="n"/>
      <c r="C158" s="13" t="n"/>
      <c r="D158" s="13" t="n"/>
      <c r="E158" s="13" t="n"/>
      <c r="F158" s="13" t="n"/>
      <c r="G158" s="13" t="n"/>
      <c r="H158" s="13" t="n"/>
      <c r="I158" s="13" t="n"/>
      <c r="J158" s="14" t="inlineStr">
        <is>
          <t>CET (20%) — Tariff 00000000</t>
        </is>
      </c>
      <c r="K158" s="13" t="n"/>
      <c r="L158" s="13" t="n"/>
      <c r="M158" s="13" t="n"/>
      <c r="N158" s="13" t="n"/>
      <c r="O158" s="13" t="n"/>
      <c r="P158" s="15" t="n">
        <v>4.38</v>
      </c>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row>
    <row r="159">
      <c r="A159" s="13" t="n"/>
      <c r="B159" s="13" t="n"/>
      <c r="C159" s="13" t="n"/>
      <c r="D159" s="13" t="n"/>
      <c r="E159" s="13" t="n"/>
      <c r="F159" s="13" t="n"/>
      <c r="G159" s="13" t="n"/>
      <c r="H159" s="13" t="n"/>
      <c r="I159" s="13" t="n"/>
      <c r="J159" s="14" t="inlineStr">
        <is>
          <t>CSC (6%)</t>
        </is>
      </c>
      <c r="K159" s="13" t="n"/>
      <c r="L159" s="13" t="n"/>
      <c r="M159" s="13" t="n"/>
      <c r="N159" s="13" t="n"/>
      <c r="O159" s="13" t="n"/>
      <c r="P159" s="15" t="n">
        <v>1.31</v>
      </c>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row>
    <row r="160">
      <c r="A160" s="13" t="n"/>
      <c r="B160" s="13" t="n"/>
      <c r="C160" s="13" t="n"/>
      <c r="D160" s="13" t="n"/>
      <c r="E160" s="13" t="n"/>
      <c r="F160" s="13" t="n"/>
      <c r="G160" s="13" t="n"/>
      <c r="H160" s="13" t="n"/>
      <c r="I160" s="13" t="n"/>
      <c r="J160" s="14" t="inlineStr">
        <is>
          <t>VAT (15%) on CIF+CET+CSC</t>
        </is>
      </c>
      <c r="K160" s="13" t="n"/>
      <c r="L160" s="13" t="n"/>
      <c r="M160" s="13" t="n"/>
      <c r="N160" s="13" t="n"/>
      <c r="O160" s="13" t="n"/>
      <c r="P160" s="15" t="n">
        <v>4.14</v>
      </c>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row>
    <row r="161">
      <c r="A161" s="16" t="n"/>
      <c r="B161" s="16" t="n"/>
      <c r="C161" s="16" t="n"/>
      <c r="D161" s="16" t="n"/>
      <c r="E161" s="16" t="n"/>
      <c r="F161" s="16" t="n"/>
      <c r="G161" s="16" t="n"/>
      <c r="H161" s="16" t="n"/>
      <c r="I161" s="16" t="n"/>
      <c r="J161" s="12" t="inlineStr">
        <is>
          <t>ESTIMATED TOTAL DUTIES</t>
        </is>
      </c>
      <c r="K161" s="16" t="n"/>
      <c r="L161" s="16" t="n"/>
      <c r="M161" s="16" t="n"/>
      <c r="N161" s="16" t="n"/>
      <c r="O161" s="16" t="n"/>
      <c r="P161" s="17" t="n">
        <v>9.83</v>
      </c>
      <c r="Q161" s="16" t="n"/>
      <c r="R161" s="16" t="n"/>
      <c r="S161" s="16" t="n"/>
      <c r="T161" s="16" t="n"/>
      <c r="U161" s="16" t="n"/>
      <c r="V161" s="16" t="n"/>
      <c r="W161" s="16" t="n"/>
      <c r="X161" s="16" t="n"/>
      <c r="Y161" s="16" t="n"/>
      <c r="Z161" s="16" t="n"/>
      <c r="AA161" s="16" t="n"/>
      <c r="AB161" s="16" t="n"/>
      <c r="AC161" s="16" t="n"/>
      <c r="AD161" s="16" t="n"/>
      <c r="AE161" s="16" t="n"/>
      <c r="AF161" s="16" t="n"/>
      <c r="AG161" s="16" t="n"/>
      <c r="AH161" s="16" t="n"/>
      <c r="AI161" s="16" t="n"/>
      <c r="AJ161" s="16" t="n"/>
      <c r="AK161" s="16" t="n"/>
    </row>
    <row r="162">
      <c r="A162" s="13" t="n"/>
      <c r="B162" s="13" t="n"/>
      <c r="C162" s="13" t="n"/>
      <c r="D162" s="13" t="n"/>
      <c r="E162" s="13" t="n"/>
      <c r="F162" s="13" t="n"/>
      <c r="G162" s="13" t="n"/>
      <c r="H162" s="13" t="n"/>
      <c r="I162" s="13" t="n"/>
      <c r="J162" s="14" t="inlineStr">
        <is>
          <t>Effective Duty Rate</t>
        </is>
      </c>
      <c r="K162" s="13" t="n"/>
      <c r="L162" s="13" t="n"/>
      <c r="M162" s="13" t="n"/>
      <c r="N162" s="13" t="n"/>
      <c r="O162" s="13" t="n"/>
      <c r="P162" s="18" t="n">
        <v>0.4488584474885845</v>
      </c>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9" t="n"/>
      <c r="AD163" s="19" t="n"/>
      <c r="AE163" s="19" t="n"/>
      <c r="AF163" s="19" t="n"/>
      <c r="AG163" s="19" t="n"/>
      <c r="AH163" s="19" t="n"/>
      <c r="AI163" s="19" t="n"/>
      <c r="AJ163" s="19" t="n"/>
      <c r="AK163" s="19" t="n"/>
    </row>
    <row r="164">
      <c r="A164" s="2" t="inlineStr">
        <is>
          <t>4000-000</t>
        </is>
      </c>
      <c r="B164" s="2" t="n"/>
      <c r="C164" s="2" t="inlineStr">
        <is>
          <t>INVUS20240717002005488</t>
        </is>
      </c>
      <c r="D164" s="2" t="inlineStr">
        <is>
          <t>2024-07-17</t>
        </is>
      </c>
      <c r="E164" s="2" t="inlineStr">
        <is>
          <t>PERFUMES &amp; COLOGNES</t>
        </is>
      </c>
      <c r="F164" s="2" t="inlineStr">
        <is>
          <t>33030000</t>
        </is>
      </c>
      <c r="G164" s="2" t="n"/>
      <c r="H164" s="2" t="n"/>
      <c r="I164" s="2" t="inlineStr">
        <is>
          <t>33030000</t>
        </is>
      </c>
      <c r="J164" s="2" t="inlineStr">
        <is>
          <t>2ML 10 Sample Women' Perfume With 10 Fragrances, Lasting Fragrance, Rose And ... (1 items)</t>
        </is>
      </c>
      <c r="K164" s="2" t="n">
        <v>1</v>
      </c>
      <c r="L164" s="2" t="n"/>
      <c r="M164" s="2" t="n"/>
      <c r="N164" s="2" t="inlineStr">
        <is>
          <t>USD</t>
        </is>
      </c>
      <c r="O164" s="3" t="n">
        <v>1.35</v>
      </c>
      <c r="P164" s="3" t="n">
        <v>1.35</v>
      </c>
      <c r="Q164" s="3">
        <f>O164*K164</f>
        <v/>
      </c>
      <c r="R164" s="3">
        <f>P164-Q164</f>
        <v/>
      </c>
      <c r="S164" s="3" t="n">
        <v>1.44</v>
      </c>
      <c r="T164" s="3" t="n">
        <v>0</v>
      </c>
      <c r="U164" s="3" t="n">
        <v>0</v>
      </c>
      <c r="V164" s="3" t="n">
        <v>0.09</v>
      </c>
      <c r="W164" s="3" t="n">
        <v>0</v>
      </c>
      <c r="X164" s="2" t="n">
        <v>1</v>
      </c>
      <c r="Y164" s="2" t="n"/>
      <c r="Z164" s="2" t="inlineStr">
        <is>
          <t>SHEIN</t>
        </is>
      </c>
      <c r="AA164" s="2" t="inlineStr">
        <is>
          <t>SHEIN US Services, LLC</t>
        </is>
      </c>
      <c r="AB164" s="2" t="inlineStr">
        <is>
          <t>777 S. Alameda St., Second Floor, Los Angeles, CA 90021</t>
        </is>
      </c>
      <c r="AC164" s="2" t="inlineStr">
        <is>
          <t>US</t>
        </is>
      </c>
      <c r="AD164" s="2" t="n"/>
      <c r="AE164" s="2" t="n"/>
      <c r="AF164" s="2" t="n"/>
      <c r="AG164" s="2" t="n"/>
      <c r="AH164" s="2" t="n"/>
      <c r="AI164" s="2" t="n"/>
      <c r="AJ164" s="2" t="n"/>
      <c r="AK164" s="2" t="inlineStr">
        <is>
          <t>33030000</t>
        </is>
      </c>
    </row>
    <row r="165">
      <c r="A165" s="4" t="n"/>
      <c r="B165" s="4" t="n"/>
      <c r="C165" s="4" t="n"/>
      <c r="D165" s="4" t="n"/>
      <c r="E165" s="4" t="n"/>
      <c r="F165" s="4" t="inlineStr">
        <is>
          <t>33030000</t>
        </is>
      </c>
      <c r="G165" s="4" t="n"/>
      <c r="H165" s="4" t="n"/>
      <c r="I165" s="4" t="inlineStr">
        <is>
          <t>SHEIN-1</t>
        </is>
      </c>
      <c r="J165" s="4" t="inlineStr">
        <is>
          <t>2ML 10 Sample Women' Perfume With 10 Fragrances, Lasting Fragrance, Rose And ...</t>
        </is>
      </c>
      <c r="K165" s="4" t="n">
        <v>1</v>
      </c>
      <c r="L165" s="4" t="n"/>
      <c r="M165" s="4" t="n"/>
      <c r="N165" s="4" t="inlineStr">
        <is>
          <t>USD</t>
        </is>
      </c>
      <c r="O165" s="5" t="n">
        <v>1.35</v>
      </c>
      <c r="P165" s="5" t="n">
        <v>1.35</v>
      </c>
      <c r="Q165" s="5">
        <f>O165*K165</f>
        <v/>
      </c>
      <c r="R165" s="5">
        <f>P165-Q165</f>
        <v/>
      </c>
      <c r="S165" s="4" t="n"/>
      <c r="T165" s="4" t="n"/>
      <c r="U165" s="4" t="n"/>
      <c r="V165" s="4" t="n"/>
      <c r="W165" s="4" t="n"/>
      <c r="X165" s="4" t="n"/>
      <c r="Y165" s="4" t="n"/>
      <c r="Z165" s="4" t="n"/>
      <c r="AA165" s="4" t="n"/>
      <c r="AB165" s="4" t="n"/>
      <c r="AC165" s="4" t="n"/>
      <c r="AD165" s="4" t="n"/>
      <c r="AE165" s="4" t="n"/>
      <c r="AF165" s="4" t="n"/>
      <c r="AG165" s="4" t="n"/>
      <c r="AH165" s="4" t="n"/>
      <c r="AI165" s="4" t="n"/>
      <c r="AJ165" s="4" t="n"/>
      <c r="AK165" s="4" t="n"/>
    </row>
    <row r="166">
      <c r="A166" s="6" t="n"/>
      <c r="B166" s="6" t="n"/>
      <c r="C166" s="6" t="n"/>
      <c r="D166" s="6" t="n"/>
      <c r="E166" s="6" t="n"/>
      <c r="F166" s="6" t="n"/>
      <c r="G166" s="6" t="n"/>
      <c r="H166" s="6" t="n"/>
      <c r="I166" s="6" t="n"/>
      <c r="J166" s="6" t="inlineStr">
        <is>
          <t>SUBTOTAL (GROUPED)</t>
        </is>
      </c>
      <c r="K166" s="6" t="n"/>
      <c r="L166" s="6" t="n"/>
      <c r="M166" s="6" t="n"/>
      <c r="N166" s="6" t="n"/>
      <c r="O166" s="6" t="n"/>
      <c r="P166" s="7">
        <f>P164</f>
        <v/>
      </c>
      <c r="Q166" s="7">
        <f>Q164</f>
        <v/>
      </c>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row>
    <row r="167">
      <c r="A167" s="6" t="n"/>
      <c r="B167" s="6" t="n"/>
      <c r="C167" s="6" t="n"/>
      <c r="D167" s="6" t="n"/>
      <c r="E167" s="6" t="n"/>
      <c r="F167" s="6" t="n"/>
      <c r="G167" s="6" t="n"/>
      <c r="H167" s="6" t="n"/>
      <c r="I167" s="6" t="n"/>
      <c r="J167" s="6" t="inlineStr">
        <is>
          <t>SUBTOTAL (DETAILS)</t>
        </is>
      </c>
      <c r="K167" s="6" t="n"/>
      <c r="L167" s="6" t="n"/>
      <c r="M167" s="6" t="n"/>
      <c r="N167" s="6" t="n"/>
      <c r="O167" s="6" t="n"/>
      <c r="P167" s="7">
        <f>SUM(P164:P165)-P166</f>
        <v/>
      </c>
      <c r="Q167" s="7">
        <f>SUM(Q164:Q165)-Q166</f>
        <v/>
      </c>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row>
    <row r="168">
      <c r="A168" s="8" t="n"/>
      <c r="B168" s="8" t="n"/>
      <c r="C168" s="8" t="n"/>
      <c r="D168" s="8" t="n"/>
      <c r="E168" s="8" t="n"/>
      <c r="F168" s="8" t="n"/>
      <c r="G168" s="8" t="n"/>
      <c r="H168" s="8" t="n"/>
      <c r="I168" s="8" t="n"/>
      <c r="J168" s="8" t="inlineStr">
        <is>
          <t>GROUP VERIFICATION</t>
        </is>
      </c>
      <c r="K168" s="8" t="n"/>
      <c r="L168" s="8" t="n"/>
      <c r="M168" s="8" t="n"/>
      <c r="N168" s="8" t="n"/>
      <c r="O168" s="8" t="n"/>
      <c r="P168" s="9">
        <f>P166-P167</f>
        <v/>
      </c>
      <c r="Q168" s="9">
        <f>Q166-Q167</f>
        <v/>
      </c>
      <c r="R168" s="8" t="n"/>
      <c r="S168" s="8" t="n"/>
      <c r="T168" s="8" t="n"/>
      <c r="U168" s="8" t="n"/>
      <c r="V168" s="8" t="n"/>
      <c r="W168" s="8" t="n"/>
      <c r="X168" s="8" t="n"/>
      <c r="Y168" s="8" t="n"/>
      <c r="Z168" s="8" t="n"/>
      <c r="AA168" s="8" t="n"/>
      <c r="AB168" s="8" t="n"/>
      <c r="AC168" s="8" t="n"/>
      <c r="AD168" s="8" t="n"/>
      <c r="AE168" s="8" t="n"/>
      <c r="AF168" s="8" t="n"/>
      <c r="AG168" s="8" t="n"/>
      <c r="AH168" s="8" t="n"/>
      <c r="AI168" s="8" t="n"/>
      <c r="AJ168" s="8" t="n"/>
      <c r="AK168" s="8" t="n"/>
    </row>
    <row r="169"/>
    <row r="170">
      <c r="A170" s="6" t="n"/>
      <c r="B170" s="6" t="n"/>
      <c r="C170" s="6" t="n"/>
      <c r="D170" s="6" t="n"/>
      <c r="E170" s="6" t="n"/>
      <c r="F170" s="6" t="n"/>
      <c r="G170" s="6" t="n"/>
      <c r="H170" s="6" t="n"/>
      <c r="I170" s="6" t="n"/>
      <c r="J170" s="6" t="inlineStr">
        <is>
          <t>TOTAL INTERNAL FREIGHT</t>
        </is>
      </c>
      <c r="K170" s="6" t="n"/>
      <c r="L170" s="6" t="n"/>
      <c r="M170" s="6" t="n"/>
      <c r="N170" s="6" t="n"/>
      <c r="O170" s="6" t="n"/>
      <c r="P170" s="7" t="n">
        <v>0</v>
      </c>
      <c r="Q170" s="7"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row>
    <row r="171">
      <c r="A171" s="6" t="n"/>
      <c r="B171" s="6" t="n"/>
      <c r="C171" s="6" t="n"/>
      <c r="D171" s="6" t="n"/>
      <c r="E171" s="6" t="n"/>
      <c r="F171" s="6" t="n"/>
      <c r="G171" s="6" t="n"/>
      <c r="H171" s="6" t="n"/>
      <c r="I171" s="6" t="n"/>
      <c r="J171" s="6" t="inlineStr">
        <is>
          <t>TOTAL INSURANCE</t>
        </is>
      </c>
      <c r="K171" s="6" t="n"/>
      <c r="L171" s="6" t="n"/>
      <c r="M171" s="6" t="n"/>
      <c r="N171" s="6" t="n"/>
      <c r="O171" s="6" t="n"/>
      <c r="P171" s="7" t="n">
        <v>0</v>
      </c>
      <c r="Q171" s="7"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row>
    <row r="172">
      <c r="A172" s="6" t="n"/>
      <c r="B172" s="6" t="n"/>
      <c r="C172" s="6" t="n"/>
      <c r="D172" s="6" t="n"/>
      <c r="E172" s="6" t="n"/>
      <c r="F172" s="6" t="n"/>
      <c r="G172" s="6" t="n"/>
      <c r="H172" s="6" t="n"/>
      <c r="I172" s="6" t="n"/>
      <c r="J172" s="6" t="inlineStr">
        <is>
          <t>TOTAL OTHER COST</t>
        </is>
      </c>
      <c r="K172" s="6" t="n"/>
      <c r="L172" s="6" t="n"/>
      <c r="M172" s="6" t="n"/>
      <c r="N172" s="6" t="n"/>
      <c r="O172" s="6" t="n"/>
      <c r="P172" s="7" t="n">
        <v>0.09</v>
      </c>
      <c r="Q172" s="7"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row>
    <row r="173">
      <c r="A173" s="6" t="n"/>
      <c r="B173" s="6" t="n"/>
      <c r="C173" s="6" t="n"/>
      <c r="D173" s="6" t="n"/>
      <c r="E173" s="6" t="n"/>
      <c r="F173" s="6" t="n"/>
      <c r="G173" s="6" t="n"/>
      <c r="H173" s="6" t="n"/>
      <c r="I173" s="6" t="n"/>
      <c r="J173" s="6" t="inlineStr">
        <is>
          <t>TOTAL DEDUCTION</t>
        </is>
      </c>
      <c r="K173" s="6" t="n"/>
      <c r="L173" s="6" t="n"/>
      <c r="M173" s="6" t="n"/>
      <c r="N173" s="6" t="n"/>
      <c r="O173" s="6" t="n"/>
      <c r="P173" s="7" t="n">
        <v>0</v>
      </c>
      <c r="Q173" s="7"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row>
    <row r="174">
      <c r="A174" s="6" t="n"/>
      <c r="B174" s="6" t="n"/>
      <c r="C174" s="6" t="n"/>
      <c r="D174" s="6" t="n"/>
      <c r="E174" s="6" t="n"/>
      <c r="F174" s="6" t="n"/>
      <c r="G174" s="6" t="n"/>
      <c r="H174" s="6" t="n"/>
      <c r="I174" s="6" t="n"/>
      <c r="J174" s="6" t="inlineStr">
        <is>
          <t>ADJUSTMENTS</t>
        </is>
      </c>
      <c r="K174" s="6" t="n"/>
      <c r="L174" s="6" t="n"/>
      <c r="M174" s="6" t="n"/>
      <c r="N174" s="6" t="n"/>
      <c r="O174" s="6" t="n"/>
      <c r="P174" s="7">
        <f>(T164+U164+V164-W164)</f>
        <v/>
      </c>
      <c r="Q174" s="7">
        <f>(T164+U164+V164-W164)</f>
        <v/>
      </c>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row>
    <row r="175"/>
    <row r="176">
      <c r="A176" s="6" t="n"/>
      <c r="B176" s="6" t="n"/>
      <c r="C176" s="6" t="n"/>
      <c r="D176" s="6" t="n"/>
      <c r="E176" s="6" t="n"/>
      <c r="F176" s="6" t="n"/>
      <c r="G176" s="6" t="n"/>
      <c r="H176" s="6" t="n"/>
      <c r="I176" s="6" t="n"/>
      <c r="J176" s="6" t="inlineStr">
        <is>
          <t>NET TOTAL</t>
        </is>
      </c>
      <c r="K176" s="6" t="n"/>
      <c r="L176" s="6" t="n"/>
      <c r="M176" s="6" t="n"/>
      <c r="N176" s="6" t="n"/>
      <c r="O176" s="6" t="n"/>
      <c r="P176" s="7">
        <f>P166+P174</f>
        <v/>
      </c>
      <c r="Q176" s="7">
        <f>Q166+Q174</f>
        <v/>
      </c>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row>
    <row r="177">
      <c r="A177" s="6" t="n"/>
      <c r="B177" s="6" t="n"/>
      <c r="C177" s="6" t="n"/>
      <c r="D177" s="6" t="n"/>
      <c r="E177" s="6" t="n"/>
      <c r="F177" s="6" t="n"/>
      <c r="G177" s="6" t="n"/>
      <c r="H177" s="6" t="n"/>
      <c r="I177" s="6" t="n"/>
      <c r="J177" s="6" t="inlineStr">
        <is>
          <t>INVOICE TOTAL</t>
        </is>
      </c>
      <c r="K177" s="6" t="n"/>
      <c r="L177" s="6" t="n"/>
      <c r="M177" s="6" t="n"/>
      <c r="N177" s="6" t="n"/>
      <c r="O177" s="6" t="n"/>
      <c r="P177" s="7">
        <f>S164</f>
        <v/>
      </c>
      <c r="Q177" s="7"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row>
    <row r="178"/>
    <row r="179">
      <c r="A179" s="10" t="n"/>
      <c r="B179" s="10" t="n"/>
      <c r="C179" s="10" t="n"/>
      <c r="D179" s="10" t="n"/>
      <c r="E179" s="10" t="n"/>
      <c r="F179" s="10" t="n"/>
      <c r="G179" s="10" t="n"/>
      <c r="H179" s="10" t="n"/>
      <c r="I179" s="10" t="n"/>
      <c r="J179" s="10" t="inlineStr">
        <is>
          <t>VARIANCE CHECK</t>
        </is>
      </c>
      <c r="K179" s="10" t="n"/>
      <c r="L179" s="10" t="n"/>
      <c r="M179" s="10" t="n"/>
      <c r="N179" s="10" t="n"/>
      <c r="O179" s="10" t="n"/>
      <c r="P179" s="11">
        <f>S164-P176</f>
        <v/>
      </c>
      <c r="Q179" s="11">
        <f>S164-Q176</f>
        <v/>
      </c>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row>
    <row r="180"/>
    <row r="181">
      <c r="A181" s="12" t="n"/>
      <c r="B181" s="12" t="n"/>
      <c r="C181" s="12" t="n"/>
      <c r="D181" s="12" t="n"/>
      <c r="E181" s="12" t="n"/>
      <c r="F181" s="12" t="n"/>
      <c r="G181" s="12" t="n"/>
      <c r="H181" s="12" t="n"/>
      <c r="I181" s="12" t="n"/>
      <c r="J181" s="12" t="inlineStr">
        <is>
          <t>DUTY ESTIMATION (Classification Cross-Check)</t>
        </is>
      </c>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row>
    <row r="182">
      <c r="A182" s="13" t="n"/>
      <c r="B182" s="13" t="n"/>
      <c r="C182" s="13" t="n"/>
      <c r="D182" s="13" t="n"/>
      <c r="E182" s="13" t="n"/>
      <c r="F182" s="13" t="n"/>
      <c r="G182" s="13" t="n"/>
      <c r="H182" s="13" t="n"/>
      <c r="I182" s="13" t="n"/>
      <c r="J182" s="14" t="inlineStr">
        <is>
          <t>CIF (USD) = InvTotal + Freight + Insurance</t>
        </is>
      </c>
      <c r="K182" s="13" t="n"/>
      <c r="L182" s="13" t="n"/>
      <c r="M182" s="13" t="n"/>
      <c r="N182" s="13" t="n"/>
      <c r="O182" s="13" t="n"/>
      <c r="P182" s="15" t="n">
        <v>1.44</v>
      </c>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row>
    <row r="183">
      <c r="A183" s="13" t="n"/>
      <c r="B183" s="13" t="n"/>
      <c r="C183" s="13" t="n"/>
      <c r="D183" s="13" t="n"/>
      <c r="E183" s="13" t="n"/>
      <c r="F183" s="13" t="n"/>
      <c r="G183" s="13" t="n"/>
      <c r="H183" s="13" t="n"/>
      <c r="I183" s="13" t="n"/>
      <c r="J183" s="14" t="inlineStr">
        <is>
          <t>CIF (XCD) = CIF × 2.7169</t>
        </is>
      </c>
      <c r="K183" s="13" t="n"/>
      <c r="L183" s="13" t="n"/>
      <c r="M183" s="13" t="n"/>
      <c r="N183" s="13" t="n"/>
      <c r="O183" s="13" t="n"/>
      <c r="P183" s="15" t="n">
        <v>3.91</v>
      </c>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row>
    <row r="184">
      <c r="A184" s="13" t="n"/>
      <c r="B184" s="13" t="n"/>
      <c r="C184" s="13" t="n"/>
      <c r="D184" s="13" t="n"/>
      <c r="E184" s="13" t="n"/>
      <c r="F184" s="13" t="n"/>
      <c r="G184" s="13" t="n"/>
      <c r="H184" s="13" t="n"/>
      <c r="I184" s="13" t="n"/>
      <c r="J184" s="14" t="inlineStr">
        <is>
          <t>CET (20%) — Tariff 33030000</t>
        </is>
      </c>
      <c r="K184" s="13" t="n"/>
      <c r="L184" s="13" t="n"/>
      <c r="M184" s="13" t="n"/>
      <c r="N184" s="13" t="n"/>
      <c r="O184" s="13" t="n"/>
      <c r="P184" s="15" t="n">
        <v>0.78</v>
      </c>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row>
    <row r="185">
      <c r="A185" s="13" t="n"/>
      <c r="B185" s="13" t="n"/>
      <c r="C185" s="13" t="n"/>
      <c r="D185" s="13" t="n"/>
      <c r="E185" s="13" t="n"/>
      <c r="F185" s="13" t="n"/>
      <c r="G185" s="13" t="n"/>
      <c r="H185" s="13" t="n"/>
      <c r="I185" s="13" t="n"/>
      <c r="J185" s="14" t="inlineStr">
        <is>
          <t>CSC (6%)</t>
        </is>
      </c>
      <c r="K185" s="13" t="n"/>
      <c r="L185" s="13" t="n"/>
      <c r="M185" s="13" t="n"/>
      <c r="N185" s="13" t="n"/>
      <c r="O185" s="13" t="n"/>
      <c r="P185" s="15" t="n">
        <v>0.23</v>
      </c>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row>
    <row r="186">
      <c r="A186" s="13" t="n"/>
      <c r="B186" s="13" t="n"/>
      <c r="C186" s="13" t="n"/>
      <c r="D186" s="13" t="n"/>
      <c r="E186" s="13" t="n"/>
      <c r="F186" s="13" t="n"/>
      <c r="G186" s="13" t="n"/>
      <c r="H186" s="13" t="n"/>
      <c r="I186" s="13" t="n"/>
      <c r="J186" s="14" t="inlineStr">
        <is>
          <t>VAT (15%) on CIF+CET+CSC</t>
        </is>
      </c>
      <c r="K186" s="13" t="n"/>
      <c r="L186" s="13" t="n"/>
      <c r="M186" s="13" t="n"/>
      <c r="N186" s="13" t="n"/>
      <c r="O186" s="13" t="n"/>
      <c r="P186" s="15" t="n">
        <v>0.74</v>
      </c>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row>
    <row r="187">
      <c r="A187" s="16" t="n"/>
      <c r="B187" s="16" t="n"/>
      <c r="C187" s="16" t="n"/>
      <c r="D187" s="16" t="n"/>
      <c r="E187" s="16" t="n"/>
      <c r="F187" s="16" t="n"/>
      <c r="G187" s="16" t="n"/>
      <c r="H187" s="16" t="n"/>
      <c r="I187" s="16" t="n"/>
      <c r="J187" s="12" t="inlineStr">
        <is>
          <t>ESTIMATED TOTAL DUTIES</t>
        </is>
      </c>
      <c r="K187" s="16" t="n"/>
      <c r="L187" s="16" t="n"/>
      <c r="M187" s="16" t="n"/>
      <c r="N187" s="16" t="n"/>
      <c r="O187" s="16" t="n"/>
      <c r="P187" s="17" t="n">
        <v>1.75</v>
      </c>
      <c r="Q187" s="16" t="n"/>
      <c r="R187" s="16" t="n"/>
      <c r="S187" s="16" t="n"/>
      <c r="T187" s="16" t="n"/>
      <c r="U187" s="16" t="n"/>
      <c r="V187" s="16" t="n"/>
      <c r="W187" s="16" t="n"/>
      <c r="X187" s="16" t="n"/>
      <c r="Y187" s="16" t="n"/>
      <c r="Z187" s="16" t="n"/>
      <c r="AA187" s="16" t="n"/>
      <c r="AB187" s="16" t="n"/>
      <c r="AC187" s="16" t="n"/>
      <c r="AD187" s="16" t="n"/>
      <c r="AE187" s="16" t="n"/>
      <c r="AF187" s="16" t="n"/>
      <c r="AG187" s="16" t="n"/>
      <c r="AH187" s="16" t="n"/>
      <c r="AI187" s="16" t="n"/>
      <c r="AJ187" s="16" t="n"/>
      <c r="AK187" s="16" t="n"/>
    </row>
    <row r="188">
      <c r="A188" s="13" t="n"/>
      <c r="B188" s="13" t="n"/>
      <c r="C188" s="13" t="n"/>
      <c r="D188" s="13" t="n"/>
      <c r="E188" s="13" t="n"/>
      <c r="F188" s="13" t="n"/>
      <c r="G188" s="13" t="n"/>
      <c r="H188" s="13" t="n"/>
      <c r="I188" s="13" t="n"/>
      <c r="J188" s="14" t="inlineStr">
        <is>
          <t>Effective Duty Rate</t>
        </is>
      </c>
      <c r="K188" s="13" t="n"/>
      <c r="L188" s="13" t="n"/>
      <c r="M188" s="13" t="n"/>
      <c r="N188" s="13" t="n"/>
      <c r="O188" s="13" t="n"/>
      <c r="P188" s="18" t="n">
        <v>0.4475703324808184</v>
      </c>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row>
    <row r="189"/>
    <row r="190">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c r="AA190" s="22" t="n"/>
      <c r="AB190" s="22" t="n"/>
      <c r="AC190" s="22" t="n"/>
      <c r="AD190" s="22" t="n"/>
      <c r="AE190" s="22" t="n"/>
      <c r="AF190" s="22" t="n"/>
      <c r="AG190" s="22" t="n"/>
      <c r="AH190" s="22" t="n"/>
      <c r="AI190" s="22" t="n"/>
      <c r="AJ190" s="22" t="n"/>
      <c r="AK190" s="22" t="n"/>
    </row>
    <row r="191">
      <c r="A191" s="22" t="n"/>
      <c r="B191" s="22" t="n"/>
      <c r="C191" s="22" t="n"/>
      <c r="D191" s="22" t="n"/>
      <c r="E191" s="22" t="n"/>
      <c r="F191" s="22" t="n"/>
      <c r="G191" s="22" t="n"/>
      <c r="H191" s="22" t="n"/>
      <c r="I191" s="22" t="n"/>
      <c r="J191" s="22" t="n"/>
      <c r="K191" s="22" t="n"/>
      <c r="L191" s="23" t="inlineStr">
        <is>
          <t>═══ COMBINED GRAND SUMMARY ═══</t>
        </is>
      </c>
      <c r="M191" s="22" t="n"/>
      <c r="N191" s="22" t="n"/>
      <c r="O191" s="22" t="n"/>
      <c r="P191" s="22" t="n"/>
      <c r="Q191" s="22" t="n"/>
      <c r="R191" s="22" t="n"/>
      <c r="S191" s="22" t="n"/>
      <c r="T191" s="22" t="n"/>
      <c r="U191" s="22" t="n"/>
      <c r="V191" s="22" t="n"/>
      <c r="W191" s="22" t="n"/>
      <c r="X191" s="22" t="n"/>
      <c r="Y191" s="22" t="n"/>
      <c r="Z191" s="22" t="n"/>
      <c r="AA191" s="22" t="n"/>
      <c r="AB191" s="22" t="n"/>
      <c r="AC191" s="22" t="n"/>
      <c r="AD191" s="22" t="n"/>
      <c r="AE191" s="22" t="n"/>
      <c r="AF191" s="22" t="n"/>
      <c r="AG191" s="22" t="n"/>
      <c r="AH191" s="22" t="n"/>
      <c r="AI191" s="22" t="n"/>
      <c r="AJ191" s="22" t="n"/>
      <c r="AK191" s="22" t="n"/>
    </row>
    <row r="192">
      <c r="L192" s="24" t="inlineStr">
        <is>
          <t>Invoice INVUS20240717001998094</t>
        </is>
      </c>
      <c r="P192" s="25" t="n">
        <v>49.97</v>
      </c>
      <c r="Q192" s="26" t="n">
        <v>-43.05</v>
      </c>
    </row>
    <row r="193">
      <c r="L193" s="24" t="inlineStr">
        <is>
          <t>Invoice INVUS20240714003388571</t>
        </is>
      </c>
      <c r="P193" s="25" t="n">
        <v>72.37</v>
      </c>
      <c r="Q193" s="26" t="n">
        <v>-62.32</v>
      </c>
    </row>
    <row r="194">
      <c r="L194" s="24" t="inlineStr">
        <is>
          <t>Invoice INVUS20240714003391892</t>
        </is>
      </c>
      <c r="P194" s="25" t="n">
        <v>7.45</v>
      </c>
      <c r="Q194" s="26" t="n">
        <v>-6.47</v>
      </c>
    </row>
    <row r="195">
      <c r="L195" s="24" t="inlineStr">
        <is>
          <t>Invoice INVUS20240717002005487</t>
        </is>
      </c>
      <c r="P195" s="25" t="n">
        <v>22.43</v>
      </c>
      <c r="Q195" s="26" t="n">
        <v>-19.36</v>
      </c>
    </row>
    <row r="196">
      <c r="L196" s="24" t="inlineStr">
        <is>
          <t>Invoice INVUS20240717002011537</t>
        </is>
      </c>
      <c r="P196" s="25" t="n">
        <v>102.08</v>
      </c>
      <c r="Q196" s="26" t="n">
        <v>-88.88</v>
      </c>
    </row>
    <row r="197">
      <c r="L197" s="24" t="inlineStr">
        <is>
          <t>Invoice INVUS20240717002018383</t>
        </is>
      </c>
      <c r="P197" s="25" t="n">
        <v>58.13</v>
      </c>
      <c r="Q197" s="26" t="n">
        <v>-50.07</v>
      </c>
    </row>
    <row r="198">
      <c r="L198" s="24" t="inlineStr">
        <is>
          <t>Invoice INVUS20240717002005488</t>
        </is>
      </c>
      <c r="P198" s="25" t="n">
        <v>10.74</v>
      </c>
      <c r="Q198" s="26" t="n">
        <v>-9.300000000000001</v>
      </c>
    </row>
    <row r="199"/>
    <row r="200">
      <c r="L200" s="27" t="inlineStr">
        <is>
          <t>GRAND TOTAL</t>
        </is>
      </c>
      <c r="P200" s="28" t="n">
        <v>323.17</v>
      </c>
    </row>
    <row r="201">
      <c r="L201" s="29" t="inlineStr">
        <is>
          <t>GRAND VARIANCE CHECK</t>
        </is>
      </c>
      <c r="P201" s="26" t="n">
        <v>-279.45</v>
      </c>
    </row>
    <row r="202">
      <c r="L202" s="30" t="inlineStr">
        <is>
          <t>Combined 7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GSUNJY.pdf</t>
        </is>
      </c>
      <c r="B2" s="32" t="inlineStr">
        <is>
          <t>65/100</t>
        </is>
      </c>
      <c r="C2" s="32" t="inlineStr">
        <is>
          <t>FAIR</t>
        </is>
      </c>
      <c r="D2" s="32" t="inlineStr">
        <is>
          <t>Text: 991 chars; Prices: 0 ($-sign), 0 (decimal); Total: $6.92; Invoice#: INVUS20240717001998094; Real items: 1/1; Structure words: 8/12</t>
        </is>
      </c>
      <c r="E2" s="33" t="inlineStr">
        <is>
          <t xml:space="preserve">SHEIN US Services, LLC. Seles Invoice
777 S Alameda St Fl 2, Los Angeles, CA 90021-1633
Bill To: Invoice No.:
Britana Bowen INVUS20240717001998094
Billing Address: Invoice Date:
10813, NW 30TH STREET BLDG 115 GRE 2594 Miami, 2024-07-17
FLORIDA 33172
Delivery Address:
10813, NW 30TH STREET BLDG 115 GRE 2594 Miami,
FLORIDA 33172
Order Information
Order Number: Order Date:
GSUNJY54400NF6T 2024-07-17
Seller Information
Sold By: Address:
SHEIN DISTRIBUTION CORPORATION United StatesCALIFORNIALos Angeles777 S. Alamaeda St.
Suite 340, Los Angeles, CA 90021
Invoice Detail
SRS Aaa a rT Sis ae eet ete Men rl Ei ea prey re
RAIS ne Meena opeMlahcas merieceads te Ae RB cies Memeercpeiae en pom CRRNN NL Aa Par suse May tpetch sa ce a enue ean EN Secgehl gigs oe Miowes Wend Uevienes Coecee acest Debts Suara freasete ry
Manfinity Homme Men's Fashionable King Printed Short Sleeve T-Shirt And Shorts Combo Set 1 6.45
Item(s) Subtotal: 6.45
Shipping/Handling: 0.00
Sales Tax: 0.47
Grand Total: 6.92
</t>
        </is>
      </c>
    </row>
    <row r="3">
      <c r="A3" s="32" t="inlineStr">
        <is>
          <t>INVUS20240714003388571.pdf</t>
        </is>
      </c>
      <c r="B3" s="32" t="inlineStr">
        <is>
          <t>69/100</t>
        </is>
      </c>
      <c r="C3" s="32" t="inlineStr">
        <is>
          <t>FAIR</t>
        </is>
      </c>
      <c r="D3" s="32" t="inlineStr">
        <is>
          <t>Text: 999 chars; Prices: 0 ($-sign), 1 (decimal); Total: $10.05; Invoice#: INVUS20240714003388571; Real items: 1/1; Structure words: 10/12</t>
        </is>
      </c>
      <c r="E3" s="33" t="inlineStr">
        <is>
          <t>2:32 PM
roundcube (1240×1/52)
SHEIN US Services, LLC.
777 S Alameda St Fl 2, Los Angeles, CA 90021-1633
Sales Invoice
Bill To:
Rochelle Ragbasingh
Invoice No.:
INVUS20240714003388571
Billing Address:
10813 NW 30th St BLDG 115 GRE 8479 Miami, FLORIDA
33172-2191
Invoice Date:
2024-07-14
Delivery Address:
10813 NW 30th St BLDG 115 GRE 8479 Miami, FLORIDA
33172-2191
Order Information
Order Number:
GSUNJ527900MCW9
Order Date:
2024-07-14
Seller Information
Sold By:
YOU TENG
Address:
ChinaRoom G260, D18, Zone D, No. 6 Huangcun North Road,
Tianhe District, Guangzhou, Guangdong, China
Invoice Detail
Description
Quantity
Amount(USD)
20 Pairs Children's Pure Black Simple Mid-Calf Socks, Skin-Friendly, Comfortable, Versatile, Suitable For 1 9.37
Students' Back-To-School Outfits
Item(s) Subtotal:
9.37
Shipping/Handling:
0.00
Sales Tax:
0.68
Grand Total:
10.05
https://huanginscaronda.com/webmail/roundcube/?_task=mail&amp;_frame=1&amp;_mbox=INBOX&amp;_uid=3028&amp;_part=1&amp;_action=part&amp;_autwin=1
1/1</t>
        </is>
      </c>
    </row>
    <row r="4">
      <c r="A4" s="32" t="inlineStr">
        <is>
          <t>INVUS20240714003391892.pdf</t>
        </is>
      </c>
      <c r="B4" s="32" t="inlineStr">
        <is>
          <t>52/100</t>
        </is>
      </c>
      <c r="C4" s="32" t="inlineStr">
        <is>
          <t>FAIR</t>
        </is>
      </c>
      <c r="D4" s="32" t="inlineStr">
        <is>
          <t>Text: 2220 chars; Prices: 0 ($-sign), 2 (decimal); Total: $0.98 (placeholder); Invoice#: INVUS20240714003391892; Real items: 1/1; Structure words: 10/12</t>
        </is>
      </c>
      <c r="E4" s="33" t="inlineStr">
        <is>
          <t>12:31 PM
roundcube (1240×1/52)
SHEIN US Services, LLC.
777 S Alameda St Fl 2, Los Angeles, CA 90021-1633
Sales Invoice
Bill To:
Rochelle Ragbasingh
Invoice No.:
INVUS20240714003391892
Billing Address:
10813 NW 30th St BLDG 115 GRE 8479 Miami, FLORIDA
33172-2191
Invoice Date:
2024-07-14
Delivery Address:
10813 NW 30th St BLDG 115 GRE 8479 Miami, FLORIDA
33172-2191
Order Information
Order Number:
GSUNJ527900MCWL
Order Date:
2024-07-14
Seller Information
Sold By:
Ruirong
Address:
First Floor, Unit 1, Building 122, North Station District 4, Houzhai
Street, Yiwu City, Zhejiang Province, China (self-declaration)
Invoice Detail
Description | Quantity | Amount(USD)
4PCS Manual Pencil Sharpeners - Double Hole Compact Handheld Design For Kids, Students, Classrooms &amp;
Home Offices | 1 | 0.91
Item(s) Subtotal:
0.91
Shipping/Handling:
0.00
Sales Tax:
0.07
Grand Total:
0.98
httns://buuainsaronado.com/webmail/roundcube/?_task=mail&amp;_frame=1&amp;_mbox=INBOX&amp;_uid=3028&amp;_part=0&amp;_action=not&amp;_view=1
1/1
2:32 PM
roundcube (124U×1/52)
S
SHEIN US Services, LLC.
777 S Alameda St Fl 2, Los Angeles, CA 90021-1633
Sales Invoice
Bill To:
Rochelle Ragbasingh
Invoice No.:
INVUS20240714003394424
Billing Address:
10813 NW 30th St BLDG 115 GRE 8479 Miami, FLORIDA
33172-2191
Invoice Date:
2024-07-14
Delivery Address:
10813 NW 30th St BLDG 115 GRE 8479 Miami, FLORIDA
33172-2191
Order Information
Order Number:
GSUNJ527900MCWH
Order Date:
2024-07-14
Seller Information
Sold By:
WZ00001
Address:
No. 15, Xinzhuang, Xishanxia Village, Paitou Town, Zhuji City,
Shaoxing City, Zhejiang Province, China
Invoice Detail
Description
Quantity
Amount(USD)
12 Pairs Black Striped Cuff Basic &amp; Simple Everyday Style Breathable Absorbent Anti-odor Women's Mid-calf
Socks 1 5.39
12 Pairs/set Women's Mid-calf Socks In Black &amp; White Stripe Design, Breathable, Moisture-wicking &amp; Odor-
resistant 1 5.31
12 Pairs Black Striped Cuff Basic &amp; Simple Everyday Style Breathable Absorbent Anti-odor Women's Mid-calf
S</t>
        </is>
      </c>
    </row>
    <row r="5">
      <c r="A5" s="32" t="inlineStr">
        <is>
          <t>INVUS20240717002005487.pdf</t>
        </is>
      </c>
      <c r="B5" s="32" t="inlineStr">
        <is>
          <t>65/100</t>
        </is>
      </c>
      <c r="C5" s="32" t="inlineStr">
        <is>
          <t>FAIR</t>
        </is>
      </c>
      <c r="D5" s="32" t="inlineStr">
        <is>
          <t>Text: 789 chars; Prices: 0 ($-sign), 0 (decimal); Total: $3.07; Invoice#: INVUS20240717002005487; Real items: 1/1; Structure words: 10/12</t>
        </is>
      </c>
      <c r="E5" s="33" t="inlineStr">
        <is>
          <t>SHEIN US Services, LLC.
777 S Alameda St Fl 2, Los Angeles, CA 90021-1633
Sales Invoice
Bill To:
Britana Bowen
Invoice No.:
INVUS20240717002005487
Billing Address:
10813, NW 30TH STREET BLDG 115 GRE 2594 Miami,
FLORIDA 33172
Invoice Date:
2024-07-17
Delivery Address:
10813, NW 30TH STREET BLDG 115 GRE 2594 Miami,
FLORIDA 33172
Order Information
Order Number:
GSUNJY54400NF65
Order Date:
2024-07-17
Seller Information
Sold By:
QZNY
Address:
China 7-2 Yuyuan Road, Jinjiang Economic Development Zone
(Wuli Garden), Quanzhou City, Fujian Province
Invoice Detail
Description
Quantity
Amount(USD)
Women's Thick-Soled Slippers, Summer Anti-Skid Waterproof Beach Sandals, Suitable For Swimming And
Vacation 1 2.86
Item(s) Subtotal:
2.86
Shipping/Handling:
0.00
Sales Tax:
0.21
Grand Total:
3.07</t>
        </is>
      </c>
    </row>
    <row r="6">
      <c r="A6" s="32" t="inlineStr">
        <is>
          <t>INVUS202407170020115372024.pdf</t>
        </is>
      </c>
      <c r="B6" s="32" t="inlineStr">
        <is>
          <t>49/100</t>
        </is>
      </c>
      <c r="C6" s="32" t="inlineStr">
        <is>
          <t>FAIR</t>
        </is>
      </c>
      <c r="D6" s="32" t="inlineStr">
        <is>
          <t>Text: 936 chars; Prices: 0 ($-sign), 2 (decimal); Total: MISSING; Invoice#: INVUS20240717002011537; Real items: 2/2; Structure words: 8/12</t>
        </is>
      </c>
      <c r="E6" s="33" t="inlineStr">
        <is>
          <t>777 7775 S Alameda St Fl 2 , Los Angeles , CA 90021 - 1633
Bill To : Invoice No . :
Britana Bowen INVUS20240717002011537
Billing Address : Invoice Date :
10813 , NW 30 TH STREET BLDG 115 GRE 2594 Miami , 2024 - 07 - 17
FLORIDA 33172
Delivery Address :
10813 , NW 30 TH STREET BLDG 115 GRE 2594 Miami ,
FLORIDA 33172
Order Information
Order Number : Order Date :
GSUNJY 54400 NF 66 2024 - 07 - 17
Seller Information
Sold By : Address :
SHEIN DISTRIBUTION CORPORATION United StatesCALIFORNIALos Angeles 777 S . Alamaeda St .
Suite 340 , Los Angeles , CA 90021
Invoice Detail
Ba Rane ee Re nena Se Se pare eater ar ties areal Brgy apaeeatn te pm
SHEIN Baby Girl Letter Graphic Cami Top &amp; Mesh Overlay Skort 1 3.68
Baby Girl Holiday Casual Cute Raw Hem Ruffle Heart Shaped Strap Elastic Comfort Top &amp; Elastic Waist 2 4.76
Pockets Denim Shorts Sets
Item ( s ) Subtotal : 11.04
Shipping / Handling : 0.00
Sales Tax : 0.00
Grand Total: : 11.04</t>
        </is>
      </c>
    </row>
    <row r="7">
      <c r="A7" s="32" t="inlineStr">
        <is>
          <t>INVUS20240717002018383.pdf</t>
        </is>
      </c>
      <c r="B7" s="32" t="inlineStr">
        <is>
          <t>65/100</t>
        </is>
      </c>
      <c r="C7" s="32" t="inlineStr">
        <is>
          <t>FAIR</t>
        </is>
      </c>
      <c r="D7" s="32" t="inlineStr">
        <is>
          <t>Text: 679 chars; Prices: 0 ($-sign), 0 (decimal); Total: $8.06; Invoice#: INVUS20240717002018383; Real items: 1/1; Structure words: 10/12</t>
        </is>
      </c>
      <c r="E7" s="33" t="inlineStr">
        <is>
          <t>SHEIN US Services, LLC.
777 S Alameda St Fl 2, Los Angeles, CA 90021-1633
Sales Invoice
Bill To:
Britana Bowen
Invoice No.:
INVUS20240717002018383
Billing Address:
10813, NW 30TH STREET BLDG 115 GRE 2594 Miami,
FLORIDA 33172
Invoice Date:
2024-07-17
Delivery Address:
10813, NW 30TH STREET BLDG 115 GRE 2594 Miami,
FLORIDA 33172
Order Information
Order Number:
GSUNJY54400NF6X
Order Date:
2024-07-17
Seller Information
Sold By:
Biubiu
Address:
Room 501, No. 5, Licun South Road, Dashi Street, Panyu
District, Guangzhou, China
Invoice Detail
Description
Quantity
Amount(USD)
Plus Size Dresses 1 7.52
Item(s) Subtotal:
7.52
Shipping/Handling:
0.00
Sales Tax:
0.54
Grand Total:
8.06</t>
        </is>
      </c>
    </row>
    <row r="8">
      <c r="A8" s="32" t="inlineStr">
        <is>
          <t>SELLER.pdf</t>
        </is>
      </c>
      <c r="B8" s="32" t="inlineStr">
        <is>
          <t>65/100</t>
        </is>
      </c>
      <c r="C8" s="32" t="inlineStr">
        <is>
          <t>FAIR</t>
        </is>
      </c>
      <c r="D8" s="32" t="inlineStr">
        <is>
          <t>Text: 876 chars; Prices: 0 ($-sign), 0 (decimal); Total: $1.44; Invoice#: INVUS20240717002005488; Real items: 1/1; Structure words: 10/12</t>
        </is>
      </c>
      <c r="E8" s="33" t="inlineStr">
        <is>
          <t>SHEIN US Services, LLC.
777 S Alameda St Fl 2, Los Angeles, CA 90021-1633
Sales Invoice
Bill To:
Britana Bowen
Invoice No.:
INVUS20240717002005488
Billing Address:
10813, NW 30TH STREET BLDG 115 GRE 2594 Miami,
FLORIDA 33172
Invoice Date:
2024-07-17
Delivery Address:
10813, NW 30TH STREET BLDG 115 GRE 2594 Miami,
FLORIDA 33172
Order Information
Order Number:
GSUNJY54400NF6Q
Order Date:
2024-07-17
Seller Information
Sold By:
HANSISI
Address:
China, 4th Floor, No. 1011, Dongzhou Road, Jiangdong Street,
Yiwu City, Zhejiang Province (self-declaration)
Invoice Detail
Description
Quantity
Amount(USD)
2ML * 10 Sample Women's Perfume With 10 Fragrances, Lasting Fragrance, Rose And Fruit Fragrance,
Ready To Replenish Fragrance, Easy To Carry, Fresh And Elegant, Releasing Women's Perfume 1 1.35
Item(s) Subtotal:
1.35
Shipping/Handling:
0.00
Sales Tax:
0.09
Grand Total:
1.44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2026-04-20T03:00:07Z</dcterms:created>
  <dcterms:modified xsi:type="dcterms:W3CDTF">2026-04-20T03:00:17Z</dcterms:modified>
</cp:coreProperties>
</file>