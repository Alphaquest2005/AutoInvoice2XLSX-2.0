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 Invoices" sheetId="1" state="visible" r:id="rId1"/>
    <sheet name="OCR Notes" sheetId="2" state="visible" r:id="rId2"/>
  </sheets>
  <definedNames/>
  <calcPr calcId="124519" fullCalcOnLoad="1"/>
</workbook>
</file>

<file path=xl/styles.xml><?xml version="1.0" encoding="utf-8"?>
<styleSheet xmlns="http://schemas.openxmlformats.org/spreadsheetml/2006/main">
  <numFmts count="3">
    <numFmt numFmtId="164" formatCode="$#,##0.00"/>
    <numFmt numFmtId="165" formatCode="0.0%"/>
    <numFmt numFmtId="166" formatCode="&quot;$&quot;#,##0.00"/>
  </numFmts>
  <fonts count="14">
    <font>
      <name val="Calibri"/>
      <family val="2"/>
      <color theme="1"/>
      <sz val="11"/>
      <scheme val="minor"/>
    </font>
    <font>
      <b val="1"/>
      <color rgb="00FFFFFF"/>
      <sz val="10"/>
    </font>
    <font>
      <b val="1"/>
      <sz val="11"/>
    </font>
    <font>
      <sz val="10"/>
    </font>
    <font>
      <b val="1"/>
      <color rgb="000000FF"/>
      <sz val="11"/>
    </font>
    <font>
      <b val="1"/>
      <color rgb="00FF0000"/>
      <sz val="11"/>
    </font>
    <font>
      <b val="1"/>
      <color rgb="001F4E79"/>
      <sz val="10"/>
    </font>
    <font>
      <color rgb="001F4E79"/>
      <sz val="10"/>
    </font>
    <font>
      <b val="1"/>
      <color rgb="009C5700"/>
      <sz val="11"/>
    </font>
    <font>
      <b val="1"/>
      <color rgb="00FFFFFF"/>
      <sz val="12"/>
    </font>
    <font>
      <b val="1"/>
    </font>
    <font>
      <b val="1"/>
      <color rgb="00FF0000"/>
    </font>
    <font>
      <i val="1"/>
      <color rgb="00666666"/>
    </font>
    <font>
      <b val="1"/>
      <color rgb="00FFFFFF"/>
      <sz val="11"/>
    </font>
  </fonts>
  <fills count="8">
    <fill>
      <patternFill/>
    </fill>
    <fill>
      <patternFill patternType="gray125"/>
    </fill>
    <fill>
      <patternFill patternType="solid">
        <fgColor rgb="004472C4"/>
        <bgColor rgb="004472C4"/>
      </patternFill>
    </fill>
    <fill>
      <patternFill patternType="solid">
        <fgColor rgb="00D9E1F2"/>
        <bgColor rgb="00D9E1F2"/>
      </patternFill>
    </fill>
    <fill>
      <patternFill patternType="solid">
        <fgColor rgb="00D6E4F0"/>
        <bgColor rgb="00D6E4F0"/>
      </patternFill>
    </fill>
    <fill>
      <patternFill patternType="solid">
        <fgColor rgb="00E0E0E0"/>
        <bgColor rgb="00E0E0E0"/>
      </patternFill>
    </fill>
    <fill>
      <patternFill patternType="solid">
        <fgColor rgb="00FFEBCC"/>
        <bgColor rgb="00FFEBCC"/>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34">
    <xf numFmtId="0" fontId="0" fillId="0" borderId="0" pivotButton="0" quotePrefix="0" xfId="0"/>
    <xf numFmtId="0" fontId="1" fillId="2" borderId="1" applyAlignment="1" pivotButton="0" quotePrefix="0" xfId="0">
      <alignment horizontal="center" wrapText="1"/>
    </xf>
    <xf numFmtId="0" fontId="2" fillId="3" borderId="1" pivotButton="0" quotePrefix="0" xfId="0"/>
    <xf numFmtId="4" fontId="2" fillId="3" borderId="1" pivotButton="0" quotePrefix="0" xfId="0"/>
    <xf numFmtId="0" fontId="3" fillId="0" borderId="1" pivotButton="0" quotePrefix="0" xfId="0"/>
    <xf numFmtId="4" fontId="3" fillId="0" borderId="1" pivotButton="0" quotePrefix="0" xfId="0"/>
    <xf numFmtId="0" fontId="2" fillId="0" borderId="1" pivotButton="0" quotePrefix="0" xfId="0"/>
    <xf numFmtId="4" fontId="2" fillId="0" borderId="1" pivotButton="0" quotePrefix="0" xfId="0"/>
    <xf numFmtId="0" fontId="4" fillId="0" borderId="1" pivotButton="0" quotePrefix="0" xfId="0"/>
    <xf numFmtId="4" fontId="4" fillId="0" borderId="1" pivotButton="0" quotePrefix="0" xfId="0"/>
    <xf numFmtId="0" fontId="5" fillId="0" borderId="1" pivotButton="0" quotePrefix="0" xfId="0"/>
    <xf numFmtId="4" fontId="5" fillId="0" borderId="1" pivotButton="0" quotePrefix="0" xfId="0"/>
    <xf numFmtId="0" fontId="6" fillId="4" borderId="1" pivotButton="0" quotePrefix="0" xfId="0"/>
    <xf numFmtId="0" fontId="0" fillId="0" borderId="1" pivotButton="0" quotePrefix="0" xfId="0"/>
    <xf numFmtId="0" fontId="7" fillId="0" borderId="1" pivotButton="0" quotePrefix="0" xfId="0"/>
    <xf numFmtId="164" fontId="6" fillId="0" borderId="1" pivotButton="0" quotePrefix="0" xfId="0"/>
    <xf numFmtId="0" fontId="0" fillId="4" borderId="1" pivotButton="0" quotePrefix="0" xfId="0"/>
    <xf numFmtId="164" fontId="6" fillId="4" borderId="1" pivotButton="0" quotePrefix="0" xfId="0"/>
    <xf numFmtId="165" fontId="6" fillId="0" borderId="1" pivotButton="0" quotePrefix="0" xfId="0"/>
    <xf numFmtId="0" fontId="0" fillId="5" borderId="0" pivotButton="0" quotePrefix="0" xfId="0"/>
    <xf numFmtId="0" fontId="0" fillId="6" borderId="1" pivotButton="0" quotePrefix="0" xfId="0"/>
    <xf numFmtId="0" fontId="8" fillId="6" borderId="1" pivotButton="0" quotePrefix="0" xfId="0"/>
    <xf numFmtId="0" fontId="0" fillId="2" borderId="0" pivotButton="0" quotePrefix="0" xfId="0"/>
    <xf numFmtId="0" fontId="9" fillId="2" borderId="0" pivotButton="0" quotePrefix="0" xfId="0"/>
    <xf numFmtId="0" fontId="10" fillId="0" borderId="0" pivotButton="0" quotePrefix="0" xfId="0"/>
    <xf numFmtId="166" fontId="0" fillId="0" borderId="0" pivotButton="0" quotePrefix="0" xfId="0"/>
    <xf numFmtId="166" fontId="11" fillId="0" borderId="0" pivotButton="0" quotePrefix="0" xfId="0"/>
    <xf numFmtId="0" fontId="2" fillId="0" borderId="0" pivotButton="0" quotePrefix="0" xfId="0"/>
    <xf numFmtId="166" fontId="2" fillId="0" borderId="0" pivotButton="0" quotePrefix="0" xfId="0"/>
    <xf numFmtId="0" fontId="11" fillId="0" borderId="0" pivotButton="0" quotePrefix="0" xfId="0"/>
    <xf numFmtId="0" fontId="12" fillId="0" borderId="0" pivotButton="0" quotePrefix="0" xfId="0"/>
    <xf numFmtId="0" fontId="13" fillId="2" borderId="0" pivotButton="0" quotePrefix="0" xfId="0"/>
    <xf numFmtId="0" fontId="0" fillId="7" borderId="0" pivotButton="0" quotePrefix="0" xfId="0"/>
    <xf numFmtId="0" fontId="0"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48"/>
  <sheetViews>
    <sheetView workbookViewId="0">
      <selection activeCell="A1" sqref="A1"/>
    </sheetView>
  </sheetViews>
  <sheetFormatPr baseColWidth="8" defaultRowHeight="15"/>
  <cols>
    <col width="14" customWidth="1" min="1" max="1"/>
    <col width="12" customWidth="1" min="2" max="2"/>
    <col width="20" customWidth="1" min="3" max="3"/>
    <col width="12" customWidth="1" min="4" max="4"/>
    <col width="15" customWidth="1" min="5" max="5"/>
    <col width="12" customWidth="1" min="6" max="6"/>
    <col width="22" customWidth="1" min="7" max="7"/>
    <col width="40" customWidth="1" min="8" max="8"/>
    <col width="18" customWidth="1" min="9" max="9"/>
    <col width="45" customWidth="1" min="10" max="10"/>
    <col width="10" customWidth="1" min="11" max="11"/>
    <col width="12" customWidth="1" min="12" max="12"/>
    <col width="8" customWidth="1" min="13" max="13"/>
    <col width="8" customWidth="1" min="14" max="14"/>
    <col width="12" customWidth="1" min="15" max="15"/>
    <col width="12" customWidth="1" min="16" max="16"/>
    <col width="12" customWidth="1" min="17" max="17"/>
    <col width="14" customWidth="1" min="18" max="18"/>
    <col width="14" customWidth="1" min="19" max="19"/>
    <col width="16" customWidth="1" min="20" max="20"/>
    <col width="14" customWidth="1" min="21" max="21"/>
    <col width="14" customWidth="1" min="22" max="22"/>
    <col width="14" customWidth="1" min="23" max="23"/>
    <col width="10" customWidth="1" min="24" max="24"/>
    <col width="12" customWidth="1" min="25" max="25"/>
    <col width="14" customWidth="1" min="26" max="26"/>
    <col width="28" customWidth="1" min="27" max="27"/>
    <col width="40" customWidth="1" min="28" max="28"/>
    <col width="12" customWidth="1" min="29" max="29"/>
    <col width="12" customWidth="1" min="30" max="30"/>
    <col width="18" customWidth="1" min="31" max="31"/>
    <col width="16" customWidth="1" min="32" max="32"/>
    <col width="10" customWidth="1" min="33" max="33"/>
    <col width="10" customWidth="1" min="34" max="34"/>
    <col width="14" customWidth="1" min="35" max="35"/>
    <col width="14" customWidth="1" min="36" max="36"/>
    <col width="12" customWidth="1" min="37" max="37"/>
  </cols>
  <sheetData>
    <row r="1">
      <c r="A1" s="1" t="inlineStr">
        <is>
          <t>Document Type</t>
        </is>
      </c>
      <c r="B1" s="1" t="inlineStr">
        <is>
          <t>PO Number</t>
        </is>
      </c>
      <c r="C1" s="1" t="inlineStr">
        <is>
          <t>Supplier Invoice#</t>
        </is>
      </c>
      <c r="D1" s="1" t="inlineStr">
        <is>
          <t>Date</t>
        </is>
      </c>
      <c r="E1" s="1" t="inlineStr">
        <is>
          <t>Category</t>
        </is>
      </c>
      <c r="F1" s="1" t="inlineStr">
        <is>
          <t>TariffCode</t>
        </is>
      </c>
      <c r="G1" s="1" t="inlineStr">
        <is>
          <t>PO Item Number</t>
        </is>
      </c>
      <c r="H1" s="1" t="inlineStr">
        <is>
          <t>PO Item Description</t>
        </is>
      </c>
      <c r="I1" s="1" t="inlineStr">
        <is>
          <t>Supplier Item Number</t>
        </is>
      </c>
      <c r="J1" s="1" t="inlineStr">
        <is>
          <t>Supplier Item Description</t>
        </is>
      </c>
      <c r="K1" s="1" t="inlineStr">
        <is>
          <t>Quantity</t>
        </is>
      </c>
      <c r="L1" s="1" t="inlineStr">
        <is>
          <t>Per Unit</t>
        </is>
      </c>
      <c r="M1" s="1" t="inlineStr">
        <is>
          <t>UNITS</t>
        </is>
      </c>
      <c r="N1" s="1" t="inlineStr">
        <is>
          <t>Currency</t>
        </is>
      </c>
      <c r="O1" s="1" t="inlineStr">
        <is>
          <t>Cost</t>
        </is>
      </c>
      <c r="P1" s="1" t="inlineStr">
        <is>
          <t>Total Cost</t>
        </is>
      </c>
      <c r="Q1" s="1" t="inlineStr">
        <is>
          <t>Total</t>
        </is>
      </c>
      <c r="R1" s="1" t="inlineStr">
        <is>
          <t>TotalCost Vs Total</t>
        </is>
      </c>
      <c r="S1" s="1" t="inlineStr">
        <is>
          <t>InvoiceTotal</t>
        </is>
      </c>
      <c r="T1" s="1" t="inlineStr">
        <is>
          <t>Total Internal Freight</t>
        </is>
      </c>
      <c r="U1" s="1" t="inlineStr">
        <is>
          <t>Total Insurance</t>
        </is>
      </c>
      <c r="V1" s="1" t="inlineStr">
        <is>
          <t>Total Other Cost</t>
        </is>
      </c>
      <c r="W1" s="1" t="inlineStr">
        <is>
          <t>Total Deduction</t>
        </is>
      </c>
      <c r="X1" s="1" t="inlineStr">
        <is>
          <t>Packages</t>
        </is>
      </c>
      <c r="Y1" s="1" t="inlineStr">
        <is>
          <t>Warehouse</t>
        </is>
      </c>
      <c r="Z1" s="1" t="inlineStr">
        <is>
          <t>Supplier Code</t>
        </is>
      </c>
      <c r="AA1" s="1" t="inlineStr">
        <is>
          <t>Supplier Name</t>
        </is>
      </c>
      <c r="AB1" s="1" t="inlineStr">
        <is>
          <t>Supplier Address</t>
        </is>
      </c>
      <c r="AC1" s="1" t="inlineStr">
        <is>
          <t>Country Code</t>
        </is>
      </c>
      <c r="AD1" s="1" t="inlineStr">
        <is>
          <t>Instructions</t>
        </is>
      </c>
      <c r="AE1" s="1" t="inlineStr">
        <is>
          <t>Previous Declaration</t>
        </is>
      </c>
      <c r="AF1" s="1" t="inlineStr">
        <is>
          <t>Financial Information</t>
        </is>
      </c>
      <c r="AG1" s="1" t="inlineStr">
        <is>
          <t>Gallons</t>
        </is>
      </c>
      <c r="AH1" s="1" t="inlineStr">
        <is>
          <t>Liters</t>
        </is>
      </c>
      <c r="AI1" s="1" t="inlineStr">
        <is>
          <t>INVTotalCost</t>
        </is>
      </c>
      <c r="AJ1" s="1" t="inlineStr">
        <is>
          <t>POTotalCost</t>
        </is>
      </c>
      <c r="AK1" s="1" t="inlineStr">
        <is>
          <t>GroupBy</t>
        </is>
      </c>
    </row>
    <row r="2">
      <c r="A2" s="2" t="inlineStr">
        <is>
          <t>4000-000</t>
        </is>
      </c>
      <c r="B2" s="2" t="n"/>
      <c r="C2" s="2" t="inlineStr">
        <is>
          <t>INVUS20240717001998094</t>
        </is>
      </c>
      <c r="D2" s="2" t="n"/>
      <c r="E2" s="2" t="inlineStr">
        <is>
          <t>PRODUCTS</t>
        </is>
      </c>
      <c r="F2" s="2" t="inlineStr">
        <is>
          <t>00000000</t>
        </is>
      </c>
      <c r="G2" s="2" t="n"/>
      <c r="H2" s="2" t="n"/>
      <c r="I2" s="2" t="inlineStr">
        <is>
          <t>00000000</t>
        </is>
      </c>
      <c r="J2" s="2" t="inlineStr">
        <is>
          <t>SRS Aaa a rT Sis ae eet ete Men rl Ei ea prey re RAIS ne Meena opeMlahcas mer... (1 items)</t>
        </is>
      </c>
      <c r="K2" s="2" t="n">
        <v>1</v>
      </c>
      <c r="L2" s="2" t="n"/>
      <c r="M2" s="2" t="n"/>
      <c r="N2" s="2" t="inlineStr">
        <is>
          <t>USD</t>
        </is>
      </c>
      <c r="O2" s="3" t="n">
        <v>6.45</v>
      </c>
      <c r="P2" s="3" t="n">
        <v>6.45</v>
      </c>
      <c r="Q2" s="3">
        <f>O2*K2</f>
        <v/>
      </c>
      <c r="R2" s="3">
        <f>P2-Q2</f>
        <v/>
      </c>
      <c r="S2" s="3" t="n">
        <v>6.92</v>
      </c>
      <c r="T2" s="3" t="n">
        <v>0</v>
      </c>
      <c r="U2" s="3" t="n">
        <v>0</v>
      </c>
      <c r="V2" s="3" t="n">
        <v>0.47</v>
      </c>
      <c r="W2" s="3" t="n">
        <v>0</v>
      </c>
      <c r="X2" s="2" t="n">
        <v>1</v>
      </c>
      <c r="Y2" s="2" t="n"/>
      <c r="Z2" s="2" t="inlineStr">
        <is>
          <t>SHEIN</t>
        </is>
      </c>
      <c r="AA2" s="2" t="inlineStr">
        <is>
          <t>SHEIN US Services, LLC</t>
        </is>
      </c>
      <c r="AB2" s="2" t="inlineStr">
        <is>
          <t>777 S. Alameda St., Second Floor, Los Angeles, CA 90021</t>
        </is>
      </c>
      <c r="AC2" s="2" t="inlineStr">
        <is>
          <t>US</t>
        </is>
      </c>
      <c r="AD2" s="2" t="n"/>
      <c r="AE2" s="2" t="n"/>
      <c r="AF2" s="2" t="n"/>
      <c r="AG2" s="2" t="n"/>
      <c r="AH2" s="2" t="n"/>
      <c r="AI2" s="2" t="n"/>
      <c r="AJ2" s="2" t="n"/>
      <c r="AK2" s="2" t="inlineStr">
        <is>
          <t>00000000</t>
        </is>
      </c>
    </row>
    <row r="3">
      <c r="A3" s="4" t="n"/>
      <c r="B3" s="4" t="n"/>
      <c r="C3" s="4" t="n"/>
      <c r="D3" s="4" t="n"/>
      <c r="E3" s="4" t="n"/>
      <c r="F3" s="4" t="inlineStr">
        <is>
          <t>00000000</t>
        </is>
      </c>
      <c r="G3" s="4" t="n"/>
      <c r="H3" s="4" t="n"/>
      <c r="I3" s="4" t="inlineStr">
        <is>
          <t>SHEIN-1</t>
        </is>
      </c>
      <c r="J3" s="4" t="inlineStr">
        <is>
          <t>SRS Aaa a rT Sis ae eet ete Men rl Ei ea prey re RAIS ne Meena opeMlahcas mer...</t>
        </is>
      </c>
      <c r="K3" s="4" t="n">
        <v>1</v>
      </c>
      <c r="L3" s="4" t="n"/>
      <c r="M3" s="4" t="n"/>
      <c r="N3" s="4" t="inlineStr">
        <is>
          <t>USD</t>
        </is>
      </c>
      <c r="O3" s="5" t="n">
        <v>6.45</v>
      </c>
      <c r="P3" s="5" t="n">
        <v>6.45</v>
      </c>
      <c r="Q3" s="5">
        <f>O3*K3</f>
        <v/>
      </c>
      <c r="R3" s="5">
        <f>P3-Q3</f>
        <v/>
      </c>
      <c r="S3" s="4" t="n"/>
      <c r="T3" s="4" t="n"/>
      <c r="U3" s="4" t="n"/>
      <c r="V3" s="4" t="n"/>
      <c r="W3" s="4" t="n"/>
      <c r="X3" s="4" t="n"/>
      <c r="Y3" s="4" t="n"/>
      <c r="Z3" s="4" t="n"/>
      <c r="AA3" s="4" t="n"/>
      <c r="AB3" s="4" t="n"/>
      <c r="AC3" s="4" t="n"/>
      <c r="AD3" s="4" t="n"/>
      <c r="AE3" s="4" t="n"/>
      <c r="AF3" s="4" t="n"/>
      <c r="AG3" s="4" t="n"/>
      <c r="AH3" s="4" t="n"/>
      <c r="AI3" s="4" t="n"/>
      <c r="AJ3" s="4" t="n"/>
      <c r="AK3" s="4" t="n"/>
    </row>
    <row r="4">
      <c r="A4" s="6" t="n"/>
      <c r="B4" s="6" t="n"/>
      <c r="C4" s="6" t="n"/>
      <c r="D4" s="6" t="n"/>
      <c r="E4" s="6" t="n"/>
      <c r="F4" s="6" t="n"/>
      <c r="G4" s="6" t="n"/>
      <c r="H4" s="6" t="n"/>
      <c r="I4" s="6" t="n"/>
      <c r="J4" s="6" t="inlineStr">
        <is>
          <t>SUBTOTAL (GROUPED)</t>
        </is>
      </c>
      <c r="K4" s="6" t="n"/>
      <c r="L4" s="6" t="n"/>
      <c r="M4" s="6" t="n"/>
      <c r="N4" s="6" t="n"/>
      <c r="O4" s="6" t="n"/>
      <c r="P4" s="7">
        <f>P2</f>
        <v/>
      </c>
      <c r="Q4" s="7">
        <f>Q2</f>
        <v/>
      </c>
      <c r="R4" s="6" t="n"/>
      <c r="S4" s="6" t="n"/>
      <c r="T4" s="6" t="n"/>
      <c r="U4" s="6" t="n"/>
      <c r="V4" s="6" t="n"/>
      <c r="W4" s="6" t="n"/>
      <c r="X4" s="6" t="n"/>
      <c r="Y4" s="6" t="n"/>
      <c r="Z4" s="6" t="n"/>
      <c r="AA4" s="6" t="n"/>
      <c r="AB4" s="6" t="n"/>
      <c r="AC4" s="6" t="n"/>
      <c r="AD4" s="6" t="n"/>
      <c r="AE4" s="6" t="n"/>
      <c r="AF4" s="6" t="n"/>
      <c r="AG4" s="6" t="n"/>
      <c r="AH4" s="6" t="n"/>
      <c r="AI4" s="6" t="n"/>
      <c r="AJ4" s="6" t="n"/>
      <c r="AK4" s="6" t="n"/>
    </row>
    <row r="5">
      <c r="A5" s="6" t="n"/>
      <c r="B5" s="6" t="n"/>
      <c r="C5" s="6" t="n"/>
      <c r="D5" s="6" t="n"/>
      <c r="E5" s="6" t="n"/>
      <c r="F5" s="6" t="n"/>
      <c r="G5" s="6" t="n"/>
      <c r="H5" s="6" t="n"/>
      <c r="I5" s="6" t="n"/>
      <c r="J5" s="6" t="inlineStr">
        <is>
          <t>SUBTOTAL (DETAILS)</t>
        </is>
      </c>
      <c r="K5" s="6" t="n"/>
      <c r="L5" s="6" t="n"/>
      <c r="M5" s="6" t="n"/>
      <c r="N5" s="6" t="n"/>
      <c r="O5" s="6" t="n"/>
      <c r="P5" s="7">
        <f>SUM(P2:P3)-P4</f>
        <v/>
      </c>
      <c r="Q5" s="7">
        <f>SUM(Q2:Q3)-Q4</f>
        <v/>
      </c>
      <c r="R5" s="6" t="n"/>
      <c r="S5" s="6" t="n"/>
      <c r="T5" s="6" t="n"/>
      <c r="U5" s="6" t="n"/>
      <c r="V5" s="6" t="n"/>
      <c r="W5" s="6" t="n"/>
      <c r="X5" s="6" t="n"/>
      <c r="Y5" s="6" t="n"/>
      <c r="Z5" s="6" t="n"/>
      <c r="AA5" s="6" t="n"/>
      <c r="AB5" s="6" t="n"/>
      <c r="AC5" s="6" t="n"/>
      <c r="AD5" s="6" t="n"/>
      <c r="AE5" s="6" t="n"/>
      <c r="AF5" s="6" t="n"/>
      <c r="AG5" s="6" t="n"/>
      <c r="AH5" s="6" t="n"/>
      <c r="AI5" s="6" t="n"/>
      <c r="AJ5" s="6" t="n"/>
      <c r="AK5" s="6" t="n"/>
    </row>
    <row r="6">
      <c r="A6" s="8" t="n"/>
      <c r="B6" s="8" t="n"/>
      <c r="C6" s="8" t="n"/>
      <c r="D6" s="8" t="n"/>
      <c r="E6" s="8" t="n"/>
      <c r="F6" s="8" t="n"/>
      <c r="G6" s="8" t="n"/>
      <c r="H6" s="8" t="n"/>
      <c r="I6" s="8" t="n"/>
      <c r="J6" s="8" t="inlineStr">
        <is>
          <t>GROUP VERIFICATION</t>
        </is>
      </c>
      <c r="K6" s="8" t="n"/>
      <c r="L6" s="8" t="n"/>
      <c r="M6" s="8" t="n"/>
      <c r="N6" s="8" t="n"/>
      <c r="O6" s="8" t="n"/>
      <c r="P6" s="9">
        <f>P4-P5</f>
        <v/>
      </c>
      <c r="Q6" s="9">
        <f>Q4-Q5</f>
        <v/>
      </c>
      <c r="R6" s="8" t="n"/>
      <c r="S6" s="8" t="n"/>
      <c r="T6" s="8" t="n"/>
      <c r="U6" s="8" t="n"/>
      <c r="V6" s="8" t="n"/>
      <c r="W6" s="8" t="n"/>
      <c r="X6" s="8" t="n"/>
      <c r="Y6" s="8" t="n"/>
      <c r="Z6" s="8" t="n"/>
      <c r="AA6" s="8" t="n"/>
      <c r="AB6" s="8" t="n"/>
      <c r="AC6" s="8" t="n"/>
      <c r="AD6" s="8" t="n"/>
      <c r="AE6" s="8" t="n"/>
      <c r="AF6" s="8" t="n"/>
      <c r="AG6" s="8" t="n"/>
      <c r="AH6" s="8" t="n"/>
      <c r="AI6" s="8" t="n"/>
      <c r="AJ6" s="8" t="n"/>
      <c r="AK6" s="8" t="n"/>
    </row>
    <row r="7"/>
    <row r="8">
      <c r="A8" s="6" t="n"/>
      <c r="B8" s="6" t="n"/>
      <c r="C8" s="6" t="n"/>
      <c r="D8" s="6" t="n"/>
      <c r="E8" s="6" t="n"/>
      <c r="F8" s="6" t="n"/>
      <c r="G8" s="6" t="n"/>
      <c r="H8" s="6" t="n"/>
      <c r="I8" s="6" t="n"/>
      <c r="J8" s="6" t="inlineStr">
        <is>
          <t>TOTAL INTERNAL FREIGHT</t>
        </is>
      </c>
      <c r="K8" s="6" t="n"/>
      <c r="L8" s="6" t="n"/>
      <c r="M8" s="6" t="n"/>
      <c r="N8" s="6" t="n"/>
      <c r="O8" s="6" t="n"/>
      <c r="P8" s="7" t="n">
        <v>0</v>
      </c>
      <c r="Q8" s="7" t="n"/>
      <c r="R8" s="6" t="n"/>
      <c r="S8" s="6" t="n"/>
      <c r="T8" s="6" t="n"/>
      <c r="U8" s="6" t="n"/>
      <c r="V8" s="6" t="n"/>
      <c r="W8" s="6" t="n"/>
      <c r="X8" s="6" t="n"/>
      <c r="Y8" s="6" t="n"/>
      <c r="Z8" s="6" t="n"/>
      <c r="AA8" s="6" t="n"/>
      <c r="AB8" s="6" t="n"/>
      <c r="AC8" s="6" t="n"/>
      <c r="AD8" s="6" t="n"/>
      <c r="AE8" s="6" t="n"/>
      <c r="AF8" s="6" t="n"/>
      <c r="AG8" s="6" t="n"/>
      <c r="AH8" s="6" t="n"/>
      <c r="AI8" s="6" t="n"/>
      <c r="AJ8" s="6" t="n"/>
      <c r="AK8" s="6" t="n"/>
    </row>
    <row r="9">
      <c r="A9" s="6" t="n"/>
      <c r="B9" s="6" t="n"/>
      <c r="C9" s="6" t="n"/>
      <c r="D9" s="6" t="n"/>
      <c r="E9" s="6" t="n"/>
      <c r="F9" s="6" t="n"/>
      <c r="G9" s="6" t="n"/>
      <c r="H9" s="6" t="n"/>
      <c r="I9" s="6" t="n"/>
      <c r="J9" s="6" t="inlineStr">
        <is>
          <t>TOTAL INSURANCE</t>
        </is>
      </c>
      <c r="K9" s="6" t="n"/>
      <c r="L9" s="6" t="n"/>
      <c r="M9" s="6" t="n"/>
      <c r="N9" s="6" t="n"/>
      <c r="O9" s="6" t="n"/>
      <c r="P9" s="7" t="n">
        <v>0</v>
      </c>
      <c r="Q9" s="7" t="n"/>
      <c r="R9" s="6" t="n"/>
      <c r="S9" s="6" t="n"/>
      <c r="T9" s="6" t="n"/>
      <c r="U9" s="6" t="n"/>
      <c r="V9" s="6" t="n"/>
      <c r="W9" s="6" t="n"/>
      <c r="X9" s="6" t="n"/>
      <c r="Y9" s="6" t="n"/>
      <c r="Z9" s="6" t="n"/>
      <c r="AA9" s="6" t="n"/>
      <c r="AB9" s="6" t="n"/>
      <c r="AC9" s="6" t="n"/>
      <c r="AD9" s="6" t="n"/>
      <c r="AE9" s="6" t="n"/>
      <c r="AF9" s="6" t="n"/>
      <c r="AG9" s="6" t="n"/>
      <c r="AH9" s="6" t="n"/>
      <c r="AI9" s="6" t="n"/>
      <c r="AJ9" s="6" t="n"/>
      <c r="AK9" s="6" t="n"/>
    </row>
    <row r="10">
      <c r="A10" s="6" t="n"/>
      <c r="B10" s="6" t="n"/>
      <c r="C10" s="6" t="n"/>
      <c r="D10" s="6" t="n"/>
      <c r="E10" s="6" t="n"/>
      <c r="F10" s="6" t="n"/>
      <c r="G10" s="6" t="n"/>
      <c r="H10" s="6" t="n"/>
      <c r="I10" s="6" t="n"/>
      <c r="J10" s="6" t="inlineStr">
        <is>
          <t>TOTAL OTHER COST</t>
        </is>
      </c>
      <c r="K10" s="6" t="n"/>
      <c r="L10" s="6" t="n"/>
      <c r="M10" s="6" t="n"/>
      <c r="N10" s="6" t="n"/>
      <c r="O10" s="6" t="n"/>
      <c r="P10" s="7" t="n">
        <v>0.47</v>
      </c>
      <c r="Q10" s="7" t="n"/>
      <c r="R10" s="6" t="n"/>
      <c r="S10" s="6" t="n"/>
      <c r="T10" s="6" t="n"/>
      <c r="U10" s="6" t="n"/>
      <c r="V10" s="6" t="n"/>
      <c r="W10" s="6" t="n"/>
      <c r="X10" s="6" t="n"/>
      <c r="Y10" s="6" t="n"/>
      <c r="Z10" s="6" t="n"/>
      <c r="AA10" s="6" t="n"/>
      <c r="AB10" s="6" t="n"/>
      <c r="AC10" s="6" t="n"/>
      <c r="AD10" s="6" t="n"/>
      <c r="AE10" s="6" t="n"/>
      <c r="AF10" s="6" t="n"/>
      <c r="AG10" s="6" t="n"/>
      <c r="AH10" s="6" t="n"/>
      <c r="AI10" s="6" t="n"/>
      <c r="AJ10" s="6" t="n"/>
      <c r="AK10" s="6" t="n"/>
    </row>
    <row r="11">
      <c r="A11" s="6" t="n"/>
      <c r="B11" s="6" t="n"/>
      <c r="C11" s="6" t="n"/>
      <c r="D11" s="6" t="n"/>
      <c r="E11" s="6" t="n"/>
      <c r="F11" s="6" t="n"/>
      <c r="G11" s="6" t="n"/>
      <c r="H11" s="6" t="n"/>
      <c r="I11" s="6" t="n"/>
      <c r="J11" s="6" t="inlineStr">
        <is>
          <t>TOTAL DEDUCTION</t>
        </is>
      </c>
      <c r="K11" s="6" t="n"/>
      <c r="L11" s="6" t="n"/>
      <c r="M11" s="6" t="n"/>
      <c r="N11" s="6" t="n"/>
      <c r="O11" s="6" t="n"/>
      <c r="P11" s="7" t="n">
        <v>0</v>
      </c>
      <c r="Q11" s="7" t="n"/>
      <c r="R11" s="6" t="n"/>
      <c r="S11" s="6" t="n"/>
      <c r="T11" s="6" t="n"/>
      <c r="U11" s="6" t="n"/>
      <c r="V11" s="6" t="n"/>
      <c r="W11" s="6" t="n"/>
      <c r="X11" s="6" t="n"/>
      <c r="Y11" s="6" t="n"/>
      <c r="Z11" s="6" t="n"/>
      <c r="AA11" s="6" t="n"/>
      <c r="AB11" s="6" t="n"/>
      <c r="AC11" s="6" t="n"/>
      <c r="AD11" s="6" t="n"/>
      <c r="AE11" s="6" t="n"/>
      <c r="AF11" s="6" t="n"/>
      <c r="AG11" s="6" t="n"/>
      <c r="AH11" s="6" t="n"/>
      <c r="AI11" s="6" t="n"/>
      <c r="AJ11" s="6" t="n"/>
      <c r="AK11" s="6" t="n"/>
    </row>
    <row r="12">
      <c r="A12" s="6" t="n"/>
      <c r="B12" s="6" t="n"/>
      <c r="C12" s="6" t="n"/>
      <c r="D12" s="6" t="n"/>
      <c r="E12" s="6" t="n"/>
      <c r="F12" s="6" t="n"/>
      <c r="G12" s="6" t="n"/>
      <c r="H12" s="6" t="n"/>
      <c r="I12" s="6" t="n"/>
      <c r="J12" s="6" t="inlineStr">
        <is>
          <t>ADJUSTMENTS</t>
        </is>
      </c>
      <c r="K12" s="6" t="n"/>
      <c r="L12" s="6" t="n"/>
      <c r="M12" s="6" t="n"/>
      <c r="N12" s="6" t="n"/>
      <c r="O12" s="6" t="n"/>
      <c r="P12" s="7">
        <f>(T2+U2+V2-W2)</f>
        <v/>
      </c>
      <c r="Q12" s="7">
        <f>(T2+U2+V2-W2)</f>
        <v/>
      </c>
      <c r="R12" s="6" t="n"/>
      <c r="S12" s="6" t="n"/>
      <c r="T12" s="6" t="n"/>
      <c r="U12" s="6" t="n"/>
      <c r="V12" s="6" t="n"/>
      <c r="W12" s="6" t="n"/>
      <c r="X12" s="6" t="n"/>
      <c r="Y12" s="6" t="n"/>
      <c r="Z12" s="6" t="n"/>
      <c r="AA12" s="6" t="n"/>
      <c r="AB12" s="6" t="n"/>
      <c r="AC12" s="6" t="n"/>
      <c r="AD12" s="6" t="n"/>
      <c r="AE12" s="6" t="n"/>
      <c r="AF12" s="6" t="n"/>
      <c r="AG12" s="6" t="n"/>
      <c r="AH12" s="6" t="n"/>
      <c r="AI12" s="6" t="n"/>
      <c r="AJ12" s="6" t="n"/>
      <c r="AK12" s="6" t="n"/>
    </row>
    <row r="13"/>
    <row r="14">
      <c r="A14" s="6" t="n"/>
      <c r="B14" s="6" t="n"/>
      <c r="C14" s="6" t="n"/>
      <c r="D14" s="6" t="n"/>
      <c r="E14" s="6" t="n"/>
      <c r="F14" s="6" t="n"/>
      <c r="G14" s="6" t="n"/>
      <c r="H14" s="6" t="n"/>
      <c r="I14" s="6" t="n"/>
      <c r="J14" s="6" t="inlineStr">
        <is>
          <t>NET TOTAL</t>
        </is>
      </c>
      <c r="K14" s="6" t="n"/>
      <c r="L14" s="6" t="n"/>
      <c r="M14" s="6" t="n"/>
      <c r="N14" s="6" t="n"/>
      <c r="O14" s="6" t="n"/>
      <c r="P14" s="7">
        <f>P4+P12</f>
        <v/>
      </c>
      <c r="Q14" s="7">
        <f>Q4+Q12</f>
        <v/>
      </c>
      <c r="R14" s="6" t="n"/>
      <c r="S14" s="6" t="n"/>
      <c r="T14" s="6" t="n"/>
      <c r="U14" s="6" t="n"/>
      <c r="V14" s="6" t="n"/>
      <c r="W14" s="6" t="n"/>
      <c r="X14" s="6" t="n"/>
      <c r="Y14" s="6" t="n"/>
      <c r="Z14" s="6" t="n"/>
      <c r="AA14" s="6" t="n"/>
      <c r="AB14" s="6" t="n"/>
      <c r="AC14" s="6" t="n"/>
      <c r="AD14" s="6" t="n"/>
      <c r="AE14" s="6" t="n"/>
      <c r="AF14" s="6" t="n"/>
      <c r="AG14" s="6" t="n"/>
      <c r="AH14" s="6" t="n"/>
      <c r="AI14" s="6" t="n"/>
      <c r="AJ14" s="6" t="n"/>
      <c r="AK14" s="6" t="n"/>
    </row>
    <row r="15">
      <c r="A15" s="6" t="n"/>
      <c r="B15" s="6" t="n"/>
      <c r="C15" s="6" t="n"/>
      <c r="D15" s="6" t="n"/>
      <c r="E15" s="6" t="n"/>
      <c r="F15" s="6" t="n"/>
      <c r="G15" s="6" t="n"/>
      <c r="H15" s="6" t="n"/>
      <c r="I15" s="6" t="n"/>
      <c r="J15" s="6" t="inlineStr">
        <is>
          <t>INVOICE TOTAL</t>
        </is>
      </c>
      <c r="K15" s="6" t="n"/>
      <c r="L15" s="6" t="n"/>
      <c r="M15" s="6" t="n"/>
      <c r="N15" s="6" t="n"/>
      <c r="O15" s="6" t="n"/>
      <c r="P15" s="7">
        <f>S2</f>
        <v/>
      </c>
      <c r="Q15" s="7" t="n"/>
      <c r="R15" s="6" t="n"/>
      <c r="S15" s="6" t="n"/>
      <c r="T15" s="6" t="n"/>
      <c r="U15" s="6" t="n"/>
      <c r="V15" s="6" t="n"/>
      <c r="W15" s="6" t="n"/>
      <c r="X15" s="6" t="n"/>
      <c r="Y15" s="6" t="n"/>
      <c r="Z15" s="6" t="n"/>
      <c r="AA15" s="6" t="n"/>
      <c r="AB15" s="6" t="n"/>
      <c r="AC15" s="6" t="n"/>
      <c r="AD15" s="6" t="n"/>
      <c r="AE15" s="6" t="n"/>
      <c r="AF15" s="6" t="n"/>
      <c r="AG15" s="6" t="n"/>
      <c r="AH15" s="6" t="n"/>
      <c r="AI15" s="6" t="n"/>
      <c r="AJ15" s="6" t="n"/>
      <c r="AK15" s="6" t="n"/>
    </row>
    <row r="16"/>
    <row r="17">
      <c r="A17" s="10" t="n"/>
      <c r="B17" s="10" t="n"/>
      <c r="C17" s="10" t="n"/>
      <c r="D17" s="10" t="n"/>
      <c r="E17" s="10" t="n"/>
      <c r="F17" s="10" t="n"/>
      <c r="G17" s="10" t="n"/>
      <c r="H17" s="10" t="n"/>
      <c r="I17" s="10" t="n"/>
      <c r="J17" s="10" t="inlineStr">
        <is>
          <t>VARIANCE CHECK</t>
        </is>
      </c>
      <c r="K17" s="10" t="n"/>
      <c r="L17" s="10" t="n"/>
      <c r="M17" s="10" t="n"/>
      <c r="N17" s="10" t="n"/>
      <c r="O17" s="10" t="n"/>
      <c r="P17" s="11">
        <f>S2-P14</f>
        <v/>
      </c>
      <c r="Q17" s="11">
        <f>S2-Q14</f>
        <v/>
      </c>
      <c r="R17" s="10" t="n"/>
      <c r="S17" s="10" t="n"/>
      <c r="T17" s="10" t="n"/>
      <c r="U17" s="10" t="n"/>
      <c r="V17" s="10" t="n"/>
      <c r="W17" s="10" t="n"/>
      <c r="X17" s="10" t="n"/>
      <c r="Y17" s="10" t="n"/>
      <c r="Z17" s="10" t="n"/>
      <c r="AA17" s="10" t="n"/>
      <c r="AB17" s="10" t="n"/>
      <c r="AC17" s="10" t="n"/>
      <c r="AD17" s="10" t="n"/>
      <c r="AE17" s="10" t="n"/>
      <c r="AF17" s="10" t="n"/>
      <c r="AG17" s="10" t="n"/>
      <c r="AH17" s="10" t="n"/>
      <c r="AI17" s="10" t="n"/>
      <c r="AJ17" s="10" t="n"/>
      <c r="AK17" s="10" t="n"/>
    </row>
    <row r="18"/>
    <row r="19">
      <c r="A19" s="12" t="n"/>
      <c r="B19" s="12" t="n"/>
      <c r="C19" s="12" t="n"/>
      <c r="D19" s="12" t="n"/>
      <c r="E19" s="12" t="n"/>
      <c r="F19" s="12" t="n"/>
      <c r="G19" s="12" t="n"/>
      <c r="H19" s="12" t="n"/>
      <c r="I19" s="12" t="n"/>
      <c r="J19" s="12" t="inlineStr">
        <is>
          <t>DUTY ESTIMATION (Classification Cross-Check)</t>
        </is>
      </c>
      <c r="K19" s="12" t="n"/>
      <c r="L19" s="12" t="n"/>
      <c r="M19" s="12" t="n"/>
      <c r="N19" s="12" t="n"/>
      <c r="O19" s="12" t="n"/>
      <c r="P19" s="12" t="n"/>
      <c r="Q19" s="12" t="n"/>
      <c r="R19" s="12" t="n"/>
      <c r="S19" s="12" t="n"/>
      <c r="T19" s="12" t="n"/>
      <c r="U19" s="12" t="n"/>
      <c r="V19" s="12" t="n"/>
      <c r="W19" s="12" t="n"/>
      <c r="X19" s="12" t="n"/>
      <c r="Y19" s="12" t="n"/>
      <c r="Z19" s="12" t="n"/>
      <c r="AA19" s="12" t="n"/>
      <c r="AB19" s="12" t="n"/>
      <c r="AC19" s="12" t="n"/>
      <c r="AD19" s="12" t="n"/>
      <c r="AE19" s="12" t="n"/>
      <c r="AF19" s="12" t="n"/>
      <c r="AG19" s="12" t="n"/>
      <c r="AH19" s="12" t="n"/>
      <c r="AI19" s="12" t="n"/>
      <c r="AJ19" s="12" t="n"/>
      <c r="AK19" s="12" t="n"/>
    </row>
    <row r="20">
      <c r="A20" s="13" t="n"/>
      <c r="B20" s="13" t="n"/>
      <c r="C20" s="13" t="n"/>
      <c r="D20" s="13" t="n"/>
      <c r="E20" s="13" t="n"/>
      <c r="F20" s="13" t="n"/>
      <c r="G20" s="13" t="n"/>
      <c r="H20" s="13" t="n"/>
      <c r="I20" s="13" t="n"/>
      <c r="J20" s="14" t="inlineStr">
        <is>
          <t>CIF (USD) = InvTotal + Freight + Insurance</t>
        </is>
      </c>
      <c r="K20" s="13" t="n"/>
      <c r="L20" s="13" t="n"/>
      <c r="M20" s="13" t="n"/>
      <c r="N20" s="13" t="n"/>
      <c r="O20" s="13" t="n"/>
      <c r="P20" s="15" t="n">
        <v>6.92</v>
      </c>
      <c r="Q20" s="13" t="n"/>
      <c r="R20" s="13" t="n"/>
      <c r="S20" s="13" t="n"/>
      <c r="T20" s="13" t="n"/>
      <c r="U20" s="13" t="n"/>
      <c r="V20" s="13" t="n"/>
      <c r="W20" s="13" t="n"/>
      <c r="X20" s="13" t="n"/>
      <c r="Y20" s="13" t="n"/>
      <c r="Z20" s="13" t="n"/>
      <c r="AA20" s="13" t="n"/>
      <c r="AB20" s="13" t="n"/>
      <c r="AC20" s="13" t="n"/>
      <c r="AD20" s="13" t="n"/>
      <c r="AE20" s="13" t="n"/>
      <c r="AF20" s="13" t="n"/>
      <c r="AG20" s="13" t="n"/>
      <c r="AH20" s="13" t="n"/>
      <c r="AI20" s="13" t="n"/>
      <c r="AJ20" s="13" t="n"/>
      <c r="AK20" s="13" t="n"/>
    </row>
    <row r="21">
      <c r="A21" s="13" t="n"/>
      <c r="B21" s="13" t="n"/>
      <c r="C21" s="13" t="n"/>
      <c r="D21" s="13" t="n"/>
      <c r="E21" s="13" t="n"/>
      <c r="F21" s="13" t="n"/>
      <c r="G21" s="13" t="n"/>
      <c r="H21" s="13" t="n"/>
      <c r="I21" s="13" t="n"/>
      <c r="J21" s="14" t="inlineStr">
        <is>
          <t>CIF (XCD) = CIF × 2.7169</t>
        </is>
      </c>
      <c r="K21" s="13" t="n"/>
      <c r="L21" s="13" t="n"/>
      <c r="M21" s="13" t="n"/>
      <c r="N21" s="13" t="n"/>
      <c r="O21" s="13" t="n"/>
      <c r="P21" s="15" t="n">
        <v>18.8</v>
      </c>
      <c r="Q21" s="13" t="n"/>
      <c r="R21" s="13" t="n"/>
      <c r="S21" s="13" t="n"/>
      <c r="T21" s="13" t="n"/>
      <c r="U21" s="13" t="n"/>
      <c r="V21" s="13" t="n"/>
      <c r="W21" s="13" t="n"/>
      <c r="X21" s="13" t="n"/>
      <c r="Y21" s="13" t="n"/>
      <c r="Z21" s="13" t="n"/>
      <c r="AA21" s="13" t="n"/>
      <c r="AB21" s="13" t="n"/>
      <c r="AC21" s="13" t="n"/>
      <c r="AD21" s="13" t="n"/>
      <c r="AE21" s="13" t="n"/>
      <c r="AF21" s="13" t="n"/>
      <c r="AG21" s="13" t="n"/>
      <c r="AH21" s="13" t="n"/>
      <c r="AI21" s="13" t="n"/>
      <c r="AJ21" s="13" t="n"/>
      <c r="AK21" s="13" t="n"/>
    </row>
    <row r="22">
      <c r="A22" s="13" t="n"/>
      <c r="B22" s="13" t="n"/>
      <c r="C22" s="13" t="n"/>
      <c r="D22" s="13" t="n"/>
      <c r="E22" s="13" t="n"/>
      <c r="F22" s="13" t="n"/>
      <c r="G22" s="13" t="n"/>
      <c r="H22" s="13" t="n"/>
      <c r="I22" s="13" t="n"/>
      <c r="J22" s="14" t="inlineStr">
        <is>
          <t>CET (20%) — Tariff 00000000</t>
        </is>
      </c>
      <c r="K22" s="13" t="n"/>
      <c r="L22" s="13" t="n"/>
      <c r="M22" s="13" t="n"/>
      <c r="N22" s="13" t="n"/>
      <c r="O22" s="13" t="n"/>
      <c r="P22" s="15" t="n">
        <v>3.76</v>
      </c>
      <c r="Q22" s="13" t="n"/>
      <c r="R22" s="13" t="n"/>
      <c r="S22" s="13" t="n"/>
      <c r="T22" s="13" t="n"/>
      <c r="U22" s="13" t="n"/>
      <c r="V22" s="13" t="n"/>
      <c r="W22" s="13" t="n"/>
      <c r="X22" s="13" t="n"/>
      <c r="Y22" s="13" t="n"/>
      <c r="Z22" s="13" t="n"/>
      <c r="AA22" s="13" t="n"/>
      <c r="AB22" s="13" t="n"/>
      <c r="AC22" s="13" t="n"/>
      <c r="AD22" s="13" t="n"/>
      <c r="AE22" s="13" t="n"/>
      <c r="AF22" s="13" t="n"/>
      <c r="AG22" s="13" t="n"/>
      <c r="AH22" s="13" t="n"/>
      <c r="AI22" s="13" t="n"/>
      <c r="AJ22" s="13" t="n"/>
      <c r="AK22" s="13" t="n"/>
    </row>
    <row r="23">
      <c r="A23" s="13" t="n"/>
      <c r="B23" s="13" t="n"/>
      <c r="C23" s="13" t="n"/>
      <c r="D23" s="13" t="n"/>
      <c r="E23" s="13" t="n"/>
      <c r="F23" s="13" t="n"/>
      <c r="G23" s="13" t="n"/>
      <c r="H23" s="13" t="n"/>
      <c r="I23" s="13" t="n"/>
      <c r="J23" s="14" t="inlineStr">
        <is>
          <t>CSC (6%)</t>
        </is>
      </c>
      <c r="K23" s="13" t="n"/>
      <c r="L23" s="13" t="n"/>
      <c r="M23" s="13" t="n"/>
      <c r="N23" s="13" t="n"/>
      <c r="O23" s="13" t="n"/>
      <c r="P23" s="15" t="n">
        <v>1.13</v>
      </c>
      <c r="Q23" s="13" t="n"/>
      <c r="R23" s="13" t="n"/>
      <c r="S23" s="13" t="n"/>
      <c r="T23" s="13" t="n"/>
      <c r="U23" s="13" t="n"/>
      <c r="V23" s="13" t="n"/>
      <c r="W23" s="13" t="n"/>
      <c r="X23" s="13" t="n"/>
      <c r="Y23" s="13" t="n"/>
      <c r="Z23" s="13" t="n"/>
      <c r="AA23" s="13" t="n"/>
      <c r="AB23" s="13" t="n"/>
      <c r="AC23" s="13" t="n"/>
      <c r="AD23" s="13" t="n"/>
      <c r="AE23" s="13" t="n"/>
      <c r="AF23" s="13" t="n"/>
      <c r="AG23" s="13" t="n"/>
      <c r="AH23" s="13" t="n"/>
      <c r="AI23" s="13" t="n"/>
      <c r="AJ23" s="13" t="n"/>
      <c r="AK23" s="13" t="n"/>
    </row>
    <row r="24">
      <c r="A24" s="13" t="n"/>
      <c r="B24" s="13" t="n"/>
      <c r="C24" s="13" t="n"/>
      <c r="D24" s="13" t="n"/>
      <c r="E24" s="13" t="n"/>
      <c r="F24" s="13" t="n"/>
      <c r="G24" s="13" t="n"/>
      <c r="H24" s="13" t="n"/>
      <c r="I24" s="13" t="n"/>
      <c r="J24" s="14" t="inlineStr">
        <is>
          <t>VAT (15%) on CIF+CET+CSC</t>
        </is>
      </c>
      <c r="K24" s="13" t="n"/>
      <c r="L24" s="13" t="n"/>
      <c r="M24" s="13" t="n"/>
      <c r="N24" s="13" t="n"/>
      <c r="O24" s="13" t="n"/>
      <c r="P24" s="15" t="n">
        <v>3.55</v>
      </c>
      <c r="Q24" s="13" t="n"/>
      <c r="R24" s="13" t="n"/>
      <c r="S24" s="13" t="n"/>
      <c r="T24" s="13" t="n"/>
      <c r="U24" s="13" t="n"/>
      <c r="V24" s="13" t="n"/>
      <c r="W24" s="13" t="n"/>
      <c r="X24" s="13" t="n"/>
      <c r="Y24" s="13" t="n"/>
      <c r="Z24" s="13" t="n"/>
      <c r="AA24" s="13" t="n"/>
      <c r="AB24" s="13" t="n"/>
      <c r="AC24" s="13" t="n"/>
      <c r="AD24" s="13" t="n"/>
      <c r="AE24" s="13" t="n"/>
      <c r="AF24" s="13" t="n"/>
      <c r="AG24" s="13" t="n"/>
      <c r="AH24" s="13" t="n"/>
      <c r="AI24" s="13" t="n"/>
      <c r="AJ24" s="13" t="n"/>
      <c r="AK24" s="13" t="n"/>
    </row>
    <row r="25">
      <c r="A25" s="16" t="n"/>
      <c r="B25" s="16" t="n"/>
      <c r="C25" s="16" t="n"/>
      <c r="D25" s="16" t="n"/>
      <c r="E25" s="16" t="n"/>
      <c r="F25" s="16" t="n"/>
      <c r="G25" s="16" t="n"/>
      <c r="H25" s="16" t="n"/>
      <c r="I25" s="16" t="n"/>
      <c r="J25" s="12" t="inlineStr">
        <is>
          <t>ESTIMATED TOTAL DUTIES</t>
        </is>
      </c>
      <c r="K25" s="16" t="n"/>
      <c r="L25" s="16" t="n"/>
      <c r="M25" s="16" t="n"/>
      <c r="N25" s="16" t="n"/>
      <c r="O25" s="16" t="n"/>
      <c r="P25" s="17" t="n">
        <v>8.44</v>
      </c>
      <c r="Q25" s="16" t="n"/>
      <c r="R25" s="16" t="n"/>
      <c r="S25" s="16" t="n"/>
      <c r="T25" s="16" t="n"/>
      <c r="U25" s="16" t="n"/>
      <c r="V25" s="16" t="n"/>
      <c r="W25" s="16" t="n"/>
      <c r="X25" s="16" t="n"/>
      <c r="Y25" s="16" t="n"/>
      <c r="Z25" s="16" t="n"/>
      <c r="AA25" s="16" t="n"/>
      <c r="AB25" s="16" t="n"/>
      <c r="AC25" s="16" t="n"/>
      <c r="AD25" s="16" t="n"/>
      <c r="AE25" s="16" t="n"/>
      <c r="AF25" s="16" t="n"/>
      <c r="AG25" s="16" t="n"/>
      <c r="AH25" s="16" t="n"/>
      <c r="AI25" s="16" t="n"/>
      <c r="AJ25" s="16" t="n"/>
      <c r="AK25" s="16" t="n"/>
    </row>
    <row r="26">
      <c r="A26" s="13" t="n"/>
      <c r="B26" s="13" t="n"/>
      <c r="C26" s="13" t="n"/>
      <c r="D26" s="13" t="n"/>
      <c r="E26" s="13" t="n"/>
      <c r="F26" s="13" t="n"/>
      <c r="G26" s="13" t="n"/>
      <c r="H26" s="13" t="n"/>
      <c r="I26" s="13" t="n"/>
      <c r="J26" s="14" t="inlineStr">
        <is>
          <t>Effective Duty Rate</t>
        </is>
      </c>
      <c r="K26" s="13" t="n"/>
      <c r="L26" s="13" t="n"/>
      <c r="M26" s="13" t="n"/>
      <c r="N26" s="13" t="n"/>
      <c r="O26" s="13" t="n"/>
      <c r="P26" s="18" t="n">
        <v>0.4489361702127659</v>
      </c>
      <c r="Q26" s="13" t="n"/>
      <c r="R26" s="13" t="n"/>
      <c r="S26" s="13" t="n"/>
      <c r="T26" s="13" t="n"/>
      <c r="U26" s="13" t="n"/>
      <c r="V26" s="13" t="n"/>
      <c r="W26" s="13" t="n"/>
      <c r="X26" s="13" t="n"/>
      <c r="Y26" s="13" t="n"/>
      <c r="Z26" s="13" t="n"/>
      <c r="AA26" s="13" t="n"/>
      <c r="AB26" s="13" t="n"/>
      <c r="AC26" s="13" t="n"/>
      <c r="AD26" s="13" t="n"/>
      <c r="AE26" s="13" t="n"/>
      <c r="AF26" s="13" t="n"/>
      <c r="AG26" s="13" t="n"/>
      <c r="AH26" s="13" t="n"/>
      <c r="AI26" s="13" t="n"/>
      <c r="AJ26" s="13" t="n"/>
      <c r="AK26" s="13" t="n"/>
    </row>
    <row r="27">
      <c r="A27" s="19" t="n"/>
      <c r="B27" s="19" t="n"/>
      <c r="C27" s="19" t="n"/>
      <c r="D27" s="19" t="n"/>
      <c r="E27" s="19" t="n"/>
      <c r="F27" s="19" t="n"/>
      <c r="G27" s="19" t="n"/>
      <c r="H27" s="19" t="n"/>
      <c r="I27" s="19" t="n"/>
      <c r="J27" s="19" t="n"/>
      <c r="K27" s="19" t="n"/>
      <c r="L27" s="19" t="n"/>
      <c r="M27" s="19" t="n"/>
      <c r="N27" s="19" t="n"/>
      <c r="O27" s="19" t="n"/>
      <c r="P27" s="19" t="n"/>
      <c r="Q27" s="19" t="n"/>
      <c r="R27" s="19" t="n"/>
      <c r="S27" s="19" t="n"/>
      <c r="T27" s="19" t="n"/>
      <c r="U27" s="19" t="n"/>
      <c r="V27" s="19" t="n"/>
      <c r="W27" s="19" t="n"/>
      <c r="X27" s="19" t="n"/>
      <c r="Y27" s="19" t="n"/>
      <c r="Z27" s="19" t="n"/>
      <c r="AA27" s="19" t="n"/>
      <c r="AB27" s="19" t="n"/>
      <c r="AC27" s="19" t="n"/>
      <c r="AD27" s="19" t="n"/>
      <c r="AE27" s="19" t="n"/>
      <c r="AF27" s="19" t="n"/>
      <c r="AG27" s="19" t="n"/>
      <c r="AH27" s="19" t="n"/>
      <c r="AI27" s="19" t="n"/>
      <c r="AJ27" s="19" t="n"/>
      <c r="AK27" s="19" t="n"/>
    </row>
    <row r="28">
      <c r="A28" s="2" t="inlineStr">
        <is>
          <t>4000-000</t>
        </is>
      </c>
      <c r="B28" s="2" t="n"/>
      <c r="C28" s="2" t="inlineStr">
        <is>
          <t>INVUS20240717002005487</t>
        </is>
      </c>
      <c r="D28" s="2" t="inlineStr">
        <is>
          <t>2024-07-17</t>
        </is>
      </c>
      <c r="E28" s="2" t="inlineStr">
        <is>
          <t>FOOTWEAR</t>
        </is>
      </c>
      <c r="F28" s="2" t="inlineStr">
        <is>
          <t>64029910</t>
        </is>
      </c>
      <c r="G28" s="2" t="n"/>
      <c r="H28" s="2" t="n"/>
      <c r="I28" s="2" t="inlineStr">
        <is>
          <t>64029910</t>
        </is>
      </c>
      <c r="J28" s="2" t="inlineStr">
        <is>
          <t>Women' Thick-Soled Slippers, Summer Anti-Skid Waterproof Beach Sandals, Suita... (1 items)</t>
        </is>
      </c>
      <c r="K28" s="2" t="n">
        <v>1</v>
      </c>
      <c r="L28" s="2" t="n"/>
      <c r="M28" s="2" t="n"/>
      <c r="N28" s="2" t="inlineStr">
        <is>
          <t>USD</t>
        </is>
      </c>
      <c r="O28" s="3" t="n">
        <v>2.86</v>
      </c>
      <c r="P28" s="3" t="n">
        <v>2.86</v>
      </c>
      <c r="Q28" s="3">
        <f>O28*K28</f>
        <v/>
      </c>
      <c r="R28" s="3">
        <f>P28-Q28</f>
        <v/>
      </c>
      <c r="S28" s="3" t="n">
        <v>3.07</v>
      </c>
      <c r="T28" s="3" t="n">
        <v>0</v>
      </c>
      <c r="U28" s="3" t="n">
        <v>0</v>
      </c>
      <c r="V28" s="3" t="n">
        <v>0.21</v>
      </c>
      <c r="W28" s="3" t="n">
        <v>0</v>
      </c>
      <c r="X28" s="2" t="n"/>
      <c r="Y28" s="2" t="n"/>
      <c r="Z28" s="2" t="inlineStr">
        <is>
          <t>SHEIN</t>
        </is>
      </c>
      <c r="AA28" s="2" t="inlineStr">
        <is>
          <t>SHEIN US Services, LLC</t>
        </is>
      </c>
      <c r="AB28" s="2" t="inlineStr">
        <is>
          <t>777 S. Alameda St., Second Floor, Los Angeles, CA 90021</t>
        </is>
      </c>
      <c r="AC28" s="2" t="inlineStr">
        <is>
          <t>US</t>
        </is>
      </c>
      <c r="AD28" s="2" t="n"/>
      <c r="AE28" s="2" t="n"/>
      <c r="AF28" s="2" t="n"/>
      <c r="AG28" s="2" t="n"/>
      <c r="AH28" s="2" t="n"/>
      <c r="AI28" s="2" t="n"/>
      <c r="AJ28" s="2" t="n"/>
      <c r="AK28" s="2" t="inlineStr">
        <is>
          <t>64029910</t>
        </is>
      </c>
    </row>
    <row r="29">
      <c r="A29" s="4" t="n"/>
      <c r="B29" s="4" t="n"/>
      <c r="C29" s="4" t="n"/>
      <c r="D29" s="4" t="n"/>
      <c r="E29" s="4" t="n"/>
      <c r="F29" s="4" t="inlineStr">
        <is>
          <t>64029910</t>
        </is>
      </c>
      <c r="G29" s="4" t="n"/>
      <c r="H29" s="4" t="n"/>
      <c r="I29" s="4" t="inlineStr">
        <is>
          <t>SHEIN-1</t>
        </is>
      </c>
      <c r="J29" s="4" t="inlineStr">
        <is>
          <t>Women' Thick-Soled Slippers, Summer Anti-Skid Waterproof Beach Sandals, Suita...</t>
        </is>
      </c>
      <c r="K29" s="4" t="n">
        <v>1</v>
      </c>
      <c r="L29" s="4" t="n"/>
      <c r="M29" s="4" t="n"/>
      <c r="N29" s="4" t="inlineStr">
        <is>
          <t>USD</t>
        </is>
      </c>
      <c r="O29" s="5" t="n">
        <v>2.86</v>
      </c>
      <c r="P29" s="5" t="n">
        <v>2.86</v>
      </c>
      <c r="Q29" s="5">
        <f>O29*K29</f>
        <v/>
      </c>
      <c r="R29" s="5">
        <f>P29-Q29</f>
        <v/>
      </c>
      <c r="S29" s="4" t="n"/>
      <c r="T29" s="4" t="n"/>
      <c r="U29" s="4" t="n"/>
      <c r="V29" s="4" t="n"/>
      <c r="W29" s="4" t="n"/>
      <c r="X29" s="4" t="n"/>
      <c r="Y29" s="4" t="n"/>
      <c r="Z29" s="4" t="n"/>
      <c r="AA29" s="4" t="n"/>
      <c r="AB29" s="4" t="n"/>
      <c r="AC29" s="4" t="n"/>
      <c r="AD29" s="4" t="n"/>
      <c r="AE29" s="4" t="n"/>
      <c r="AF29" s="4" t="n"/>
      <c r="AG29" s="4" t="n"/>
      <c r="AH29" s="4" t="n"/>
      <c r="AI29" s="4" t="n"/>
      <c r="AJ29" s="4" t="n"/>
      <c r="AK29" s="4" t="n"/>
    </row>
    <row r="30">
      <c r="A30" s="6" t="n"/>
      <c r="B30" s="6" t="n"/>
      <c r="C30" s="6" t="n"/>
      <c r="D30" s="6" t="n"/>
      <c r="E30" s="6" t="n"/>
      <c r="F30" s="6" t="n"/>
      <c r="G30" s="6" t="n"/>
      <c r="H30" s="6" t="n"/>
      <c r="I30" s="6" t="n"/>
      <c r="J30" s="6" t="inlineStr">
        <is>
          <t>SUBTOTAL (GROUPED)</t>
        </is>
      </c>
      <c r="K30" s="6" t="n"/>
      <c r="L30" s="6" t="n"/>
      <c r="M30" s="6" t="n"/>
      <c r="N30" s="6" t="n"/>
      <c r="O30" s="6" t="n"/>
      <c r="P30" s="7">
        <f>P28</f>
        <v/>
      </c>
      <c r="Q30" s="7">
        <f>Q28</f>
        <v/>
      </c>
      <c r="R30" s="6" t="n"/>
      <c r="S30" s="6" t="n"/>
      <c r="T30" s="6" t="n"/>
      <c r="U30" s="6" t="n"/>
      <c r="V30" s="6" t="n"/>
      <c r="W30" s="6" t="n"/>
      <c r="X30" s="6" t="n"/>
      <c r="Y30" s="6" t="n"/>
      <c r="Z30" s="6" t="n"/>
      <c r="AA30" s="6" t="n"/>
      <c r="AB30" s="6" t="n"/>
      <c r="AC30" s="6" t="n"/>
      <c r="AD30" s="6" t="n"/>
      <c r="AE30" s="6" t="n"/>
      <c r="AF30" s="6" t="n"/>
      <c r="AG30" s="6" t="n"/>
      <c r="AH30" s="6" t="n"/>
      <c r="AI30" s="6" t="n"/>
      <c r="AJ30" s="6" t="n"/>
      <c r="AK30" s="6" t="n"/>
    </row>
    <row r="31">
      <c r="A31" s="6" t="n"/>
      <c r="B31" s="6" t="n"/>
      <c r="C31" s="6" t="n"/>
      <c r="D31" s="6" t="n"/>
      <c r="E31" s="6" t="n"/>
      <c r="F31" s="6" t="n"/>
      <c r="G31" s="6" t="n"/>
      <c r="H31" s="6" t="n"/>
      <c r="I31" s="6" t="n"/>
      <c r="J31" s="6" t="inlineStr">
        <is>
          <t>SUBTOTAL (DETAILS)</t>
        </is>
      </c>
      <c r="K31" s="6" t="n"/>
      <c r="L31" s="6" t="n"/>
      <c r="M31" s="6" t="n"/>
      <c r="N31" s="6" t="n"/>
      <c r="O31" s="6" t="n"/>
      <c r="P31" s="7">
        <f>SUM(P28:P29)-P30</f>
        <v/>
      </c>
      <c r="Q31" s="7">
        <f>SUM(Q28:Q29)-Q30</f>
        <v/>
      </c>
      <c r="R31" s="6" t="n"/>
      <c r="S31" s="6" t="n"/>
      <c r="T31" s="6" t="n"/>
      <c r="U31" s="6" t="n"/>
      <c r="V31" s="6" t="n"/>
      <c r="W31" s="6" t="n"/>
      <c r="X31" s="6" t="n"/>
      <c r="Y31" s="6" t="n"/>
      <c r="Z31" s="6" t="n"/>
      <c r="AA31" s="6" t="n"/>
      <c r="AB31" s="6" t="n"/>
      <c r="AC31" s="6" t="n"/>
      <c r="AD31" s="6" t="n"/>
      <c r="AE31" s="6" t="n"/>
      <c r="AF31" s="6" t="n"/>
      <c r="AG31" s="6" t="n"/>
      <c r="AH31" s="6" t="n"/>
      <c r="AI31" s="6" t="n"/>
      <c r="AJ31" s="6" t="n"/>
      <c r="AK31" s="6" t="n"/>
    </row>
    <row r="32">
      <c r="A32" s="8" t="n"/>
      <c r="B32" s="8" t="n"/>
      <c r="C32" s="8" t="n"/>
      <c r="D32" s="8" t="n"/>
      <c r="E32" s="8" t="n"/>
      <c r="F32" s="8" t="n"/>
      <c r="G32" s="8" t="n"/>
      <c r="H32" s="8" t="n"/>
      <c r="I32" s="8" t="n"/>
      <c r="J32" s="8" t="inlineStr">
        <is>
          <t>GROUP VERIFICATION</t>
        </is>
      </c>
      <c r="K32" s="8" t="n"/>
      <c r="L32" s="8" t="n"/>
      <c r="M32" s="8" t="n"/>
      <c r="N32" s="8" t="n"/>
      <c r="O32" s="8" t="n"/>
      <c r="P32" s="9">
        <f>P30-P31</f>
        <v/>
      </c>
      <c r="Q32" s="9">
        <f>Q30-Q31</f>
        <v/>
      </c>
      <c r="R32" s="8" t="n"/>
      <c r="S32" s="8" t="n"/>
      <c r="T32" s="8" t="n"/>
      <c r="U32" s="8" t="n"/>
      <c r="V32" s="8" t="n"/>
      <c r="W32" s="8" t="n"/>
      <c r="X32" s="8" t="n"/>
      <c r="Y32" s="8" t="n"/>
      <c r="Z32" s="8" t="n"/>
      <c r="AA32" s="8" t="n"/>
      <c r="AB32" s="8" t="n"/>
      <c r="AC32" s="8" t="n"/>
      <c r="AD32" s="8" t="n"/>
      <c r="AE32" s="8" t="n"/>
      <c r="AF32" s="8" t="n"/>
      <c r="AG32" s="8" t="n"/>
      <c r="AH32" s="8" t="n"/>
      <c r="AI32" s="8" t="n"/>
      <c r="AJ32" s="8" t="n"/>
      <c r="AK32" s="8" t="n"/>
    </row>
    <row r="33"/>
    <row r="34">
      <c r="A34" s="6" t="n"/>
      <c r="B34" s="6" t="n"/>
      <c r="C34" s="6" t="n"/>
      <c r="D34" s="6" t="n"/>
      <c r="E34" s="6" t="n"/>
      <c r="F34" s="6" t="n"/>
      <c r="G34" s="6" t="n"/>
      <c r="H34" s="6" t="n"/>
      <c r="I34" s="6" t="n"/>
      <c r="J34" s="6" t="inlineStr">
        <is>
          <t>TOTAL INTERNAL FREIGHT</t>
        </is>
      </c>
      <c r="K34" s="6" t="n"/>
      <c r="L34" s="6" t="n"/>
      <c r="M34" s="6" t="n"/>
      <c r="N34" s="6" t="n"/>
      <c r="O34" s="6" t="n"/>
      <c r="P34" s="7" t="n">
        <v>0</v>
      </c>
      <c r="Q34" s="7" t="n"/>
      <c r="R34" s="6" t="n"/>
      <c r="S34" s="6" t="n"/>
      <c r="T34" s="6" t="n"/>
      <c r="U34" s="6" t="n"/>
      <c r="V34" s="6" t="n"/>
      <c r="W34" s="6" t="n"/>
      <c r="X34" s="6" t="n"/>
      <c r="Y34" s="6" t="n"/>
      <c r="Z34" s="6" t="n"/>
      <c r="AA34" s="6" t="n"/>
      <c r="AB34" s="6" t="n"/>
      <c r="AC34" s="6" t="n"/>
      <c r="AD34" s="6" t="n"/>
      <c r="AE34" s="6" t="n"/>
      <c r="AF34" s="6" t="n"/>
      <c r="AG34" s="6" t="n"/>
      <c r="AH34" s="6" t="n"/>
      <c r="AI34" s="6" t="n"/>
      <c r="AJ34" s="6" t="n"/>
      <c r="AK34" s="6" t="n"/>
    </row>
    <row r="35">
      <c r="A35" s="6" t="n"/>
      <c r="B35" s="6" t="n"/>
      <c r="C35" s="6" t="n"/>
      <c r="D35" s="6" t="n"/>
      <c r="E35" s="6" t="n"/>
      <c r="F35" s="6" t="n"/>
      <c r="G35" s="6" t="n"/>
      <c r="H35" s="6" t="n"/>
      <c r="I35" s="6" t="n"/>
      <c r="J35" s="6" t="inlineStr">
        <is>
          <t>TOTAL INSURANCE</t>
        </is>
      </c>
      <c r="K35" s="6" t="n"/>
      <c r="L35" s="6" t="n"/>
      <c r="M35" s="6" t="n"/>
      <c r="N35" s="6" t="n"/>
      <c r="O35" s="6" t="n"/>
      <c r="P35" s="7" t="n">
        <v>0</v>
      </c>
      <c r="Q35" s="7" t="n"/>
      <c r="R35" s="6" t="n"/>
      <c r="S35" s="6" t="n"/>
      <c r="T35" s="6" t="n"/>
      <c r="U35" s="6" t="n"/>
      <c r="V35" s="6" t="n"/>
      <c r="W35" s="6" t="n"/>
      <c r="X35" s="6" t="n"/>
      <c r="Y35" s="6" t="n"/>
      <c r="Z35" s="6" t="n"/>
      <c r="AA35" s="6" t="n"/>
      <c r="AB35" s="6" t="n"/>
      <c r="AC35" s="6" t="n"/>
      <c r="AD35" s="6" t="n"/>
      <c r="AE35" s="6" t="n"/>
      <c r="AF35" s="6" t="n"/>
      <c r="AG35" s="6" t="n"/>
      <c r="AH35" s="6" t="n"/>
      <c r="AI35" s="6" t="n"/>
      <c r="AJ35" s="6" t="n"/>
      <c r="AK35" s="6" t="n"/>
    </row>
    <row r="36">
      <c r="A36" s="6" t="n"/>
      <c r="B36" s="6" t="n"/>
      <c r="C36" s="6" t="n"/>
      <c r="D36" s="6" t="n"/>
      <c r="E36" s="6" t="n"/>
      <c r="F36" s="6" t="n"/>
      <c r="G36" s="6" t="n"/>
      <c r="H36" s="6" t="n"/>
      <c r="I36" s="6" t="n"/>
      <c r="J36" s="6" t="inlineStr">
        <is>
          <t>TOTAL OTHER COST</t>
        </is>
      </c>
      <c r="K36" s="6" t="n"/>
      <c r="L36" s="6" t="n"/>
      <c r="M36" s="6" t="n"/>
      <c r="N36" s="6" t="n"/>
      <c r="O36" s="6" t="n"/>
      <c r="P36" s="7" t="n">
        <v>0.21</v>
      </c>
      <c r="Q36" s="7" t="n"/>
      <c r="R36" s="6" t="n"/>
      <c r="S36" s="6" t="n"/>
      <c r="T36" s="6" t="n"/>
      <c r="U36" s="6" t="n"/>
      <c r="V36" s="6" t="n"/>
      <c r="W36" s="6" t="n"/>
      <c r="X36" s="6" t="n"/>
      <c r="Y36" s="6" t="n"/>
      <c r="Z36" s="6" t="n"/>
      <c r="AA36" s="6" t="n"/>
      <c r="AB36" s="6" t="n"/>
      <c r="AC36" s="6" t="n"/>
      <c r="AD36" s="6" t="n"/>
      <c r="AE36" s="6" t="n"/>
      <c r="AF36" s="6" t="n"/>
      <c r="AG36" s="6" t="n"/>
      <c r="AH36" s="6" t="n"/>
      <c r="AI36" s="6" t="n"/>
      <c r="AJ36" s="6" t="n"/>
      <c r="AK36" s="6" t="n"/>
    </row>
    <row r="37">
      <c r="A37" s="6" t="n"/>
      <c r="B37" s="6" t="n"/>
      <c r="C37" s="6" t="n"/>
      <c r="D37" s="6" t="n"/>
      <c r="E37" s="6" t="n"/>
      <c r="F37" s="6" t="n"/>
      <c r="G37" s="6" t="n"/>
      <c r="H37" s="6" t="n"/>
      <c r="I37" s="6" t="n"/>
      <c r="J37" s="6" t="inlineStr">
        <is>
          <t>TOTAL DEDUCTION</t>
        </is>
      </c>
      <c r="K37" s="6" t="n"/>
      <c r="L37" s="6" t="n"/>
      <c r="M37" s="6" t="n"/>
      <c r="N37" s="6" t="n"/>
      <c r="O37" s="6" t="n"/>
      <c r="P37" s="7" t="n">
        <v>0</v>
      </c>
      <c r="Q37" s="7" t="n"/>
      <c r="R37" s="6" t="n"/>
      <c r="S37" s="6" t="n"/>
      <c r="T37" s="6" t="n"/>
      <c r="U37" s="6" t="n"/>
      <c r="V37" s="6" t="n"/>
      <c r="W37" s="6" t="n"/>
      <c r="X37" s="6" t="n"/>
      <c r="Y37" s="6" t="n"/>
      <c r="Z37" s="6" t="n"/>
      <c r="AA37" s="6" t="n"/>
      <c r="AB37" s="6" t="n"/>
      <c r="AC37" s="6" t="n"/>
      <c r="AD37" s="6" t="n"/>
      <c r="AE37" s="6" t="n"/>
      <c r="AF37" s="6" t="n"/>
      <c r="AG37" s="6" t="n"/>
      <c r="AH37" s="6" t="n"/>
      <c r="AI37" s="6" t="n"/>
      <c r="AJ37" s="6" t="n"/>
      <c r="AK37" s="6" t="n"/>
    </row>
    <row r="38">
      <c r="A38" s="6" t="n"/>
      <c r="B38" s="6" t="n"/>
      <c r="C38" s="6" t="n"/>
      <c r="D38" s="6" t="n"/>
      <c r="E38" s="6" t="n"/>
      <c r="F38" s="6" t="n"/>
      <c r="G38" s="6" t="n"/>
      <c r="H38" s="6" t="n"/>
      <c r="I38" s="6" t="n"/>
      <c r="J38" s="6" t="inlineStr">
        <is>
          <t>ADJUSTMENTS</t>
        </is>
      </c>
      <c r="K38" s="6" t="n"/>
      <c r="L38" s="6" t="n"/>
      <c r="M38" s="6" t="n"/>
      <c r="N38" s="6" t="n"/>
      <c r="O38" s="6" t="n"/>
      <c r="P38" s="7">
        <f>(T28+U28+V28-W28)</f>
        <v/>
      </c>
      <c r="Q38" s="7">
        <f>(T28+U28+V28-W28)</f>
        <v/>
      </c>
      <c r="R38" s="6" t="n"/>
      <c r="S38" s="6" t="n"/>
      <c r="T38" s="6" t="n"/>
      <c r="U38" s="6" t="n"/>
      <c r="V38" s="6" t="n"/>
      <c r="W38" s="6" t="n"/>
      <c r="X38" s="6" t="n"/>
      <c r="Y38" s="6" t="n"/>
      <c r="Z38" s="6" t="n"/>
      <c r="AA38" s="6" t="n"/>
      <c r="AB38" s="6" t="n"/>
      <c r="AC38" s="6" t="n"/>
      <c r="AD38" s="6" t="n"/>
      <c r="AE38" s="6" t="n"/>
      <c r="AF38" s="6" t="n"/>
      <c r="AG38" s="6" t="n"/>
      <c r="AH38" s="6" t="n"/>
      <c r="AI38" s="6" t="n"/>
      <c r="AJ38" s="6" t="n"/>
      <c r="AK38" s="6" t="n"/>
    </row>
    <row r="39"/>
    <row r="40">
      <c r="A40" s="6" t="n"/>
      <c r="B40" s="6" t="n"/>
      <c r="C40" s="6" t="n"/>
      <c r="D40" s="6" t="n"/>
      <c r="E40" s="6" t="n"/>
      <c r="F40" s="6" t="n"/>
      <c r="G40" s="6" t="n"/>
      <c r="H40" s="6" t="n"/>
      <c r="I40" s="6" t="n"/>
      <c r="J40" s="6" t="inlineStr">
        <is>
          <t>NET TOTAL</t>
        </is>
      </c>
      <c r="K40" s="6" t="n"/>
      <c r="L40" s="6" t="n"/>
      <c r="M40" s="6" t="n"/>
      <c r="N40" s="6" t="n"/>
      <c r="O40" s="6" t="n"/>
      <c r="P40" s="7">
        <f>P30+P38</f>
        <v/>
      </c>
      <c r="Q40" s="7">
        <f>Q30+Q38</f>
        <v/>
      </c>
      <c r="R40" s="6" t="n"/>
      <c r="S40" s="6" t="n"/>
      <c r="T40" s="6" t="n"/>
      <c r="U40" s="6" t="n"/>
      <c r="V40" s="6" t="n"/>
      <c r="W40" s="6" t="n"/>
      <c r="X40" s="6" t="n"/>
      <c r="Y40" s="6" t="n"/>
      <c r="Z40" s="6" t="n"/>
      <c r="AA40" s="6" t="n"/>
      <c r="AB40" s="6" t="n"/>
      <c r="AC40" s="6" t="n"/>
      <c r="AD40" s="6" t="n"/>
      <c r="AE40" s="6" t="n"/>
      <c r="AF40" s="6" t="n"/>
      <c r="AG40" s="6" t="n"/>
      <c r="AH40" s="6" t="n"/>
      <c r="AI40" s="6" t="n"/>
      <c r="AJ40" s="6" t="n"/>
      <c r="AK40" s="6" t="n"/>
    </row>
    <row r="41">
      <c r="A41" s="6" t="n"/>
      <c r="B41" s="6" t="n"/>
      <c r="C41" s="6" t="n"/>
      <c r="D41" s="6" t="n"/>
      <c r="E41" s="6" t="n"/>
      <c r="F41" s="6" t="n"/>
      <c r="G41" s="6" t="n"/>
      <c r="H41" s="6" t="n"/>
      <c r="I41" s="6" t="n"/>
      <c r="J41" s="6" t="inlineStr">
        <is>
          <t>INVOICE TOTAL</t>
        </is>
      </c>
      <c r="K41" s="6" t="n"/>
      <c r="L41" s="6" t="n"/>
      <c r="M41" s="6" t="n"/>
      <c r="N41" s="6" t="n"/>
      <c r="O41" s="6" t="n"/>
      <c r="P41" s="7">
        <f>S28</f>
        <v/>
      </c>
      <c r="Q41" s="7" t="n"/>
      <c r="R41" s="6" t="n"/>
      <c r="S41" s="6" t="n"/>
      <c r="T41" s="6" t="n"/>
      <c r="U41" s="6" t="n"/>
      <c r="V41" s="6" t="n"/>
      <c r="W41" s="6" t="n"/>
      <c r="X41" s="6" t="n"/>
      <c r="Y41" s="6" t="n"/>
      <c r="Z41" s="6" t="n"/>
      <c r="AA41" s="6" t="n"/>
      <c r="AB41" s="6" t="n"/>
      <c r="AC41" s="6" t="n"/>
      <c r="AD41" s="6" t="n"/>
      <c r="AE41" s="6" t="n"/>
      <c r="AF41" s="6" t="n"/>
      <c r="AG41" s="6" t="n"/>
      <c r="AH41" s="6" t="n"/>
      <c r="AI41" s="6" t="n"/>
      <c r="AJ41" s="6" t="n"/>
      <c r="AK41" s="6" t="n"/>
    </row>
    <row r="42"/>
    <row r="43">
      <c r="A43" s="10" t="n"/>
      <c r="B43" s="10" t="n"/>
      <c r="C43" s="10" t="n"/>
      <c r="D43" s="10" t="n"/>
      <c r="E43" s="10" t="n"/>
      <c r="F43" s="10" t="n"/>
      <c r="G43" s="10" t="n"/>
      <c r="H43" s="10" t="n"/>
      <c r="I43" s="10" t="n"/>
      <c r="J43" s="10" t="inlineStr">
        <is>
          <t>VARIANCE CHECK</t>
        </is>
      </c>
      <c r="K43" s="10" t="n"/>
      <c r="L43" s="10" t="n"/>
      <c r="M43" s="10" t="n"/>
      <c r="N43" s="10" t="n"/>
      <c r="O43" s="10" t="n"/>
      <c r="P43" s="11">
        <f>S28-P40</f>
        <v/>
      </c>
      <c r="Q43" s="11">
        <f>S28-Q40</f>
        <v/>
      </c>
      <c r="R43" s="10" t="n"/>
      <c r="S43" s="10" t="n"/>
      <c r="T43" s="10" t="n"/>
      <c r="U43" s="10" t="n"/>
      <c r="V43" s="10" t="n"/>
      <c r="W43" s="10" t="n"/>
      <c r="X43" s="10" t="n"/>
      <c r="Y43" s="10" t="n"/>
      <c r="Z43" s="10" t="n"/>
      <c r="AA43" s="10" t="n"/>
      <c r="AB43" s="10" t="n"/>
      <c r="AC43" s="10" t="n"/>
      <c r="AD43" s="10" t="n"/>
      <c r="AE43" s="10" t="n"/>
      <c r="AF43" s="10" t="n"/>
      <c r="AG43" s="10" t="n"/>
      <c r="AH43" s="10" t="n"/>
      <c r="AI43" s="10" t="n"/>
      <c r="AJ43" s="10" t="n"/>
      <c r="AK43" s="10" t="n"/>
    </row>
    <row r="44"/>
    <row r="45">
      <c r="A45" s="12" t="n"/>
      <c r="B45" s="12" t="n"/>
      <c r="C45" s="12" t="n"/>
      <c r="D45" s="12" t="n"/>
      <c r="E45" s="12" t="n"/>
      <c r="F45" s="12" t="n"/>
      <c r="G45" s="12" t="n"/>
      <c r="H45" s="12" t="n"/>
      <c r="I45" s="12" t="n"/>
      <c r="J45" s="12" t="inlineStr">
        <is>
          <t>DUTY ESTIMATION (Classification Cross-Check)</t>
        </is>
      </c>
      <c r="K45" s="12" t="n"/>
      <c r="L45" s="12" t="n"/>
      <c r="M45" s="12" t="n"/>
      <c r="N45" s="12" t="n"/>
      <c r="O45" s="12" t="n"/>
      <c r="P45" s="12" t="n"/>
      <c r="Q45" s="12" t="n"/>
      <c r="R45" s="12" t="n"/>
      <c r="S45" s="12" t="n"/>
      <c r="T45" s="12" t="n"/>
      <c r="U45" s="12" t="n"/>
      <c r="V45" s="12" t="n"/>
      <c r="W45" s="12" t="n"/>
      <c r="X45" s="12" t="n"/>
      <c r="Y45" s="12" t="n"/>
      <c r="Z45" s="12" t="n"/>
      <c r="AA45" s="12" t="n"/>
      <c r="AB45" s="12" t="n"/>
      <c r="AC45" s="12" t="n"/>
      <c r="AD45" s="12" t="n"/>
      <c r="AE45" s="12" t="n"/>
      <c r="AF45" s="12" t="n"/>
      <c r="AG45" s="12" t="n"/>
      <c r="AH45" s="12" t="n"/>
      <c r="AI45" s="12" t="n"/>
      <c r="AJ45" s="12" t="n"/>
      <c r="AK45" s="12" t="n"/>
    </row>
    <row r="46">
      <c r="A46" s="13" t="n"/>
      <c r="B46" s="13" t="n"/>
      <c r="C46" s="13" t="n"/>
      <c r="D46" s="13" t="n"/>
      <c r="E46" s="13" t="n"/>
      <c r="F46" s="13" t="n"/>
      <c r="G46" s="13" t="n"/>
      <c r="H46" s="13" t="n"/>
      <c r="I46" s="13" t="n"/>
      <c r="J46" s="14" t="inlineStr">
        <is>
          <t>CIF (USD) = InvTotal + Freight + Insurance</t>
        </is>
      </c>
      <c r="K46" s="13" t="n"/>
      <c r="L46" s="13" t="n"/>
      <c r="M46" s="13" t="n"/>
      <c r="N46" s="13" t="n"/>
      <c r="O46" s="13" t="n"/>
      <c r="P46" s="15" t="n">
        <v>3.07</v>
      </c>
      <c r="Q46" s="13" t="n"/>
      <c r="R46" s="13" t="n"/>
      <c r="S46" s="13" t="n"/>
      <c r="T46" s="13" t="n"/>
      <c r="U46" s="13" t="n"/>
      <c r="V46" s="13" t="n"/>
      <c r="W46" s="13" t="n"/>
      <c r="X46" s="13" t="n"/>
      <c r="Y46" s="13" t="n"/>
      <c r="Z46" s="13" t="n"/>
      <c r="AA46" s="13" t="n"/>
      <c r="AB46" s="13" t="n"/>
      <c r="AC46" s="13" t="n"/>
      <c r="AD46" s="13" t="n"/>
      <c r="AE46" s="13" t="n"/>
      <c r="AF46" s="13" t="n"/>
      <c r="AG46" s="13" t="n"/>
      <c r="AH46" s="13" t="n"/>
      <c r="AI46" s="13" t="n"/>
      <c r="AJ46" s="13" t="n"/>
      <c r="AK46" s="13" t="n"/>
    </row>
    <row r="47">
      <c r="A47" s="13" t="n"/>
      <c r="B47" s="13" t="n"/>
      <c r="C47" s="13" t="n"/>
      <c r="D47" s="13" t="n"/>
      <c r="E47" s="13" t="n"/>
      <c r="F47" s="13" t="n"/>
      <c r="G47" s="13" t="n"/>
      <c r="H47" s="13" t="n"/>
      <c r="I47" s="13" t="n"/>
      <c r="J47" s="14" t="inlineStr">
        <is>
          <t>CIF (XCD) = CIF × 2.7169</t>
        </is>
      </c>
      <c r="K47" s="13" t="n"/>
      <c r="L47" s="13" t="n"/>
      <c r="M47" s="13" t="n"/>
      <c r="N47" s="13" t="n"/>
      <c r="O47" s="13" t="n"/>
      <c r="P47" s="15" t="n">
        <v>8.34</v>
      </c>
      <c r="Q47" s="13" t="n"/>
      <c r="R47" s="13" t="n"/>
      <c r="S47" s="13" t="n"/>
      <c r="T47" s="13" t="n"/>
      <c r="U47" s="13" t="n"/>
      <c r="V47" s="13" t="n"/>
      <c r="W47" s="13" t="n"/>
      <c r="X47" s="13" t="n"/>
      <c r="Y47" s="13" t="n"/>
      <c r="Z47" s="13" t="n"/>
      <c r="AA47" s="13" t="n"/>
      <c r="AB47" s="13" t="n"/>
      <c r="AC47" s="13" t="n"/>
      <c r="AD47" s="13" t="n"/>
      <c r="AE47" s="13" t="n"/>
      <c r="AF47" s="13" t="n"/>
      <c r="AG47" s="13" t="n"/>
      <c r="AH47" s="13" t="n"/>
      <c r="AI47" s="13" t="n"/>
      <c r="AJ47" s="13" t="n"/>
      <c r="AK47" s="13" t="n"/>
    </row>
    <row r="48">
      <c r="A48" s="13" t="n"/>
      <c r="B48" s="13" t="n"/>
      <c r="C48" s="13" t="n"/>
      <c r="D48" s="13" t="n"/>
      <c r="E48" s="13" t="n"/>
      <c r="F48" s="13" t="n"/>
      <c r="G48" s="13" t="n"/>
      <c r="H48" s="13" t="n"/>
      <c r="I48" s="13" t="n"/>
      <c r="J48" s="14" t="inlineStr">
        <is>
          <t>CET (20%) — Tariff 64029910</t>
        </is>
      </c>
      <c r="K48" s="13" t="n"/>
      <c r="L48" s="13" t="n"/>
      <c r="M48" s="13" t="n"/>
      <c r="N48" s="13" t="n"/>
      <c r="O48" s="13" t="n"/>
      <c r="P48" s="15" t="n">
        <v>1.67</v>
      </c>
      <c r="Q48" s="13" t="n"/>
      <c r="R48" s="13" t="n"/>
      <c r="S48" s="13" t="n"/>
      <c r="T48" s="13" t="n"/>
      <c r="U48" s="13" t="n"/>
      <c r="V48" s="13" t="n"/>
      <c r="W48" s="13" t="n"/>
      <c r="X48" s="13" t="n"/>
      <c r="Y48" s="13" t="n"/>
      <c r="Z48" s="13" t="n"/>
      <c r="AA48" s="13" t="n"/>
      <c r="AB48" s="13" t="n"/>
      <c r="AC48" s="13" t="n"/>
      <c r="AD48" s="13" t="n"/>
      <c r="AE48" s="13" t="n"/>
      <c r="AF48" s="13" t="n"/>
      <c r="AG48" s="13" t="n"/>
      <c r="AH48" s="13" t="n"/>
      <c r="AI48" s="13" t="n"/>
      <c r="AJ48" s="13" t="n"/>
      <c r="AK48" s="13" t="n"/>
    </row>
    <row r="49">
      <c r="A49" s="13" t="n"/>
      <c r="B49" s="13" t="n"/>
      <c r="C49" s="13" t="n"/>
      <c r="D49" s="13" t="n"/>
      <c r="E49" s="13" t="n"/>
      <c r="F49" s="13" t="n"/>
      <c r="G49" s="13" t="n"/>
      <c r="H49" s="13" t="n"/>
      <c r="I49" s="13" t="n"/>
      <c r="J49" s="14" t="inlineStr">
        <is>
          <t>CSC (6%)</t>
        </is>
      </c>
      <c r="K49" s="13" t="n"/>
      <c r="L49" s="13" t="n"/>
      <c r="M49" s="13" t="n"/>
      <c r="N49" s="13" t="n"/>
      <c r="O49" s="13" t="n"/>
      <c r="P49" s="15" t="n">
        <v>0.5</v>
      </c>
      <c r="Q49" s="13" t="n"/>
      <c r="R49" s="13" t="n"/>
      <c r="S49" s="13" t="n"/>
      <c r="T49" s="13" t="n"/>
      <c r="U49" s="13" t="n"/>
      <c r="V49" s="13" t="n"/>
      <c r="W49" s="13" t="n"/>
      <c r="X49" s="13" t="n"/>
      <c r="Y49" s="13" t="n"/>
      <c r="Z49" s="13" t="n"/>
      <c r="AA49" s="13" t="n"/>
      <c r="AB49" s="13" t="n"/>
      <c r="AC49" s="13" t="n"/>
      <c r="AD49" s="13" t="n"/>
      <c r="AE49" s="13" t="n"/>
      <c r="AF49" s="13" t="n"/>
      <c r="AG49" s="13" t="n"/>
      <c r="AH49" s="13" t="n"/>
      <c r="AI49" s="13" t="n"/>
      <c r="AJ49" s="13" t="n"/>
      <c r="AK49" s="13" t="n"/>
    </row>
    <row r="50">
      <c r="A50" s="13" t="n"/>
      <c r="B50" s="13" t="n"/>
      <c r="C50" s="13" t="n"/>
      <c r="D50" s="13" t="n"/>
      <c r="E50" s="13" t="n"/>
      <c r="F50" s="13" t="n"/>
      <c r="G50" s="13" t="n"/>
      <c r="H50" s="13" t="n"/>
      <c r="I50" s="13" t="n"/>
      <c r="J50" s="14" t="inlineStr">
        <is>
          <t>VAT (15%) on CIF+CET+CSC</t>
        </is>
      </c>
      <c r="K50" s="13" t="n"/>
      <c r="L50" s="13" t="n"/>
      <c r="M50" s="13" t="n"/>
      <c r="N50" s="13" t="n"/>
      <c r="O50" s="13" t="n"/>
      <c r="P50" s="15" t="n">
        <v>1.58</v>
      </c>
      <c r="Q50" s="13" t="n"/>
      <c r="R50" s="13" t="n"/>
      <c r="S50" s="13" t="n"/>
      <c r="T50" s="13" t="n"/>
      <c r="U50" s="13" t="n"/>
      <c r="V50" s="13" t="n"/>
      <c r="W50" s="13" t="n"/>
      <c r="X50" s="13" t="n"/>
      <c r="Y50" s="13" t="n"/>
      <c r="Z50" s="13" t="n"/>
      <c r="AA50" s="13" t="n"/>
      <c r="AB50" s="13" t="n"/>
      <c r="AC50" s="13" t="n"/>
      <c r="AD50" s="13" t="n"/>
      <c r="AE50" s="13" t="n"/>
      <c r="AF50" s="13" t="n"/>
      <c r="AG50" s="13" t="n"/>
      <c r="AH50" s="13" t="n"/>
      <c r="AI50" s="13" t="n"/>
      <c r="AJ50" s="13" t="n"/>
      <c r="AK50" s="13" t="n"/>
    </row>
    <row r="51">
      <c r="A51" s="16" t="n"/>
      <c r="B51" s="16" t="n"/>
      <c r="C51" s="16" t="n"/>
      <c r="D51" s="16" t="n"/>
      <c r="E51" s="16" t="n"/>
      <c r="F51" s="16" t="n"/>
      <c r="G51" s="16" t="n"/>
      <c r="H51" s="16" t="n"/>
      <c r="I51" s="16" t="n"/>
      <c r="J51" s="12" t="inlineStr">
        <is>
          <t>ESTIMATED TOTAL DUTIES</t>
        </is>
      </c>
      <c r="K51" s="16" t="n"/>
      <c r="L51" s="16" t="n"/>
      <c r="M51" s="16" t="n"/>
      <c r="N51" s="16" t="n"/>
      <c r="O51" s="16" t="n"/>
      <c r="P51" s="17" t="n">
        <v>3.75</v>
      </c>
      <c r="Q51" s="16" t="n"/>
      <c r="R51" s="16" t="n"/>
      <c r="S51" s="16" t="n"/>
      <c r="T51" s="16" t="n"/>
      <c r="U51" s="16" t="n"/>
      <c r="V51" s="16" t="n"/>
      <c r="W51" s="16" t="n"/>
      <c r="X51" s="16" t="n"/>
      <c r="Y51" s="16" t="n"/>
      <c r="Z51" s="16" t="n"/>
      <c r="AA51" s="16" t="n"/>
      <c r="AB51" s="16" t="n"/>
      <c r="AC51" s="16" t="n"/>
      <c r="AD51" s="16" t="n"/>
      <c r="AE51" s="16" t="n"/>
      <c r="AF51" s="16" t="n"/>
      <c r="AG51" s="16" t="n"/>
      <c r="AH51" s="16" t="n"/>
      <c r="AI51" s="16" t="n"/>
      <c r="AJ51" s="16" t="n"/>
      <c r="AK51" s="16" t="n"/>
    </row>
    <row r="52">
      <c r="A52" s="13" t="n"/>
      <c r="B52" s="13" t="n"/>
      <c r="C52" s="13" t="n"/>
      <c r="D52" s="13" t="n"/>
      <c r="E52" s="13" t="n"/>
      <c r="F52" s="13" t="n"/>
      <c r="G52" s="13" t="n"/>
      <c r="H52" s="13" t="n"/>
      <c r="I52" s="13" t="n"/>
      <c r="J52" s="14" t="inlineStr">
        <is>
          <t>Effective Duty Rate</t>
        </is>
      </c>
      <c r="K52" s="13" t="n"/>
      <c r="L52" s="13" t="n"/>
      <c r="M52" s="13" t="n"/>
      <c r="N52" s="13" t="n"/>
      <c r="O52" s="13" t="n"/>
      <c r="P52" s="18" t="n">
        <v>0.4496402877697842</v>
      </c>
      <c r="Q52" s="13" t="n"/>
      <c r="R52" s="13" t="n"/>
      <c r="S52" s="13" t="n"/>
      <c r="T52" s="13" t="n"/>
      <c r="U52" s="13" t="n"/>
      <c r="V52" s="13" t="n"/>
      <c r="W52" s="13" t="n"/>
      <c r="X52" s="13" t="n"/>
      <c r="Y52" s="13" t="n"/>
      <c r="Z52" s="13" t="n"/>
      <c r="AA52" s="13" t="n"/>
      <c r="AB52" s="13" t="n"/>
      <c r="AC52" s="13" t="n"/>
      <c r="AD52" s="13" t="n"/>
      <c r="AE52" s="13" t="n"/>
      <c r="AF52" s="13" t="n"/>
      <c r="AG52" s="13" t="n"/>
      <c r="AH52" s="13" t="n"/>
      <c r="AI52" s="13" t="n"/>
      <c r="AJ52" s="13" t="n"/>
      <c r="AK52" s="13" t="n"/>
    </row>
    <row r="53">
      <c r="A53" s="19" t="n"/>
      <c r="B53" s="19" t="n"/>
      <c r="C53" s="19" t="n"/>
      <c r="D53" s="19" t="n"/>
      <c r="E53" s="19" t="n"/>
      <c r="F53" s="19" t="n"/>
      <c r="G53" s="19" t="n"/>
      <c r="H53" s="19" t="n"/>
      <c r="I53" s="19" t="n"/>
      <c r="J53" s="19" t="n"/>
      <c r="K53" s="19" t="n"/>
      <c r="L53" s="19" t="n"/>
      <c r="M53" s="19" t="n"/>
      <c r="N53" s="19" t="n"/>
      <c r="O53" s="19" t="n"/>
      <c r="P53" s="19" t="n"/>
      <c r="Q53" s="19" t="n"/>
      <c r="R53" s="19" t="n"/>
      <c r="S53" s="19" t="n"/>
      <c r="T53" s="19" t="n"/>
      <c r="U53" s="19" t="n"/>
      <c r="V53" s="19" t="n"/>
      <c r="W53" s="19" t="n"/>
      <c r="X53" s="19" t="n"/>
      <c r="Y53" s="19" t="n"/>
      <c r="Z53" s="19" t="n"/>
      <c r="AA53" s="19" t="n"/>
      <c r="AB53" s="19" t="n"/>
      <c r="AC53" s="19" t="n"/>
      <c r="AD53" s="19" t="n"/>
      <c r="AE53" s="19" t="n"/>
      <c r="AF53" s="19" t="n"/>
      <c r="AG53" s="19" t="n"/>
      <c r="AH53" s="19" t="n"/>
      <c r="AI53" s="19" t="n"/>
      <c r="AJ53" s="19" t="n"/>
      <c r="AK53" s="19" t="n"/>
    </row>
    <row r="54">
      <c r="A54" s="2" t="inlineStr">
        <is>
          <t>4000-000</t>
        </is>
      </c>
      <c r="B54" s="2" t="n"/>
      <c r="C54" s="2" t="inlineStr">
        <is>
          <t>INVUS20240717002011537</t>
        </is>
      </c>
      <c r="D54" s="2" t="n"/>
      <c r="E54" s="2" t="inlineStr">
        <is>
          <t>SIGNALING INSTRUMENTS</t>
        </is>
      </c>
      <c r="F54" s="2" t="inlineStr">
        <is>
          <t>92089000</t>
        </is>
      </c>
      <c r="G54" s="2" t="n"/>
      <c r="H54" s="2" t="n"/>
      <c r="I54" s="2" t="inlineStr">
        <is>
          <t>92089000</t>
        </is>
      </c>
      <c r="J54" s="2" t="inlineStr">
        <is>
          <t>Ba Rane ee Re nena Se Se pare eater ar ties areal Brgy apaeeatn te pm SHEIN Baby Girl Letter Graphic Cami Top Mesh Overlay Skort (1 items)</t>
        </is>
      </c>
      <c r="K54" s="2" t="n">
        <v>1</v>
      </c>
      <c r="L54" s="2" t="n"/>
      <c r="M54" s="2" t="n"/>
      <c r="N54" s="2" t="inlineStr">
        <is>
          <t>USD</t>
        </is>
      </c>
      <c r="O54" s="3" t="n">
        <v>3.68</v>
      </c>
      <c r="P54" s="3" t="n">
        <v>3.68</v>
      </c>
      <c r="Q54" s="3">
        <f>O54*K54</f>
        <v/>
      </c>
      <c r="R54" s="3">
        <f>P54-Q54</f>
        <v/>
      </c>
      <c r="S54" s="3" t="n">
        <v>13.2</v>
      </c>
      <c r="T54" s="3" t="n">
        <v>0</v>
      </c>
      <c r="U54" s="3" t="n">
        <v>0</v>
      </c>
      <c r="V54" s="3" t="n">
        <v>0</v>
      </c>
      <c r="W54" s="3" t="n">
        <v>0</v>
      </c>
      <c r="X54" s="2" t="n"/>
      <c r="Y54" s="2" t="n"/>
      <c r="Z54" s="2" t="inlineStr">
        <is>
          <t>SHEIN</t>
        </is>
      </c>
      <c r="AA54" s="2" t="inlineStr">
        <is>
          <t>SHEIN US Services, LLC</t>
        </is>
      </c>
      <c r="AB54" s="2" t="inlineStr">
        <is>
          <t>777 S. Alameda St., Second Floor, Los Angeles, CA 90021</t>
        </is>
      </c>
      <c r="AC54" s="2" t="inlineStr">
        <is>
          <t>US</t>
        </is>
      </c>
      <c r="AD54" s="2" t="n"/>
      <c r="AE54" s="2" t="n"/>
      <c r="AF54" s="2" t="n"/>
      <c r="AG54" s="2" t="n"/>
      <c r="AH54" s="2" t="n"/>
      <c r="AI54" s="2" t="n"/>
      <c r="AJ54" s="2" t="n"/>
      <c r="AK54" s="2" t="inlineStr">
        <is>
          <t>92089000</t>
        </is>
      </c>
    </row>
    <row r="55">
      <c r="A55" s="4" t="n"/>
      <c r="B55" s="4" t="n"/>
      <c r="C55" s="4" t="n"/>
      <c r="D55" s="4" t="n"/>
      <c r="E55" s="4" t="n"/>
      <c r="F55" s="4" t="inlineStr">
        <is>
          <t>92089000</t>
        </is>
      </c>
      <c r="G55" s="4" t="n"/>
      <c r="H55" s="4" t="n"/>
      <c r="I55" s="4" t="inlineStr">
        <is>
          <t>SHEIN-1</t>
        </is>
      </c>
      <c r="J55" s="4" t="inlineStr">
        <is>
          <t>Ba Rane ee Re nena Se Se pare eater ar ties areal Brgy apaeeatn te pm SHEIN Baby Girl Letter Graphic Cami Top Mesh Overlay Skort</t>
        </is>
      </c>
      <c r="K55" s="4" t="n">
        <v>1</v>
      </c>
      <c r="L55" s="4" t="n"/>
      <c r="M55" s="4" t="n"/>
      <c r="N55" s="4" t="inlineStr">
        <is>
          <t>USD</t>
        </is>
      </c>
      <c r="O55" s="5" t="n">
        <v>3.68</v>
      </c>
      <c r="P55" s="5" t="n">
        <v>3.68</v>
      </c>
      <c r="Q55" s="5">
        <f>O55*K55</f>
        <v/>
      </c>
      <c r="R55" s="5">
        <f>P55-Q55</f>
        <v/>
      </c>
      <c r="S55" s="4" t="n"/>
      <c r="T55" s="4" t="n"/>
      <c r="U55" s="4" t="n"/>
      <c r="V55" s="4" t="n"/>
      <c r="W55" s="4" t="n"/>
      <c r="X55" s="4" t="n"/>
      <c r="Y55" s="4" t="n"/>
      <c r="Z55" s="4" t="n"/>
      <c r="AA55" s="4" t="n"/>
      <c r="AB55" s="4" t="n"/>
      <c r="AC55" s="4" t="n"/>
      <c r="AD55" s="4" t="n"/>
      <c r="AE55" s="4" t="n"/>
      <c r="AF55" s="4" t="n"/>
      <c r="AG55" s="4" t="n"/>
      <c r="AH55" s="4" t="n"/>
      <c r="AI55" s="4" t="n"/>
      <c r="AJ55" s="4" t="n"/>
      <c r="AK55" s="4" t="n"/>
    </row>
    <row r="56">
      <c r="A56" s="2" t="n"/>
      <c r="B56" s="2" t="n"/>
      <c r="C56" s="2" t="inlineStr">
        <is>
          <t>INVUS20240717002011537</t>
        </is>
      </c>
      <c r="D56" s="2" t="n"/>
      <c r="E56" s="2" t="inlineStr">
        <is>
          <t>Ski suits</t>
        </is>
      </c>
      <c r="F56" s="2" t="inlineStr">
        <is>
          <t>62112000</t>
        </is>
      </c>
      <c r="G56" s="2" t="n"/>
      <c r="H56" s="2" t="n"/>
      <c r="I56" s="2" t="inlineStr">
        <is>
          <t>62112000</t>
        </is>
      </c>
      <c r="J56" s="2" t="inlineStr">
        <is>
          <t>Baby Girl Holiday Casual Cute Raw Hem Ruffle Heart Shaped Strap Elastic Comfort Top Elastic Waist (1 items)</t>
        </is>
      </c>
      <c r="K56" s="2" t="n">
        <v>2</v>
      </c>
      <c r="L56" s="2" t="n"/>
      <c r="M56" s="2" t="n"/>
      <c r="N56" s="2" t="inlineStr">
        <is>
          <t>USD</t>
        </is>
      </c>
      <c r="O56" s="3" t="n">
        <v>4.76</v>
      </c>
      <c r="P56" s="3" t="n">
        <v>9.52</v>
      </c>
      <c r="Q56" s="3">
        <f>O56*K56</f>
        <v/>
      </c>
      <c r="R56" s="3">
        <f>P56-Q56</f>
        <v/>
      </c>
      <c r="S56" s="3" t="n"/>
      <c r="T56" s="3" t="n"/>
      <c r="U56" s="3" t="n"/>
      <c r="V56" s="3" t="n"/>
      <c r="W56" s="3" t="n"/>
      <c r="X56" s="2" t="n"/>
      <c r="Y56" s="2" t="n"/>
      <c r="Z56" s="2" t="n"/>
      <c r="AA56" s="2" t="n"/>
      <c r="AB56" s="2" t="n"/>
      <c r="AC56" s="2" t="n"/>
      <c r="AD56" s="2" t="n"/>
      <c r="AE56" s="2" t="n"/>
      <c r="AF56" s="2" t="n"/>
      <c r="AG56" s="2" t="n"/>
      <c r="AH56" s="2" t="n"/>
      <c r="AI56" s="2" t="n"/>
      <c r="AJ56" s="2" t="n"/>
      <c r="AK56" s="2" t="inlineStr">
        <is>
          <t>62112000</t>
        </is>
      </c>
    </row>
    <row r="57">
      <c r="A57" s="4" t="n"/>
      <c r="B57" s="4" t="n"/>
      <c r="C57" s="4" t="n"/>
      <c r="D57" s="4" t="n"/>
      <c r="E57" s="4" t="n"/>
      <c r="F57" s="4" t="inlineStr">
        <is>
          <t>62112000</t>
        </is>
      </c>
      <c r="G57" s="4" t="n"/>
      <c r="H57" s="4" t="n"/>
      <c r="I57" s="4" t="inlineStr">
        <is>
          <t>SHEIN-2</t>
        </is>
      </c>
      <c r="J57" s="4" t="inlineStr">
        <is>
          <t>Baby Girl Holiday Casual Cute Raw Hem Ruffle Heart Shaped Strap Elastic Comfort Top Elastic Waist</t>
        </is>
      </c>
      <c r="K57" s="4" t="n">
        <v>2</v>
      </c>
      <c r="L57" s="4" t="n"/>
      <c r="M57" s="4" t="n"/>
      <c r="N57" s="4" t="inlineStr">
        <is>
          <t>USD</t>
        </is>
      </c>
      <c r="O57" s="5" t="n">
        <v>4.76</v>
      </c>
      <c r="P57" s="5" t="n">
        <v>9.52</v>
      </c>
      <c r="Q57" s="5">
        <f>O57*K57</f>
        <v/>
      </c>
      <c r="R57" s="5">
        <f>P57-Q57</f>
        <v/>
      </c>
      <c r="S57" s="4" t="n"/>
      <c r="T57" s="4" t="n"/>
      <c r="U57" s="4" t="n"/>
      <c r="V57" s="4" t="n"/>
      <c r="W57" s="4" t="n"/>
      <c r="X57" s="4" t="n"/>
      <c r="Y57" s="4" t="n"/>
      <c r="Z57" s="4" t="n"/>
      <c r="AA57" s="4" t="n"/>
      <c r="AB57" s="4" t="n"/>
      <c r="AC57" s="4" t="n"/>
      <c r="AD57" s="4" t="n"/>
      <c r="AE57" s="4" t="n"/>
      <c r="AF57" s="4" t="n"/>
      <c r="AG57" s="4" t="n"/>
      <c r="AH57" s="4" t="n"/>
      <c r="AI57" s="4" t="n"/>
      <c r="AJ57" s="4" t="n"/>
      <c r="AK57" s="4" t="n"/>
    </row>
    <row r="58">
      <c r="A58" s="6" t="n"/>
      <c r="B58" s="6" t="n"/>
      <c r="C58" s="6" t="n"/>
      <c r="D58" s="6" t="n"/>
      <c r="E58" s="6" t="n"/>
      <c r="F58" s="6" t="n"/>
      <c r="G58" s="6" t="n"/>
      <c r="H58" s="6" t="n"/>
      <c r="I58" s="6" t="n"/>
      <c r="J58" s="6" t="inlineStr">
        <is>
          <t>SUBTOTAL (GROUPED)</t>
        </is>
      </c>
      <c r="K58" s="6" t="n"/>
      <c r="L58" s="6" t="n"/>
      <c r="M58" s="6" t="n"/>
      <c r="N58" s="6" t="n"/>
      <c r="O58" s="6" t="n"/>
      <c r="P58" s="7">
        <f>P54+P56</f>
        <v/>
      </c>
      <c r="Q58" s="7">
        <f>Q54+Q56</f>
        <v/>
      </c>
      <c r="R58" s="6" t="n"/>
      <c r="S58" s="6" t="n"/>
      <c r="T58" s="6" t="n"/>
      <c r="U58" s="6" t="n"/>
      <c r="V58" s="6" t="n"/>
      <c r="W58" s="6" t="n"/>
      <c r="X58" s="6" t="n"/>
      <c r="Y58" s="6" t="n"/>
      <c r="Z58" s="6" t="n"/>
      <c r="AA58" s="6" t="n"/>
      <c r="AB58" s="6" t="n"/>
      <c r="AC58" s="6" t="n"/>
      <c r="AD58" s="6" t="n"/>
      <c r="AE58" s="6" t="n"/>
      <c r="AF58" s="6" t="n"/>
      <c r="AG58" s="6" t="n"/>
      <c r="AH58" s="6" t="n"/>
      <c r="AI58" s="6" t="n"/>
      <c r="AJ58" s="6" t="n"/>
      <c r="AK58" s="6" t="n"/>
    </row>
    <row r="59">
      <c r="A59" s="6" t="n"/>
      <c r="B59" s="6" t="n"/>
      <c r="C59" s="6" t="n"/>
      <c r="D59" s="6" t="n"/>
      <c r="E59" s="6" t="n"/>
      <c r="F59" s="6" t="n"/>
      <c r="G59" s="6" t="n"/>
      <c r="H59" s="6" t="n"/>
      <c r="I59" s="6" t="n"/>
      <c r="J59" s="6" t="inlineStr">
        <is>
          <t>SUBTOTAL (DETAILS)</t>
        </is>
      </c>
      <c r="K59" s="6" t="n"/>
      <c r="L59" s="6" t="n"/>
      <c r="M59" s="6" t="n"/>
      <c r="N59" s="6" t="n"/>
      <c r="O59" s="6" t="n"/>
      <c r="P59" s="7">
        <f>SUM(P54:P57)-P58</f>
        <v/>
      </c>
      <c r="Q59" s="7">
        <f>SUM(Q54:Q57)-Q58</f>
        <v/>
      </c>
      <c r="R59" s="6" t="n"/>
      <c r="S59" s="6" t="n"/>
      <c r="T59" s="6" t="n"/>
      <c r="U59" s="6" t="n"/>
      <c r="V59" s="6" t="n"/>
      <c r="W59" s="6" t="n"/>
      <c r="X59" s="6" t="n"/>
      <c r="Y59" s="6" t="n"/>
      <c r="Z59" s="6" t="n"/>
      <c r="AA59" s="6" t="n"/>
      <c r="AB59" s="6" t="n"/>
      <c r="AC59" s="6" t="n"/>
      <c r="AD59" s="6" t="n"/>
      <c r="AE59" s="6" t="n"/>
      <c r="AF59" s="6" t="n"/>
      <c r="AG59" s="6" t="n"/>
      <c r="AH59" s="6" t="n"/>
      <c r="AI59" s="6" t="n"/>
      <c r="AJ59" s="6" t="n"/>
      <c r="AK59" s="6" t="n"/>
    </row>
    <row r="60">
      <c r="A60" s="8" t="n"/>
      <c r="B60" s="8" t="n"/>
      <c r="C60" s="8" t="n"/>
      <c r="D60" s="8" t="n"/>
      <c r="E60" s="8" t="n"/>
      <c r="F60" s="8" t="n"/>
      <c r="G60" s="8" t="n"/>
      <c r="H60" s="8" t="n"/>
      <c r="I60" s="8" t="n"/>
      <c r="J60" s="8" t="inlineStr">
        <is>
          <t>GROUP VERIFICATION</t>
        </is>
      </c>
      <c r="K60" s="8" t="n"/>
      <c r="L60" s="8" t="n"/>
      <c r="M60" s="8" t="n"/>
      <c r="N60" s="8" t="n"/>
      <c r="O60" s="8" t="n"/>
      <c r="P60" s="9">
        <f>P58-P59</f>
        <v/>
      </c>
      <c r="Q60" s="9">
        <f>Q58-Q59</f>
        <v/>
      </c>
      <c r="R60" s="8" t="n"/>
      <c r="S60" s="8" t="n"/>
      <c r="T60" s="8" t="n"/>
      <c r="U60" s="8" t="n"/>
      <c r="V60" s="8" t="n"/>
      <c r="W60" s="8" t="n"/>
      <c r="X60" s="8" t="n"/>
      <c r="Y60" s="8" t="n"/>
      <c r="Z60" s="8" t="n"/>
      <c r="AA60" s="8" t="n"/>
      <c r="AB60" s="8" t="n"/>
      <c r="AC60" s="8" t="n"/>
      <c r="AD60" s="8" t="n"/>
      <c r="AE60" s="8" t="n"/>
      <c r="AF60" s="8" t="n"/>
      <c r="AG60" s="8" t="n"/>
      <c r="AH60" s="8" t="n"/>
      <c r="AI60" s="8" t="n"/>
      <c r="AJ60" s="8" t="n"/>
      <c r="AK60" s="8" t="n"/>
    </row>
    <row r="61"/>
    <row r="62">
      <c r="A62" s="6" t="n"/>
      <c r="B62" s="6" t="n"/>
      <c r="C62" s="6" t="n"/>
      <c r="D62" s="6" t="n"/>
      <c r="E62" s="6" t="n"/>
      <c r="F62" s="6" t="n"/>
      <c r="G62" s="6" t="n"/>
      <c r="H62" s="6" t="n"/>
      <c r="I62" s="6" t="n"/>
      <c r="J62" s="6" t="inlineStr">
        <is>
          <t>TOTAL INTERNAL FREIGHT</t>
        </is>
      </c>
      <c r="K62" s="6" t="n"/>
      <c r="L62" s="6" t="n"/>
      <c r="M62" s="6" t="n"/>
      <c r="N62" s="6" t="n"/>
      <c r="O62" s="6" t="n"/>
      <c r="P62" s="7" t="n">
        <v>0</v>
      </c>
      <c r="Q62" s="7" t="n"/>
      <c r="R62" s="6" t="n"/>
      <c r="S62" s="6" t="n"/>
      <c r="T62" s="6" t="n"/>
      <c r="U62" s="6" t="n"/>
      <c r="V62" s="6" t="n"/>
      <c r="W62" s="6" t="n"/>
      <c r="X62" s="6" t="n"/>
      <c r="Y62" s="6" t="n"/>
      <c r="Z62" s="6" t="n"/>
      <c r="AA62" s="6" t="n"/>
      <c r="AB62" s="6" t="n"/>
      <c r="AC62" s="6" t="n"/>
      <c r="AD62" s="6" t="n"/>
      <c r="AE62" s="6" t="n"/>
      <c r="AF62" s="6" t="n"/>
      <c r="AG62" s="6" t="n"/>
      <c r="AH62" s="6" t="n"/>
      <c r="AI62" s="6" t="n"/>
      <c r="AJ62" s="6" t="n"/>
      <c r="AK62" s="6" t="n"/>
    </row>
    <row r="63">
      <c r="A63" s="6" t="n"/>
      <c r="B63" s="6" t="n"/>
      <c r="C63" s="6" t="n"/>
      <c r="D63" s="6" t="n"/>
      <c r="E63" s="6" t="n"/>
      <c r="F63" s="6" t="n"/>
      <c r="G63" s="6" t="n"/>
      <c r="H63" s="6" t="n"/>
      <c r="I63" s="6" t="n"/>
      <c r="J63" s="6" t="inlineStr">
        <is>
          <t>TOTAL INSURANCE</t>
        </is>
      </c>
      <c r="K63" s="6" t="n"/>
      <c r="L63" s="6" t="n"/>
      <c r="M63" s="6" t="n"/>
      <c r="N63" s="6" t="n"/>
      <c r="O63" s="6" t="n"/>
      <c r="P63" s="7" t="n">
        <v>0</v>
      </c>
      <c r="Q63" s="7" t="n"/>
      <c r="R63" s="6" t="n"/>
      <c r="S63" s="6" t="n"/>
      <c r="T63" s="6" t="n"/>
      <c r="U63" s="6" t="n"/>
      <c r="V63" s="6" t="n"/>
      <c r="W63" s="6" t="n"/>
      <c r="X63" s="6" t="n"/>
      <c r="Y63" s="6" t="n"/>
      <c r="Z63" s="6" t="n"/>
      <c r="AA63" s="6" t="n"/>
      <c r="AB63" s="6" t="n"/>
      <c r="AC63" s="6" t="n"/>
      <c r="AD63" s="6" t="n"/>
      <c r="AE63" s="6" t="n"/>
      <c r="AF63" s="6" t="n"/>
      <c r="AG63" s="6" t="n"/>
      <c r="AH63" s="6" t="n"/>
      <c r="AI63" s="6" t="n"/>
      <c r="AJ63" s="6" t="n"/>
      <c r="AK63" s="6" t="n"/>
    </row>
    <row r="64">
      <c r="A64" s="6" t="n"/>
      <c r="B64" s="6" t="n"/>
      <c r="C64" s="6" t="n"/>
      <c r="D64" s="6" t="n"/>
      <c r="E64" s="6" t="n"/>
      <c r="F64" s="6" t="n"/>
      <c r="G64" s="6" t="n"/>
      <c r="H64" s="6" t="n"/>
      <c r="I64" s="6" t="n"/>
      <c r="J64" s="6" t="inlineStr">
        <is>
          <t>TOTAL OTHER COST</t>
        </is>
      </c>
      <c r="K64" s="6" t="n"/>
      <c r="L64" s="6" t="n"/>
      <c r="M64" s="6" t="n"/>
      <c r="N64" s="6" t="n"/>
      <c r="O64" s="6" t="n"/>
      <c r="P64" s="7" t="n">
        <v>0</v>
      </c>
      <c r="Q64" s="7" t="n"/>
      <c r="R64" s="6" t="n"/>
      <c r="S64" s="6" t="n"/>
      <c r="T64" s="6" t="n"/>
      <c r="U64" s="6" t="n"/>
      <c r="V64" s="6" t="n"/>
      <c r="W64" s="6" t="n"/>
      <c r="X64" s="6" t="n"/>
      <c r="Y64" s="6" t="n"/>
      <c r="Z64" s="6" t="n"/>
      <c r="AA64" s="6" t="n"/>
      <c r="AB64" s="6" t="n"/>
      <c r="AC64" s="6" t="n"/>
      <c r="AD64" s="6" t="n"/>
      <c r="AE64" s="6" t="n"/>
      <c r="AF64" s="6" t="n"/>
      <c r="AG64" s="6" t="n"/>
      <c r="AH64" s="6" t="n"/>
      <c r="AI64" s="6" t="n"/>
      <c r="AJ64" s="6" t="n"/>
      <c r="AK64" s="6" t="n"/>
    </row>
    <row r="65">
      <c r="A65" s="6" t="n"/>
      <c r="B65" s="6" t="n"/>
      <c r="C65" s="6" t="n"/>
      <c r="D65" s="6" t="n"/>
      <c r="E65" s="6" t="n"/>
      <c r="F65" s="6" t="n"/>
      <c r="G65" s="6" t="n"/>
      <c r="H65" s="6" t="n"/>
      <c r="I65" s="6" t="n"/>
      <c r="J65" s="6" t="inlineStr">
        <is>
          <t>TOTAL DEDUCTION</t>
        </is>
      </c>
      <c r="K65" s="6" t="n"/>
      <c r="L65" s="6" t="n"/>
      <c r="M65" s="6" t="n"/>
      <c r="N65" s="6" t="n"/>
      <c r="O65" s="6" t="n"/>
      <c r="P65" s="7" t="n">
        <v>0</v>
      </c>
      <c r="Q65" s="7" t="n"/>
      <c r="R65" s="6" t="n"/>
      <c r="S65" s="6" t="n"/>
      <c r="T65" s="6" t="n"/>
      <c r="U65" s="6" t="n"/>
      <c r="V65" s="6" t="n"/>
      <c r="W65" s="6" t="n"/>
      <c r="X65" s="6" t="n"/>
      <c r="Y65" s="6" t="n"/>
      <c r="Z65" s="6" t="n"/>
      <c r="AA65" s="6" t="n"/>
      <c r="AB65" s="6" t="n"/>
      <c r="AC65" s="6" t="n"/>
      <c r="AD65" s="6" t="n"/>
      <c r="AE65" s="6" t="n"/>
      <c r="AF65" s="6" t="n"/>
      <c r="AG65" s="6" t="n"/>
      <c r="AH65" s="6" t="n"/>
      <c r="AI65" s="6" t="n"/>
      <c r="AJ65" s="6" t="n"/>
      <c r="AK65" s="6" t="n"/>
    </row>
    <row r="66">
      <c r="A66" s="6" t="n"/>
      <c r="B66" s="6" t="n"/>
      <c r="C66" s="6" t="n"/>
      <c r="D66" s="6" t="n"/>
      <c r="E66" s="6" t="n"/>
      <c r="F66" s="6" t="n"/>
      <c r="G66" s="6" t="n"/>
      <c r="H66" s="6" t="n"/>
      <c r="I66" s="6" t="n"/>
      <c r="J66" s="6" t="inlineStr">
        <is>
          <t>ADJUSTMENTS</t>
        </is>
      </c>
      <c r="K66" s="6" t="n"/>
      <c r="L66" s="6" t="n"/>
      <c r="M66" s="6" t="n"/>
      <c r="N66" s="6" t="n"/>
      <c r="O66" s="6" t="n"/>
      <c r="P66" s="7">
        <f>(T54+U54+V54-W54)</f>
        <v/>
      </c>
      <c r="Q66" s="7">
        <f>(T54+U54+V54-W54)</f>
        <v/>
      </c>
      <c r="R66" s="6" t="n"/>
      <c r="S66" s="6" t="n"/>
      <c r="T66" s="6" t="n"/>
      <c r="U66" s="6" t="n"/>
      <c r="V66" s="6" t="n"/>
      <c r="W66" s="6" t="n"/>
      <c r="X66" s="6" t="n"/>
      <c r="Y66" s="6" t="n"/>
      <c r="Z66" s="6" t="n"/>
      <c r="AA66" s="6" t="n"/>
      <c r="AB66" s="6" t="n"/>
      <c r="AC66" s="6" t="n"/>
      <c r="AD66" s="6" t="n"/>
      <c r="AE66" s="6" t="n"/>
      <c r="AF66" s="6" t="n"/>
      <c r="AG66" s="6" t="n"/>
      <c r="AH66" s="6" t="n"/>
      <c r="AI66" s="6" t="n"/>
      <c r="AJ66" s="6" t="n"/>
      <c r="AK66" s="6" t="n"/>
    </row>
    <row r="67"/>
    <row r="68">
      <c r="A68" s="6" t="n"/>
      <c r="B68" s="6" t="n"/>
      <c r="C68" s="6" t="n"/>
      <c r="D68" s="6" t="n"/>
      <c r="E68" s="6" t="n"/>
      <c r="F68" s="6" t="n"/>
      <c r="G68" s="6" t="n"/>
      <c r="H68" s="6" t="n"/>
      <c r="I68" s="6" t="n"/>
      <c r="J68" s="6" t="inlineStr">
        <is>
          <t>NET TOTAL</t>
        </is>
      </c>
      <c r="K68" s="6" t="n"/>
      <c r="L68" s="6" t="n"/>
      <c r="M68" s="6" t="n"/>
      <c r="N68" s="6" t="n"/>
      <c r="O68" s="6" t="n"/>
      <c r="P68" s="7">
        <f>P58+P66</f>
        <v/>
      </c>
      <c r="Q68" s="7">
        <f>Q58+Q66</f>
        <v/>
      </c>
      <c r="R68" s="6" t="n"/>
      <c r="S68" s="6" t="n"/>
      <c r="T68" s="6" t="n"/>
      <c r="U68" s="6" t="n"/>
      <c r="V68" s="6" t="n"/>
      <c r="W68" s="6" t="n"/>
      <c r="X68" s="6" t="n"/>
      <c r="Y68" s="6" t="n"/>
      <c r="Z68" s="6" t="n"/>
      <c r="AA68" s="6" t="n"/>
      <c r="AB68" s="6" t="n"/>
      <c r="AC68" s="6" t="n"/>
      <c r="AD68" s="6" t="n"/>
      <c r="AE68" s="6" t="n"/>
      <c r="AF68" s="6" t="n"/>
      <c r="AG68" s="6" t="n"/>
      <c r="AH68" s="6" t="n"/>
      <c r="AI68" s="6" t="n"/>
      <c r="AJ68" s="6" t="n"/>
      <c r="AK68" s="6" t="n"/>
    </row>
    <row r="69">
      <c r="A69" s="6" t="n"/>
      <c r="B69" s="6" t="n"/>
      <c r="C69" s="6" t="n"/>
      <c r="D69" s="6" t="n"/>
      <c r="E69" s="6" t="n"/>
      <c r="F69" s="6" t="n"/>
      <c r="G69" s="6" t="n"/>
      <c r="H69" s="6" t="n"/>
      <c r="I69" s="6" t="n"/>
      <c r="J69" s="6" t="inlineStr">
        <is>
          <t>INVOICE TOTAL</t>
        </is>
      </c>
      <c r="K69" s="6" t="n"/>
      <c r="L69" s="6" t="n"/>
      <c r="M69" s="6" t="n"/>
      <c r="N69" s="6" t="n"/>
      <c r="O69" s="6" t="n"/>
      <c r="P69" s="7">
        <f>S54</f>
        <v/>
      </c>
      <c r="Q69" s="7" t="n"/>
      <c r="R69" s="6" t="n"/>
      <c r="S69" s="6" t="n"/>
      <c r="T69" s="6" t="n"/>
      <c r="U69" s="6" t="n"/>
      <c r="V69" s="6" t="n"/>
      <c r="W69" s="6" t="n"/>
      <c r="X69" s="6" t="n"/>
      <c r="Y69" s="6" t="n"/>
      <c r="Z69" s="6" t="n"/>
      <c r="AA69" s="6" t="n"/>
      <c r="AB69" s="6" t="n"/>
      <c r="AC69" s="6" t="n"/>
      <c r="AD69" s="6" t="n"/>
      <c r="AE69" s="6" t="n"/>
      <c r="AF69" s="6" t="n"/>
      <c r="AG69" s="6" t="n"/>
      <c r="AH69" s="6" t="n"/>
      <c r="AI69" s="6" t="n"/>
      <c r="AJ69" s="6" t="n"/>
      <c r="AK69" s="6" t="n"/>
    </row>
    <row r="70"/>
    <row r="71">
      <c r="A71" s="10" t="n"/>
      <c r="B71" s="10" t="n"/>
      <c r="C71" s="10" t="n"/>
      <c r="D71" s="10" t="n"/>
      <c r="E71" s="10" t="n"/>
      <c r="F71" s="10" t="n"/>
      <c r="G71" s="10" t="n"/>
      <c r="H71" s="10" t="n"/>
      <c r="I71" s="10" t="n"/>
      <c r="J71" s="10" t="inlineStr">
        <is>
          <t>VARIANCE CHECK</t>
        </is>
      </c>
      <c r="K71" s="10" t="n"/>
      <c r="L71" s="10" t="n"/>
      <c r="M71" s="10" t="n"/>
      <c r="N71" s="10" t="n"/>
      <c r="O71" s="10" t="n"/>
      <c r="P71" s="11">
        <f>S54-P68</f>
        <v/>
      </c>
      <c r="Q71" s="11">
        <f>S54-Q68</f>
        <v/>
      </c>
      <c r="R71" s="10" t="n"/>
      <c r="S71" s="10" t="n"/>
      <c r="T71" s="10" t="n"/>
      <c r="U71" s="10" t="n"/>
      <c r="V71" s="10" t="n"/>
      <c r="W71" s="10" t="n"/>
      <c r="X71" s="10" t="n"/>
      <c r="Y71" s="10" t="n"/>
      <c r="Z71" s="10" t="n"/>
      <c r="AA71" s="10" t="n"/>
      <c r="AB71" s="10" t="n"/>
      <c r="AC71" s="10" t="n"/>
      <c r="AD71" s="10" t="n"/>
      <c r="AE71" s="10" t="n"/>
      <c r="AF71" s="10" t="n"/>
      <c r="AG71" s="10" t="n"/>
      <c r="AH71" s="10" t="n"/>
      <c r="AI71" s="10" t="n"/>
      <c r="AJ71" s="10" t="n"/>
      <c r="AK71" s="10" t="n"/>
    </row>
    <row r="72"/>
    <row r="73">
      <c r="A73" s="20" t="n"/>
      <c r="B73" s="20" t="n"/>
      <c r="C73" s="20" t="n"/>
      <c r="D73" s="20" t="n"/>
      <c r="E73" s="20" t="n"/>
      <c r="F73" s="20" t="n"/>
      <c r="G73" s="20" t="n"/>
      <c r="H73" s="20" t="n"/>
      <c r="I73" s="20" t="n"/>
      <c r="J73" s="21" t="inlineStr">
        <is>
          <t>INVOICE NOTES: Invoice total uncertain</t>
        </is>
      </c>
      <c r="K73" s="20" t="n"/>
      <c r="L73" s="20" t="n"/>
      <c r="M73" s="20" t="n"/>
      <c r="N73" s="20" t="n"/>
      <c r="O73" s="20" t="n"/>
      <c r="P73" s="20" t="n"/>
      <c r="Q73" s="20" t="n"/>
      <c r="R73" s="20" t="n"/>
      <c r="S73" s="20" t="n"/>
      <c r="T73" s="20" t="n"/>
      <c r="U73" s="20" t="n"/>
      <c r="V73" s="20" t="n"/>
      <c r="W73" s="20" t="n"/>
      <c r="X73" s="20" t="n"/>
      <c r="Y73" s="20" t="n"/>
      <c r="Z73" s="20" t="n"/>
      <c r="AA73" s="20" t="n"/>
      <c r="AB73" s="20" t="n"/>
      <c r="AC73" s="20" t="n"/>
      <c r="AD73" s="20" t="n"/>
      <c r="AE73" s="20" t="n"/>
      <c r="AF73" s="20" t="n"/>
      <c r="AG73" s="20" t="n"/>
      <c r="AH73" s="20" t="n"/>
      <c r="AI73" s="20" t="n"/>
      <c r="AJ73" s="20" t="n"/>
      <c r="AK73" s="20" t="n"/>
    </row>
    <row r="74"/>
    <row r="75">
      <c r="A75" s="12" t="n"/>
      <c r="B75" s="12" t="n"/>
      <c r="C75" s="12" t="n"/>
      <c r="D75" s="12" t="n"/>
      <c r="E75" s="12" t="n"/>
      <c r="F75" s="12" t="n"/>
      <c r="G75" s="12" t="n"/>
      <c r="H75" s="12" t="n"/>
      <c r="I75" s="12" t="n"/>
      <c r="J75" s="12" t="inlineStr">
        <is>
          <t>DUTY ESTIMATION (Classification Cross-Check)</t>
        </is>
      </c>
      <c r="K75" s="12" t="n"/>
      <c r="L75" s="12" t="n"/>
      <c r="M75" s="12" t="n"/>
      <c r="N75" s="12" t="n"/>
      <c r="O75" s="12" t="n"/>
      <c r="P75" s="12" t="n"/>
      <c r="Q75" s="12" t="n"/>
      <c r="R75" s="12" t="n"/>
      <c r="S75" s="12" t="n"/>
      <c r="T75" s="12" t="n"/>
      <c r="U75" s="12" t="n"/>
      <c r="V75" s="12" t="n"/>
      <c r="W75" s="12" t="n"/>
      <c r="X75" s="12" t="n"/>
      <c r="Y75" s="12" t="n"/>
      <c r="Z75" s="12" t="n"/>
      <c r="AA75" s="12" t="n"/>
      <c r="AB75" s="12" t="n"/>
      <c r="AC75" s="12" t="n"/>
      <c r="AD75" s="12" t="n"/>
      <c r="AE75" s="12" t="n"/>
      <c r="AF75" s="12" t="n"/>
      <c r="AG75" s="12" t="n"/>
      <c r="AH75" s="12" t="n"/>
      <c r="AI75" s="12" t="n"/>
      <c r="AJ75" s="12" t="n"/>
      <c r="AK75" s="12" t="n"/>
    </row>
    <row r="76">
      <c r="A76" s="13" t="n"/>
      <c r="B76" s="13" t="n"/>
      <c r="C76" s="13" t="n"/>
      <c r="D76" s="13" t="n"/>
      <c r="E76" s="13" t="n"/>
      <c r="F76" s="13" t="n"/>
      <c r="G76" s="13" t="n"/>
      <c r="H76" s="13" t="n"/>
      <c r="I76" s="13" t="n"/>
      <c r="J76" s="14" t="inlineStr">
        <is>
          <t>CIF (USD) = InvTotal + Freight + Insurance</t>
        </is>
      </c>
      <c r="K76" s="13" t="n"/>
      <c r="L76" s="13" t="n"/>
      <c r="M76" s="13" t="n"/>
      <c r="N76" s="13" t="n"/>
      <c r="O76" s="13" t="n"/>
      <c r="P76" s="15" t="n">
        <v>13.2</v>
      </c>
      <c r="Q76" s="13" t="n"/>
      <c r="R76" s="13" t="n"/>
      <c r="S76" s="13" t="n"/>
      <c r="T76" s="13" t="n"/>
      <c r="U76" s="13" t="n"/>
      <c r="V76" s="13" t="n"/>
      <c r="W76" s="13" t="n"/>
      <c r="X76" s="13" t="n"/>
      <c r="Y76" s="13" t="n"/>
      <c r="Z76" s="13" t="n"/>
      <c r="AA76" s="13" t="n"/>
      <c r="AB76" s="13" t="n"/>
      <c r="AC76" s="13" t="n"/>
      <c r="AD76" s="13" t="n"/>
      <c r="AE76" s="13" t="n"/>
      <c r="AF76" s="13" t="n"/>
      <c r="AG76" s="13" t="n"/>
      <c r="AH76" s="13" t="n"/>
      <c r="AI76" s="13" t="n"/>
      <c r="AJ76" s="13" t="n"/>
      <c r="AK76" s="13" t="n"/>
    </row>
    <row r="77">
      <c r="A77" s="13" t="n"/>
      <c r="B77" s="13" t="n"/>
      <c r="C77" s="13" t="n"/>
      <c r="D77" s="13" t="n"/>
      <c r="E77" s="13" t="n"/>
      <c r="F77" s="13" t="n"/>
      <c r="G77" s="13" t="n"/>
      <c r="H77" s="13" t="n"/>
      <c r="I77" s="13" t="n"/>
      <c r="J77" s="14" t="inlineStr">
        <is>
          <t>CIF (XCD) = CIF × 2.7169</t>
        </is>
      </c>
      <c r="K77" s="13" t="n"/>
      <c r="L77" s="13" t="n"/>
      <c r="M77" s="13" t="n"/>
      <c r="N77" s="13" t="n"/>
      <c r="O77" s="13" t="n"/>
      <c r="P77" s="15" t="n">
        <v>35.86</v>
      </c>
      <c r="Q77" s="13" t="n"/>
      <c r="R77" s="13" t="n"/>
      <c r="S77" s="13" t="n"/>
      <c r="T77" s="13" t="n"/>
      <c r="U77" s="13" t="n"/>
      <c r="V77" s="13" t="n"/>
      <c r="W77" s="13" t="n"/>
      <c r="X77" s="13" t="n"/>
      <c r="Y77" s="13" t="n"/>
      <c r="Z77" s="13" t="n"/>
      <c r="AA77" s="13" t="n"/>
      <c r="AB77" s="13" t="n"/>
      <c r="AC77" s="13" t="n"/>
      <c r="AD77" s="13" t="n"/>
      <c r="AE77" s="13" t="n"/>
      <c r="AF77" s="13" t="n"/>
      <c r="AG77" s="13" t="n"/>
      <c r="AH77" s="13" t="n"/>
      <c r="AI77" s="13" t="n"/>
      <c r="AJ77" s="13" t="n"/>
      <c r="AK77" s="13" t="n"/>
    </row>
    <row r="78">
      <c r="A78" s="13" t="n"/>
      <c r="B78" s="13" t="n"/>
      <c r="C78" s="13" t="n"/>
      <c r="D78" s="13" t="n"/>
      <c r="E78" s="13" t="n"/>
      <c r="F78" s="13" t="n"/>
      <c r="G78" s="13" t="n"/>
      <c r="H78" s="13" t="n"/>
      <c r="I78" s="13" t="n"/>
      <c r="J78" s="14" t="inlineStr">
        <is>
          <t>CET (weighted avg 20.0%)</t>
        </is>
      </c>
      <c r="K78" s="13" t="n"/>
      <c r="L78" s="13" t="n"/>
      <c r="M78" s="13" t="n"/>
      <c r="N78" s="13" t="n"/>
      <c r="O78" s="13" t="n"/>
      <c r="P78" s="15" t="n">
        <v>7.17</v>
      </c>
      <c r="Q78" s="13" t="n"/>
      <c r="R78" s="13" t="n"/>
      <c r="S78" s="13" t="n"/>
      <c r="T78" s="13" t="n"/>
      <c r="U78" s="13" t="n"/>
      <c r="V78" s="13" t="n"/>
      <c r="W78" s="13" t="n"/>
      <c r="X78" s="13" t="n"/>
      <c r="Y78" s="13" t="n"/>
      <c r="Z78" s="13" t="n"/>
      <c r="AA78" s="13" t="n"/>
      <c r="AB78" s="13" t="n"/>
      <c r="AC78" s="13" t="n"/>
      <c r="AD78" s="13" t="n"/>
      <c r="AE78" s="13" t="n"/>
      <c r="AF78" s="13" t="n"/>
      <c r="AG78" s="13" t="n"/>
      <c r="AH78" s="13" t="n"/>
      <c r="AI78" s="13" t="n"/>
      <c r="AJ78" s="13" t="n"/>
      <c r="AK78" s="13" t="n"/>
    </row>
    <row r="79">
      <c r="A79" s="13" t="n"/>
      <c r="B79" s="13" t="n"/>
      <c r="C79" s="13" t="n"/>
      <c r="D79" s="13" t="n"/>
      <c r="E79" s="13" t="n"/>
      <c r="F79" s="13" t="n"/>
      <c r="G79" s="13" t="n"/>
      <c r="H79" s="13" t="n"/>
      <c r="I79" s="13" t="n"/>
      <c r="J79" s="14" t="inlineStr">
        <is>
          <t xml:space="preserve">  └ 62112000: 20% CET (72% of value)</t>
        </is>
      </c>
      <c r="K79" s="13" t="n"/>
      <c r="L79" s="13" t="n"/>
      <c r="M79" s="13" t="n"/>
      <c r="N79" s="13" t="n"/>
      <c r="O79" s="13" t="n"/>
      <c r="P79" s="15" t="n">
        <v>5.17</v>
      </c>
      <c r="Q79" s="13" t="n"/>
      <c r="R79" s="13" t="n"/>
      <c r="S79" s="13" t="n"/>
      <c r="T79" s="13" t="n"/>
      <c r="U79" s="13" t="n"/>
      <c r="V79" s="13" t="n"/>
      <c r="W79" s="13" t="n"/>
      <c r="X79" s="13" t="n"/>
      <c r="Y79" s="13" t="n"/>
      <c r="Z79" s="13" t="n"/>
      <c r="AA79" s="13" t="n"/>
      <c r="AB79" s="13" t="n"/>
      <c r="AC79" s="13" t="n"/>
      <c r="AD79" s="13" t="n"/>
      <c r="AE79" s="13" t="n"/>
      <c r="AF79" s="13" t="n"/>
      <c r="AG79" s="13" t="n"/>
      <c r="AH79" s="13" t="n"/>
      <c r="AI79" s="13" t="n"/>
      <c r="AJ79" s="13" t="n"/>
      <c r="AK79" s="13" t="n"/>
    </row>
    <row r="80">
      <c r="A80" s="13" t="n"/>
      <c r="B80" s="13" t="n"/>
      <c r="C80" s="13" t="n"/>
      <c r="D80" s="13" t="n"/>
      <c r="E80" s="13" t="n"/>
      <c r="F80" s="13" t="n"/>
      <c r="G80" s="13" t="n"/>
      <c r="H80" s="13" t="n"/>
      <c r="I80" s="13" t="n"/>
      <c r="J80" s="14" t="inlineStr">
        <is>
          <t xml:space="preserve">  └ 92089000: 20% CET (28% of value)</t>
        </is>
      </c>
      <c r="K80" s="13" t="n"/>
      <c r="L80" s="13" t="n"/>
      <c r="M80" s="13" t="n"/>
      <c r="N80" s="13" t="n"/>
      <c r="O80" s="13" t="n"/>
      <c r="P80" s="15" t="n">
        <v>2</v>
      </c>
      <c r="Q80" s="13" t="n"/>
      <c r="R80" s="13" t="n"/>
      <c r="S80" s="13" t="n"/>
      <c r="T80" s="13" t="n"/>
      <c r="U80" s="13" t="n"/>
      <c r="V80" s="13" t="n"/>
      <c r="W80" s="13" t="n"/>
      <c r="X80" s="13" t="n"/>
      <c r="Y80" s="13" t="n"/>
      <c r="Z80" s="13" t="n"/>
      <c r="AA80" s="13" t="n"/>
      <c r="AB80" s="13" t="n"/>
      <c r="AC80" s="13" t="n"/>
      <c r="AD80" s="13" t="n"/>
      <c r="AE80" s="13" t="n"/>
      <c r="AF80" s="13" t="n"/>
      <c r="AG80" s="13" t="n"/>
      <c r="AH80" s="13" t="n"/>
      <c r="AI80" s="13" t="n"/>
      <c r="AJ80" s="13" t="n"/>
      <c r="AK80" s="13" t="n"/>
    </row>
    <row r="81">
      <c r="A81" s="13" t="n"/>
      <c r="B81" s="13" t="n"/>
      <c r="C81" s="13" t="n"/>
      <c r="D81" s="13" t="n"/>
      <c r="E81" s="13" t="n"/>
      <c r="F81" s="13" t="n"/>
      <c r="G81" s="13" t="n"/>
      <c r="H81" s="13" t="n"/>
      <c r="I81" s="13" t="n"/>
      <c r="J81" s="14" t="inlineStr">
        <is>
          <t>CSC (6%)</t>
        </is>
      </c>
      <c r="K81" s="13" t="n"/>
      <c r="L81" s="13" t="n"/>
      <c r="M81" s="13" t="n"/>
      <c r="N81" s="13" t="n"/>
      <c r="O81" s="13" t="n"/>
      <c r="P81" s="15" t="n">
        <v>2.15</v>
      </c>
      <c r="Q81" s="13" t="n"/>
      <c r="R81" s="13" t="n"/>
      <c r="S81" s="13" t="n"/>
      <c r="T81" s="13" t="n"/>
      <c r="U81" s="13" t="n"/>
      <c r="V81" s="13" t="n"/>
      <c r="W81" s="13" t="n"/>
      <c r="X81" s="13" t="n"/>
      <c r="Y81" s="13" t="n"/>
      <c r="Z81" s="13" t="n"/>
      <c r="AA81" s="13" t="n"/>
      <c r="AB81" s="13" t="n"/>
      <c r="AC81" s="13" t="n"/>
      <c r="AD81" s="13" t="n"/>
      <c r="AE81" s="13" t="n"/>
      <c r="AF81" s="13" t="n"/>
      <c r="AG81" s="13" t="n"/>
      <c r="AH81" s="13" t="n"/>
      <c r="AI81" s="13" t="n"/>
      <c r="AJ81" s="13" t="n"/>
      <c r="AK81" s="13" t="n"/>
    </row>
    <row r="82">
      <c r="A82" s="13" t="n"/>
      <c r="B82" s="13" t="n"/>
      <c r="C82" s="13" t="n"/>
      <c r="D82" s="13" t="n"/>
      <c r="E82" s="13" t="n"/>
      <c r="F82" s="13" t="n"/>
      <c r="G82" s="13" t="n"/>
      <c r="H82" s="13" t="n"/>
      <c r="I82" s="13" t="n"/>
      <c r="J82" s="14" t="inlineStr">
        <is>
          <t>VAT (15%) on CIF+CET+CSC</t>
        </is>
      </c>
      <c r="K82" s="13" t="n"/>
      <c r="L82" s="13" t="n"/>
      <c r="M82" s="13" t="n"/>
      <c r="N82" s="13" t="n"/>
      <c r="O82" s="13" t="n"/>
      <c r="P82" s="15" t="n">
        <v>6.78</v>
      </c>
      <c r="Q82" s="13" t="n"/>
      <c r="R82" s="13" t="n"/>
      <c r="S82" s="13" t="n"/>
      <c r="T82" s="13" t="n"/>
      <c r="U82" s="13" t="n"/>
      <c r="V82" s="13" t="n"/>
      <c r="W82" s="13" t="n"/>
      <c r="X82" s="13" t="n"/>
      <c r="Y82" s="13" t="n"/>
      <c r="Z82" s="13" t="n"/>
      <c r="AA82" s="13" t="n"/>
      <c r="AB82" s="13" t="n"/>
      <c r="AC82" s="13" t="n"/>
      <c r="AD82" s="13" t="n"/>
      <c r="AE82" s="13" t="n"/>
      <c r="AF82" s="13" t="n"/>
      <c r="AG82" s="13" t="n"/>
      <c r="AH82" s="13" t="n"/>
      <c r="AI82" s="13" t="n"/>
      <c r="AJ82" s="13" t="n"/>
      <c r="AK82" s="13" t="n"/>
    </row>
    <row r="83">
      <c r="A83" s="16" t="n"/>
      <c r="B83" s="16" t="n"/>
      <c r="C83" s="16" t="n"/>
      <c r="D83" s="16" t="n"/>
      <c r="E83" s="16" t="n"/>
      <c r="F83" s="16" t="n"/>
      <c r="G83" s="16" t="n"/>
      <c r="H83" s="16" t="n"/>
      <c r="I83" s="16" t="n"/>
      <c r="J83" s="12" t="inlineStr">
        <is>
          <t>ESTIMATED TOTAL DUTIES</t>
        </is>
      </c>
      <c r="K83" s="16" t="n"/>
      <c r="L83" s="16" t="n"/>
      <c r="M83" s="16" t="n"/>
      <c r="N83" s="16" t="n"/>
      <c r="O83" s="16" t="n"/>
      <c r="P83" s="17" t="n">
        <v>16.1</v>
      </c>
      <c r="Q83" s="16" t="n"/>
      <c r="R83" s="16" t="n"/>
      <c r="S83" s="16" t="n"/>
      <c r="T83" s="16" t="n"/>
      <c r="U83" s="16" t="n"/>
      <c r="V83" s="16" t="n"/>
      <c r="W83" s="16" t="n"/>
      <c r="X83" s="16" t="n"/>
      <c r="Y83" s="16" t="n"/>
      <c r="Z83" s="16" t="n"/>
      <c r="AA83" s="16" t="n"/>
      <c r="AB83" s="16" t="n"/>
      <c r="AC83" s="16" t="n"/>
      <c r="AD83" s="16" t="n"/>
      <c r="AE83" s="16" t="n"/>
      <c r="AF83" s="16" t="n"/>
      <c r="AG83" s="16" t="n"/>
      <c r="AH83" s="16" t="n"/>
      <c r="AI83" s="16" t="n"/>
      <c r="AJ83" s="16" t="n"/>
      <c r="AK83" s="16" t="n"/>
    </row>
    <row r="84">
      <c r="A84" s="13" t="n"/>
      <c r="B84" s="13" t="n"/>
      <c r="C84" s="13" t="n"/>
      <c r="D84" s="13" t="n"/>
      <c r="E84" s="13" t="n"/>
      <c r="F84" s="13" t="n"/>
      <c r="G84" s="13" t="n"/>
      <c r="H84" s="13" t="n"/>
      <c r="I84" s="13" t="n"/>
      <c r="J84" s="14" t="inlineStr">
        <is>
          <t>Effective Duty Rate</t>
        </is>
      </c>
      <c r="K84" s="13" t="n"/>
      <c r="L84" s="13" t="n"/>
      <c r="M84" s="13" t="n"/>
      <c r="N84" s="13" t="n"/>
      <c r="O84" s="13" t="n"/>
      <c r="P84" s="18" t="n">
        <v>0.4489682097044061</v>
      </c>
      <c r="Q84" s="13" t="n"/>
      <c r="R84" s="13" t="n"/>
      <c r="S84" s="13" t="n"/>
      <c r="T84" s="13" t="n"/>
      <c r="U84" s="13" t="n"/>
      <c r="V84" s="13" t="n"/>
      <c r="W84" s="13" t="n"/>
      <c r="X84" s="13" t="n"/>
      <c r="Y84" s="13" t="n"/>
      <c r="Z84" s="13" t="n"/>
      <c r="AA84" s="13" t="n"/>
      <c r="AB84" s="13" t="n"/>
      <c r="AC84" s="13" t="n"/>
      <c r="AD84" s="13" t="n"/>
      <c r="AE84" s="13" t="n"/>
      <c r="AF84" s="13" t="n"/>
      <c r="AG84" s="13" t="n"/>
      <c r="AH84" s="13" t="n"/>
      <c r="AI84" s="13" t="n"/>
      <c r="AJ84" s="13" t="n"/>
      <c r="AK84" s="13" t="n"/>
    </row>
    <row r="85">
      <c r="A85" s="19" t="n"/>
      <c r="B85" s="19" t="n"/>
      <c r="C85" s="19" t="n"/>
      <c r="D85" s="19" t="n"/>
      <c r="E85" s="19" t="n"/>
      <c r="F85" s="19" t="n"/>
      <c r="G85" s="19" t="n"/>
      <c r="H85" s="19" t="n"/>
      <c r="I85" s="19" t="n"/>
      <c r="J85" s="19" t="n"/>
      <c r="K85" s="19" t="n"/>
      <c r="L85" s="19" t="n"/>
      <c r="M85" s="19" t="n"/>
      <c r="N85" s="19" t="n"/>
      <c r="O85" s="19" t="n"/>
      <c r="P85" s="19" t="n"/>
      <c r="Q85" s="19" t="n"/>
      <c r="R85" s="19" t="n"/>
      <c r="S85" s="19" t="n"/>
      <c r="T85" s="19" t="n"/>
      <c r="U85" s="19" t="n"/>
      <c r="V85" s="19" t="n"/>
      <c r="W85" s="19" t="n"/>
      <c r="X85" s="19" t="n"/>
      <c r="Y85" s="19" t="n"/>
      <c r="Z85" s="19" t="n"/>
      <c r="AA85" s="19" t="n"/>
      <c r="AB85" s="19" t="n"/>
      <c r="AC85" s="19" t="n"/>
      <c r="AD85" s="19" t="n"/>
      <c r="AE85" s="19" t="n"/>
      <c r="AF85" s="19" t="n"/>
      <c r="AG85" s="19" t="n"/>
      <c r="AH85" s="19" t="n"/>
      <c r="AI85" s="19" t="n"/>
      <c r="AJ85" s="19" t="n"/>
      <c r="AK85" s="19" t="n"/>
    </row>
    <row r="86">
      <c r="A86" s="2" t="inlineStr">
        <is>
          <t>4000-000</t>
        </is>
      </c>
      <c r="B86" s="2" t="n"/>
      <c r="C86" s="2" t="inlineStr">
        <is>
          <t>INVUS20240717002018383</t>
        </is>
      </c>
      <c r="D86" s="2" t="inlineStr">
        <is>
          <t>2024-07-17</t>
        </is>
      </c>
      <c r="E86" s="2" t="inlineStr">
        <is>
          <t>PRODUCTS</t>
        </is>
      </c>
      <c r="F86" s="2" t="inlineStr">
        <is>
          <t>00000000</t>
        </is>
      </c>
      <c r="G86" s="2" t="n"/>
      <c r="H86" s="2" t="n"/>
      <c r="I86" s="2" t="inlineStr">
        <is>
          <t>00000000</t>
        </is>
      </c>
      <c r="J86" s="2" t="inlineStr">
        <is>
          <t>Plus Size Dresses (1 items)</t>
        </is>
      </c>
      <c r="K86" s="2" t="n">
        <v>1</v>
      </c>
      <c r="L86" s="2" t="n"/>
      <c r="M86" s="2" t="n"/>
      <c r="N86" s="2" t="inlineStr">
        <is>
          <t>USD</t>
        </is>
      </c>
      <c r="O86" s="3" t="n">
        <v>7.52</v>
      </c>
      <c r="P86" s="3" t="n">
        <v>7.52</v>
      </c>
      <c r="Q86" s="3">
        <f>O86*K86</f>
        <v/>
      </c>
      <c r="R86" s="3">
        <f>P86-Q86</f>
        <v/>
      </c>
      <c r="S86" s="3" t="n">
        <v>8.06</v>
      </c>
      <c r="T86" s="3" t="n">
        <v>0</v>
      </c>
      <c r="U86" s="3" t="n">
        <v>0</v>
      </c>
      <c r="V86" s="3" t="n">
        <v>0.54</v>
      </c>
      <c r="W86" s="3" t="n">
        <v>0</v>
      </c>
      <c r="X86" s="2" t="n"/>
      <c r="Y86" s="2" t="n"/>
      <c r="Z86" s="2" t="inlineStr">
        <is>
          <t>SHEIN</t>
        </is>
      </c>
      <c r="AA86" s="2" t="inlineStr">
        <is>
          <t>SHEIN US Services, LLC</t>
        </is>
      </c>
      <c r="AB86" s="2" t="inlineStr">
        <is>
          <t>777 S. Alameda St., Second Floor, Los Angeles, CA 90021</t>
        </is>
      </c>
      <c r="AC86" s="2" t="inlineStr">
        <is>
          <t>US</t>
        </is>
      </c>
      <c r="AD86" s="2" t="n"/>
      <c r="AE86" s="2" t="n"/>
      <c r="AF86" s="2" t="n"/>
      <c r="AG86" s="2" t="n"/>
      <c r="AH86" s="2" t="n"/>
      <c r="AI86" s="2" t="n"/>
      <c r="AJ86" s="2" t="n"/>
      <c r="AK86" s="2" t="inlineStr">
        <is>
          <t>00000000</t>
        </is>
      </c>
    </row>
    <row r="87">
      <c r="A87" s="4" t="n"/>
      <c r="B87" s="4" t="n"/>
      <c r="C87" s="4" t="n"/>
      <c r="D87" s="4" t="n"/>
      <c r="E87" s="4" t="n"/>
      <c r="F87" s="4" t="inlineStr">
        <is>
          <t>00000000</t>
        </is>
      </c>
      <c r="G87" s="4" t="n"/>
      <c r="H87" s="4" t="n"/>
      <c r="I87" s="4" t="inlineStr">
        <is>
          <t>SHEIN-1</t>
        </is>
      </c>
      <c r="J87" s="4" t="inlineStr">
        <is>
          <t>Plus Size Dresses</t>
        </is>
      </c>
      <c r="K87" s="4" t="n">
        <v>1</v>
      </c>
      <c r="L87" s="4" t="n"/>
      <c r="M87" s="4" t="n"/>
      <c r="N87" s="4" t="inlineStr">
        <is>
          <t>USD</t>
        </is>
      </c>
      <c r="O87" s="5" t="n">
        <v>7.52</v>
      </c>
      <c r="P87" s="5" t="n">
        <v>7.52</v>
      </c>
      <c r="Q87" s="5">
        <f>O87*K87</f>
        <v/>
      </c>
      <c r="R87" s="5">
        <f>P87-Q87</f>
        <v/>
      </c>
      <c r="S87" s="4" t="n"/>
      <c r="T87" s="4" t="n"/>
      <c r="U87" s="4" t="n"/>
      <c r="V87" s="4" t="n"/>
      <c r="W87" s="4" t="n"/>
      <c r="X87" s="4" t="n"/>
      <c r="Y87" s="4" t="n"/>
      <c r="Z87" s="4" t="n"/>
      <c r="AA87" s="4" t="n"/>
      <c r="AB87" s="4" t="n"/>
      <c r="AC87" s="4" t="n"/>
      <c r="AD87" s="4" t="n"/>
      <c r="AE87" s="4" t="n"/>
      <c r="AF87" s="4" t="n"/>
      <c r="AG87" s="4" t="n"/>
      <c r="AH87" s="4" t="n"/>
      <c r="AI87" s="4" t="n"/>
      <c r="AJ87" s="4" t="n"/>
      <c r="AK87" s="4" t="n"/>
    </row>
    <row r="88">
      <c r="A88" s="6" t="n"/>
      <c r="B88" s="6" t="n"/>
      <c r="C88" s="6" t="n"/>
      <c r="D88" s="6" t="n"/>
      <c r="E88" s="6" t="n"/>
      <c r="F88" s="6" t="n"/>
      <c r="G88" s="6" t="n"/>
      <c r="H88" s="6" t="n"/>
      <c r="I88" s="6" t="n"/>
      <c r="J88" s="6" t="inlineStr">
        <is>
          <t>SUBTOTAL (GROUPED)</t>
        </is>
      </c>
      <c r="K88" s="6" t="n"/>
      <c r="L88" s="6" t="n"/>
      <c r="M88" s="6" t="n"/>
      <c r="N88" s="6" t="n"/>
      <c r="O88" s="6" t="n"/>
      <c r="P88" s="7">
        <f>P86</f>
        <v/>
      </c>
      <c r="Q88" s="7">
        <f>Q86</f>
        <v/>
      </c>
      <c r="R88" s="6" t="n"/>
      <c r="S88" s="6" t="n"/>
      <c r="T88" s="6" t="n"/>
      <c r="U88" s="6" t="n"/>
      <c r="V88" s="6" t="n"/>
      <c r="W88" s="6" t="n"/>
      <c r="X88" s="6" t="n"/>
      <c r="Y88" s="6" t="n"/>
      <c r="Z88" s="6" t="n"/>
      <c r="AA88" s="6" t="n"/>
      <c r="AB88" s="6" t="n"/>
      <c r="AC88" s="6" t="n"/>
      <c r="AD88" s="6" t="n"/>
      <c r="AE88" s="6" t="n"/>
      <c r="AF88" s="6" t="n"/>
      <c r="AG88" s="6" t="n"/>
      <c r="AH88" s="6" t="n"/>
      <c r="AI88" s="6" t="n"/>
      <c r="AJ88" s="6" t="n"/>
      <c r="AK88" s="6" t="n"/>
    </row>
    <row r="89">
      <c r="A89" s="6" t="n"/>
      <c r="B89" s="6" t="n"/>
      <c r="C89" s="6" t="n"/>
      <c r="D89" s="6" t="n"/>
      <c r="E89" s="6" t="n"/>
      <c r="F89" s="6" t="n"/>
      <c r="G89" s="6" t="n"/>
      <c r="H89" s="6" t="n"/>
      <c r="I89" s="6" t="n"/>
      <c r="J89" s="6" t="inlineStr">
        <is>
          <t>SUBTOTAL (DETAILS)</t>
        </is>
      </c>
      <c r="K89" s="6" t="n"/>
      <c r="L89" s="6" t="n"/>
      <c r="M89" s="6" t="n"/>
      <c r="N89" s="6" t="n"/>
      <c r="O89" s="6" t="n"/>
      <c r="P89" s="7">
        <f>SUM(P86:P87)-P88</f>
        <v/>
      </c>
      <c r="Q89" s="7">
        <f>SUM(Q86:Q87)-Q88</f>
        <v/>
      </c>
      <c r="R89" s="6" t="n"/>
      <c r="S89" s="6" t="n"/>
      <c r="T89" s="6" t="n"/>
      <c r="U89" s="6" t="n"/>
      <c r="V89" s="6" t="n"/>
      <c r="W89" s="6" t="n"/>
      <c r="X89" s="6" t="n"/>
      <c r="Y89" s="6" t="n"/>
      <c r="Z89" s="6" t="n"/>
      <c r="AA89" s="6" t="n"/>
      <c r="AB89" s="6" t="n"/>
      <c r="AC89" s="6" t="n"/>
      <c r="AD89" s="6" t="n"/>
      <c r="AE89" s="6" t="n"/>
      <c r="AF89" s="6" t="n"/>
      <c r="AG89" s="6" t="n"/>
      <c r="AH89" s="6" t="n"/>
      <c r="AI89" s="6" t="n"/>
      <c r="AJ89" s="6" t="n"/>
      <c r="AK89" s="6" t="n"/>
    </row>
    <row r="90">
      <c r="A90" s="8" t="n"/>
      <c r="B90" s="8" t="n"/>
      <c r="C90" s="8" t="n"/>
      <c r="D90" s="8" t="n"/>
      <c r="E90" s="8" t="n"/>
      <c r="F90" s="8" t="n"/>
      <c r="G90" s="8" t="n"/>
      <c r="H90" s="8" t="n"/>
      <c r="I90" s="8" t="n"/>
      <c r="J90" s="8" t="inlineStr">
        <is>
          <t>GROUP VERIFICATION</t>
        </is>
      </c>
      <c r="K90" s="8" t="n"/>
      <c r="L90" s="8" t="n"/>
      <c r="M90" s="8" t="n"/>
      <c r="N90" s="8" t="n"/>
      <c r="O90" s="8" t="n"/>
      <c r="P90" s="9">
        <f>P88-P89</f>
        <v/>
      </c>
      <c r="Q90" s="9">
        <f>Q88-Q89</f>
        <v/>
      </c>
      <c r="R90" s="8" t="n"/>
      <c r="S90" s="8" t="n"/>
      <c r="T90" s="8" t="n"/>
      <c r="U90" s="8" t="n"/>
      <c r="V90" s="8" t="n"/>
      <c r="W90" s="8" t="n"/>
      <c r="X90" s="8" t="n"/>
      <c r="Y90" s="8" t="n"/>
      <c r="Z90" s="8" t="n"/>
      <c r="AA90" s="8" t="n"/>
      <c r="AB90" s="8" t="n"/>
      <c r="AC90" s="8" t="n"/>
      <c r="AD90" s="8" t="n"/>
      <c r="AE90" s="8" t="n"/>
      <c r="AF90" s="8" t="n"/>
      <c r="AG90" s="8" t="n"/>
      <c r="AH90" s="8" t="n"/>
      <c r="AI90" s="8" t="n"/>
      <c r="AJ90" s="8" t="n"/>
      <c r="AK90" s="8" t="n"/>
    </row>
    <row r="91"/>
    <row r="92">
      <c r="A92" s="6" t="n"/>
      <c r="B92" s="6" t="n"/>
      <c r="C92" s="6" t="n"/>
      <c r="D92" s="6" t="n"/>
      <c r="E92" s="6" t="n"/>
      <c r="F92" s="6" t="n"/>
      <c r="G92" s="6" t="n"/>
      <c r="H92" s="6" t="n"/>
      <c r="I92" s="6" t="n"/>
      <c r="J92" s="6" t="inlineStr">
        <is>
          <t>TOTAL INTERNAL FREIGHT</t>
        </is>
      </c>
      <c r="K92" s="6" t="n"/>
      <c r="L92" s="6" t="n"/>
      <c r="M92" s="6" t="n"/>
      <c r="N92" s="6" t="n"/>
      <c r="O92" s="6" t="n"/>
      <c r="P92" s="7" t="n">
        <v>0</v>
      </c>
      <c r="Q92" s="7" t="n"/>
      <c r="R92" s="6" t="n"/>
      <c r="S92" s="6" t="n"/>
      <c r="T92" s="6" t="n"/>
      <c r="U92" s="6" t="n"/>
      <c r="V92" s="6" t="n"/>
      <c r="W92" s="6" t="n"/>
      <c r="X92" s="6" t="n"/>
      <c r="Y92" s="6" t="n"/>
      <c r="Z92" s="6" t="n"/>
      <c r="AA92" s="6" t="n"/>
      <c r="AB92" s="6" t="n"/>
      <c r="AC92" s="6" t="n"/>
      <c r="AD92" s="6" t="n"/>
      <c r="AE92" s="6" t="n"/>
      <c r="AF92" s="6" t="n"/>
      <c r="AG92" s="6" t="n"/>
      <c r="AH92" s="6" t="n"/>
      <c r="AI92" s="6" t="n"/>
      <c r="AJ92" s="6" t="n"/>
      <c r="AK92" s="6" t="n"/>
    </row>
    <row r="93">
      <c r="A93" s="6" t="n"/>
      <c r="B93" s="6" t="n"/>
      <c r="C93" s="6" t="n"/>
      <c r="D93" s="6" t="n"/>
      <c r="E93" s="6" t="n"/>
      <c r="F93" s="6" t="n"/>
      <c r="G93" s="6" t="n"/>
      <c r="H93" s="6" t="n"/>
      <c r="I93" s="6" t="n"/>
      <c r="J93" s="6" t="inlineStr">
        <is>
          <t>TOTAL INSURANCE</t>
        </is>
      </c>
      <c r="K93" s="6" t="n"/>
      <c r="L93" s="6" t="n"/>
      <c r="M93" s="6" t="n"/>
      <c r="N93" s="6" t="n"/>
      <c r="O93" s="6" t="n"/>
      <c r="P93" s="7" t="n">
        <v>0</v>
      </c>
      <c r="Q93" s="7" t="n"/>
      <c r="R93" s="6" t="n"/>
      <c r="S93" s="6" t="n"/>
      <c r="T93" s="6" t="n"/>
      <c r="U93" s="6" t="n"/>
      <c r="V93" s="6" t="n"/>
      <c r="W93" s="6" t="n"/>
      <c r="X93" s="6" t="n"/>
      <c r="Y93" s="6" t="n"/>
      <c r="Z93" s="6" t="n"/>
      <c r="AA93" s="6" t="n"/>
      <c r="AB93" s="6" t="n"/>
      <c r="AC93" s="6" t="n"/>
      <c r="AD93" s="6" t="n"/>
      <c r="AE93" s="6" t="n"/>
      <c r="AF93" s="6" t="n"/>
      <c r="AG93" s="6" t="n"/>
      <c r="AH93" s="6" t="n"/>
      <c r="AI93" s="6" t="n"/>
      <c r="AJ93" s="6" t="n"/>
      <c r="AK93" s="6" t="n"/>
    </row>
    <row r="94">
      <c r="A94" s="6" t="n"/>
      <c r="B94" s="6" t="n"/>
      <c r="C94" s="6" t="n"/>
      <c r="D94" s="6" t="n"/>
      <c r="E94" s="6" t="n"/>
      <c r="F94" s="6" t="n"/>
      <c r="G94" s="6" t="n"/>
      <c r="H94" s="6" t="n"/>
      <c r="I94" s="6" t="n"/>
      <c r="J94" s="6" t="inlineStr">
        <is>
          <t>TOTAL OTHER COST</t>
        </is>
      </c>
      <c r="K94" s="6" t="n"/>
      <c r="L94" s="6" t="n"/>
      <c r="M94" s="6" t="n"/>
      <c r="N94" s="6" t="n"/>
      <c r="O94" s="6" t="n"/>
      <c r="P94" s="7" t="n">
        <v>0.54</v>
      </c>
      <c r="Q94" s="7" t="n"/>
      <c r="R94" s="6" t="n"/>
      <c r="S94" s="6" t="n"/>
      <c r="T94" s="6" t="n"/>
      <c r="U94" s="6" t="n"/>
      <c r="V94" s="6" t="n"/>
      <c r="W94" s="6" t="n"/>
      <c r="X94" s="6" t="n"/>
      <c r="Y94" s="6" t="n"/>
      <c r="Z94" s="6" t="n"/>
      <c r="AA94" s="6" t="n"/>
      <c r="AB94" s="6" t="n"/>
      <c r="AC94" s="6" t="n"/>
      <c r="AD94" s="6" t="n"/>
      <c r="AE94" s="6" t="n"/>
      <c r="AF94" s="6" t="n"/>
      <c r="AG94" s="6" t="n"/>
      <c r="AH94" s="6" t="n"/>
      <c r="AI94" s="6" t="n"/>
      <c r="AJ94" s="6" t="n"/>
      <c r="AK94" s="6" t="n"/>
    </row>
    <row r="95">
      <c r="A95" s="6" t="n"/>
      <c r="B95" s="6" t="n"/>
      <c r="C95" s="6" t="n"/>
      <c r="D95" s="6" t="n"/>
      <c r="E95" s="6" t="n"/>
      <c r="F95" s="6" t="n"/>
      <c r="G95" s="6" t="n"/>
      <c r="H95" s="6" t="n"/>
      <c r="I95" s="6" t="n"/>
      <c r="J95" s="6" t="inlineStr">
        <is>
          <t>TOTAL DEDUCTION</t>
        </is>
      </c>
      <c r="K95" s="6" t="n"/>
      <c r="L95" s="6" t="n"/>
      <c r="M95" s="6" t="n"/>
      <c r="N95" s="6" t="n"/>
      <c r="O95" s="6" t="n"/>
      <c r="P95" s="7" t="n">
        <v>0</v>
      </c>
      <c r="Q95" s="7" t="n"/>
      <c r="R95" s="6" t="n"/>
      <c r="S95" s="6" t="n"/>
      <c r="T95" s="6" t="n"/>
      <c r="U95" s="6" t="n"/>
      <c r="V95" s="6" t="n"/>
      <c r="W95" s="6" t="n"/>
      <c r="X95" s="6" t="n"/>
      <c r="Y95" s="6" t="n"/>
      <c r="Z95" s="6" t="n"/>
      <c r="AA95" s="6" t="n"/>
      <c r="AB95" s="6" t="n"/>
      <c r="AC95" s="6" t="n"/>
      <c r="AD95" s="6" t="n"/>
      <c r="AE95" s="6" t="n"/>
      <c r="AF95" s="6" t="n"/>
      <c r="AG95" s="6" t="n"/>
      <c r="AH95" s="6" t="n"/>
      <c r="AI95" s="6" t="n"/>
      <c r="AJ95" s="6" t="n"/>
      <c r="AK95" s="6" t="n"/>
    </row>
    <row r="96">
      <c r="A96" s="6" t="n"/>
      <c r="B96" s="6" t="n"/>
      <c r="C96" s="6" t="n"/>
      <c r="D96" s="6" t="n"/>
      <c r="E96" s="6" t="n"/>
      <c r="F96" s="6" t="n"/>
      <c r="G96" s="6" t="n"/>
      <c r="H96" s="6" t="n"/>
      <c r="I96" s="6" t="n"/>
      <c r="J96" s="6" t="inlineStr">
        <is>
          <t>ADJUSTMENTS</t>
        </is>
      </c>
      <c r="K96" s="6" t="n"/>
      <c r="L96" s="6" t="n"/>
      <c r="M96" s="6" t="n"/>
      <c r="N96" s="6" t="n"/>
      <c r="O96" s="6" t="n"/>
      <c r="P96" s="7">
        <f>(T86+U86+V86-W86)</f>
        <v/>
      </c>
      <c r="Q96" s="7">
        <f>(T86+U86+V86-W86)</f>
        <v/>
      </c>
      <c r="R96" s="6" t="n"/>
      <c r="S96" s="6" t="n"/>
      <c r="T96" s="6" t="n"/>
      <c r="U96" s="6" t="n"/>
      <c r="V96" s="6" t="n"/>
      <c r="W96" s="6" t="n"/>
      <c r="X96" s="6" t="n"/>
      <c r="Y96" s="6" t="n"/>
      <c r="Z96" s="6" t="n"/>
      <c r="AA96" s="6" t="n"/>
      <c r="AB96" s="6" t="n"/>
      <c r="AC96" s="6" t="n"/>
      <c r="AD96" s="6" t="n"/>
      <c r="AE96" s="6" t="n"/>
      <c r="AF96" s="6" t="n"/>
      <c r="AG96" s="6" t="n"/>
      <c r="AH96" s="6" t="n"/>
      <c r="AI96" s="6" t="n"/>
      <c r="AJ96" s="6" t="n"/>
      <c r="AK96" s="6" t="n"/>
    </row>
    <row r="97"/>
    <row r="98">
      <c r="A98" s="6" t="n"/>
      <c r="B98" s="6" t="n"/>
      <c r="C98" s="6" t="n"/>
      <c r="D98" s="6" t="n"/>
      <c r="E98" s="6" t="n"/>
      <c r="F98" s="6" t="n"/>
      <c r="G98" s="6" t="n"/>
      <c r="H98" s="6" t="n"/>
      <c r="I98" s="6" t="n"/>
      <c r="J98" s="6" t="inlineStr">
        <is>
          <t>NET TOTAL</t>
        </is>
      </c>
      <c r="K98" s="6" t="n"/>
      <c r="L98" s="6" t="n"/>
      <c r="M98" s="6" t="n"/>
      <c r="N98" s="6" t="n"/>
      <c r="O98" s="6" t="n"/>
      <c r="P98" s="7">
        <f>P88+P96</f>
        <v/>
      </c>
      <c r="Q98" s="7">
        <f>Q88+Q96</f>
        <v/>
      </c>
      <c r="R98" s="6" t="n"/>
      <c r="S98" s="6" t="n"/>
      <c r="T98" s="6" t="n"/>
      <c r="U98" s="6" t="n"/>
      <c r="V98" s="6" t="n"/>
      <c r="W98" s="6" t="n"/>
      <c r="X98" s="6" t="n"/>
      <c r="Y98" s="6" t="n"/>
      <c r="Z98" s="6" t="n"/>
      <c r="AA98" s="6" t="n"/>
      <c r="AB98" s="6" t="n"/>
      <c r="AC98" s="6" t="n"/>
      <c r="AD98" s="6" t="n"/>
      <c r="AE98" s="6" t="n"/>
      <c r="AF98" s="6" t="n"/>
      <c r="AG98" s="6" t="n"/>
      <c r="AH98" s="6" t="n"/>
      <c r="AI98" s="6" t="n"/>
      <c r="AJ98" s="6" t="n"/>
      <c r="AK98" s="6" t="n"/>
    </row>
    <row r="99">
      <c r="A99" s="6" t="n"/>
      <c r="B99" s="6" t="n"/>
      <c r="C99" s="6" t="n"/>
      <c r="D99" s="6" t="n"/>
      <c r="E99" s="6" t="n"/>
      <c r="F99" s="6" t="n"/>
      <c r="G99" s="6" t="n"/>
      <c r="H99" s="6" t="n"/>
      <c r="I99" s="6" t="n"/>
      <c r="J99" s="6" t="inlineStr">
        <is>
          <t>INVOICE TOTAL</t>
        </is>
      </c>
      <c r="K99" s="6" t="n"/>
      <c r="L99" s="6" t="n"/>
      <c r="M99" s="6" t="n"/>
      <c r="N99" s="6" t="n"/>
      <c r="O99" s="6" t="n"/>
      <c r="P99" s="7">
        <f>S86</f>
        <v/>
      </c>
      <c r="Q99" s="7" t="n"/>
      <c r="R99" s="6" t="n"/>
      <c r="S99" s="6" t="n"/>
      <c r="T99" s="6" t="n"/>
      <c r="U99" s="6" t="n"/>
      <c r="V99" s="6" t="n"/>
      <c r="W99" s="6" t="n"/>
      <c r="X99" s="6" t="n"/>
      <c r="Y99" s="6" t="n"/>
      <c r="Z99" s="6" t="n"/>
      <c r="AA99" s="6" t="n"/>
      <c r="AB99" s="6" t="n"/>
      <c r="AC99" s="6" t="n"/>
      <c r="AD99" s="6" t="n"/>
      <c r="AE99" s="6" t="n"/>
      <c r="AF99" s="6" t="n"/>
      <c r="AG99" s="6" t="n"/>
      <c r="AH99" s="6" t="n"/>
      <c r="AI99" s="6" t="n"/>
      <c r="AJ99" s="6" t="n"/>
      <c r="AK99" s="6" t="n"/>
    </row>
    <row r="100"/>
    <row r="101">
      <c r="A101" s="10" t="n"/>
      <c r="B101" s="10" t="n"/>
      <c r="C101" s="10" t="n"/>
      <c r="D101" s="10" t="n"/>
      <c r="E101" s="10" t="n"/>
      <c r="F101" s="10" t="n"/>
      <c r="G101" s="10" t="n"/>
      <c r="H101" s="10" t="n"/>
      <c r="I101" s="10" t="n"/>
      <c r="J101" s="10" t="inlineStr">
        <is>
          <t>VARIANCE CHECK</t>
        </is>
      </c>
      <c r="K101" s="10" t="n"/>
      <c r="L101" s="10" t="n"/>
      <c r="M101" s="10" t="n"/>
      <c r="N101" s="10" t="n"/>
      <c r="O101" s="10" t="n"/>
      <c r="P101" s="11">
        <f>S86-P98</f>
        <v/>
      </c>
      <c r="Q101" s="11">
        <f>S86-Q98</f>
        <v/>
      </c>
      <c r="R101" s="10" t="n"/>
      <c r="S101" s="10" t="n"/>
      <c r="T101" s="10" t="n"/>
      <c r="U101" s="10" t="n"/>
      <c r="V101" s="10" t="n"/>
      <c r="W101" s="10" t="n"/>
      <c r="X101" s="10" t="n"/>
      <c r="Y101" s="10" t="n"/>
      <c r="Z101" s="10" t="n"/>
      <c r="AA101" s="10" t="n"/>
      <c r="AB101" s="10" t="n"/>
      <c r="AC101" s="10" t="n"/>
      <c r="AD101" s="10" t="n"/>
      <c r="AE101" s="10" t="n"/>
      <c r="AF101" s="10" t="n"/>
      <c r="AG101" s="10" t="n"/>
      <c r="AH101" s="10" t="n"/>
      <c r="AI101" s="10" t="n"/>
      <c r="AJ101" s="10" t="n"/>
      <c r="AK101" s="10" t="n"/>
    </row>
    <row r="102"/>
    <row r="103">
      <c r="A103" s="12" t="n"/>
      <c r="B103" s="12" t="n"/>
      <c r="C103" s="12" t="n"/>
      <c r="D103" s="12" t="n"/>
      <c r="E103" s="12" t="n"/>
      <c r="F103" s="12" t="n"/>
      <c r="G103" s="12" t="n"/>
      <c r="H103" s="12" t="n"/>
      <c r="I103" s="12" t="n"/>
      <c r="J103" s="12" t="inlineStr">
        <is>
          <t>DUTY ESTIMATION (Classification Cross-Check)</t>
        </is>
      </c>
      <c r="K103" s="12" t="n"/>
      <c r="L103" s="12" t="n"/>
      <c r="M103" s="12" t="n"/>
      <c r="N103" s="12" t="n"/>
      <c r="O103" s="12" t="n"/>
      <c r="P103" s="12" t="n"/>
      <c r="Q103" s="12" t="n"/>
      <c r="R103" s="12" t="n"/>
      <c r="S103" s="12" t="n"/>
      <c r="T103" s="12" t="n"/>
      <c r="U103" s="12" t="n"/>
      <c r="V103" s="12" t="n"/>
      <c r="W103" s="12" t="n"/>
      <c r="X103" s="12" t="n"/>
      <c r="Y103" s="12" t="n"/>
      <c r="Z103" s="12" t="n"/>
      <c r="AA103" s="12" t="n"/>
      <c r="AB103" s="12" t="n"/>
      <c r="AC103" s="12" t="n"/>
      <c r="AD103" s="12" t="n"/>
      <c r="AE103" s="12" t="n"/>
      <c r="AF103" s="12" t="n"/>
      <c r="AG103" s="12" t="n"/>
      <c r="AH103" s="12" t="n"/>
      <c r="AI103" s="12" t="n"/>
      <c r="AJ103" s="12" t="n"/>
      <c r="AK103" s="12" t="n"/>
    </row>
    <row r="104">
      <c r="A104" s="13" t="n"/>
      <c r="B104" s="13" t="n"/>
      <c r="C104" s="13" t="n"/>
      <c r="D104" s="13" t="n"/>
      <c r="E104" s="13" t="n"/>
      <c r="F104" s="13" t="n"/>
      <c r="G104" s="13" t="n"/>
      <c r="H104" s="13" t="n"/>
      <c r="I104" s="13" t="n"/>
      <c r="J104" s="14" t="inlineStr">
        <is>
          <t>CIF (USD) = InvTotal + Freight + Insurance</t>
        </is>
      </c>
      <c r="K104" s="13" t="n"/>
      <c r="L104" s="13" t="n"/>
      <c r="M104" s="13" t="n"/>
      <c r="N104" s="13" t="n"/>
      <c r="O104" s="13" t="n"/>
      <c r="P104" s="15" t="n">
        <v>8.06</v>
      </c>
      <c r="Q104" s="13" t="n"/>
      <c r="R104" s="13" t="n"/>
      <c r="S104" s="13" t="n"/>
      <c r="T104" s="13" t="n"/>
      <c r="U104" s="13" t="n"/>
      <c r="V104" s="13" t="n"/>
      <c r="W104" s="13" t="n"/>
      <c r="X104" s="13" t="n"/>
      <c r="Y104" s="13" t="n"/>
      <c r="Z104" s="13" t="n"/>
      <c r="AA104" s="13" t="n"/>
      <c r="AB104" s="13" t="n"/>
      <c r="AC104" s="13" t="n"/>
      <c r="AD104" s="13" t="n"/>
      <c r="AE104" s="13" t="n"/>
      <c r="AF104" s="13" t="n"/>
      <c r="AG104" s="13" t="n"/>
      <c r="AH104" s="13" t="n"/>
      <c r="AI104" s="13" t="n"/>
      <c r="AJ104" s="13" t="n"/>
      <c r="AK104" s="13" t="n"/>
    </row>
    <row r="105">
      <c r="A105" s="13" t="n"/>
      <c r="B105" s="13" t="n"/>
      <c r="C105" s="13" t="n"/>
      <c r="D105" s="13" t="n"/>
      <c r="E105" s="13" t="n"/>
      <c r="F105" s="13" t="n"/>
      <c r="G105" s="13" t="n"/>
      <c r="H105" s="13" t="n"/>
      <c r="I105" s="13" t="n"/>
      <c r="J105" s="14" t="inlineStr">
        <is>
          <t>CIF (XCD) = CIF × 2.7169</t>
        </is>
      </c>
      <c r="K105" s="13" t="n"/>
      <c r="L105" s="13" t="n"/>
      <c r="M105" s="13" t="n"/>
      <c r="N105" s="13" t="n"/>
      <c r="O105" s="13" t="n"/>
      <c r="P105" s="15" t="n">
        <v>21.9</v>
      </c>
      <c r="Q105" s="13" t="n"/>
      <c r="R105" s="13" t="n"/>
      <c r="S105" s="13" t="n"/>
      <c r="T105" s="13" t="n"/>
      <c r="U105" s="13" t="n"/>
      <c r="V105" s="13" t="n"/>
      <c r="W105" s="13" t="n"/>
      <c r="X105" s="13" t="n"/>
      <c r="Y105" s="13" t="n"/>
      <c r="Z105" s="13" t="n"/>
      <c r="AA105" s="13" t="n"/>
      <c r="AB105" s="13" t="n"/>
      <c r="AC105" s="13" t="n"/>
      <c r="AD105" s="13" t="n"/>
      <c r="AE105" s="13" t="n"/>
      <c r="AF105" s="13" t="n"/>
      <c r="AG105" s="13" t="n"/>
      <c r="AH105" s="13" t="n"/>
      <c r="AI105" s="13" t="n"/>
      <c r="AJ105" s="13" t="n"/>
      <c r="AK105" s="13" t="n"/>
    </row>
    <row r="106">
      <c r="A106" s="13" t="n"/>
      <c r="B106" s="13" t="n"/>
      <c r="C106" s="13" t="n"/>
      <c r="D106" s="13" t="n"/>
      <c r="E106" s="13" t="n"/>
      <c r="F106" s="13" t="n"/>
      <c r="G106" s="13" t="n"/>
      <c r="H106" s="13" t="n"/>
      <c r="I106" s="13" t="n"/>
      <c r="J106" s="14" t="inlineStr">
        <is>
          <t>CET (20%) — Tariff 00000000</t>
        </is>
      </c>
      <c r="K106" s="13" t="n"/>
      <c r="L106" s="13" t="n"/>
      <c r="M106" s="13" t="n"/>
      <c r="N106" s="13" t="n"/>
      <c r="O106" s="13" t="n"/>
      <c r="P106" s="15" t="n">
        <v>4.38</v>
      </c>
      <c r="Q106" s="13" t="n"/>
      <c r="R106" s="13" t="n"/>
      <c r="S106" s="13" t="n"/>
      <c r="T106" s="13" t="n"/>
      <c r="U106" s="13" t="n"/>
      <c r="V106" s="13" t="n"/>
      <c r="W106" s="13" t="n"/>
      <c r="X106" s="13" t="n"/>
      <c r="Y106" s="13" t="n"/>
      <c r="Z106" s="13" t="n"/>
      <c r="AA106" s="13" t="n"/>
      <c r="AB106" s="13" t="n"/>
      <c r="AC106" s="13" t="n"/>
      <c r="AD106" s="13" t="n"/>
      <c r="AE106" s="13" t="n"/>
      <c r="AF106" s="13" t="n"/>
      <c r="AG106" s="13" t="n"/>
      <c r="AH106" s="13" t="n"/>
      <c r="AI106" s="13" t="n"/>
      <c r="AJ106" s="13" t="n"/>
      <c r="AK106" s="13" t="n"/>
    </row>
    <row r="107">
      <c r="A107" s="13" t="n"/>
      <c r="B107" s="13" t="n"/>
      <c r="C107" s="13" t="n"/>
      <c r="D107" s="13" t="n"/>
      <c r="E107" s="13" t="n"/>
      <c r="F107" s="13" t="n"/>
      <c r="G107" s="13" t="n"/>
      <c r="H107" s="13" t="n"/>
      <c r="I107" s="13" t="n"/>
      <c r="J107" s="14" t="inlineStr">
        <is>
          <t>CSC (6%)</t>
        </is>
      </c>
      <c r="K107" s="13" t="n"/>
      <c r="L107" s="13" t="n"/>
      <c r="M107" s="13" t="n"/>
      <c r="N107" s="13" t="n"/>
      <c r="O107" s="13" t="n"/>
      <c r="P107" s="15" t="n">
        <v>1.31</v>
      </c>
      <c r="Q107" s="13" t="n"/>
      <c r="R107" s="13" t="n"/>
      <c r="S107" s="13" t="n"/>
      <c r="T107" s="13" t="n"/>
      <c r="U107" s="13" t="n"/>
      <c r="V107" s="13" t="n"/>
      <c r="W107" s="13" t="n"/>
      <c r="X107" s="13" t="n"/>
      <c r="Y107" s="13" t="n"/>
      <c r="Z107" s="13" t="n"/>
      <c r="AA107" s="13" t="n"/>
      <c r="AB107" s="13" t="n"/>
      <c r="AC107" s="13" t="n"/>
      <c r="AD107" s="13" t="n"/>
      <c r="AE107" s="13" t="n"/>
      <c r="AF107" s="13" t="n"/>
      <c r="AG107" s="13" t="n"/>
      <c r="AH107" s="13" t="n"/>
      <c r="AI107" s="13" t="n"/>
      <c r="AJ107" s="13" t="n"/>
      <c r="AK107" s="13" t="n"/>
    </row>
    <row r="108">
      <c r="A108" s="13" t="n"/>
      <c r="B108" s="13" t="n"/>
      <c r="C108" s="13" t="n"/>
      <c r="D108" s="13" t="n"/>
      <c r="E108" s="13" t="n"/>
      <c r="F108" s="13" t="n"/>
      <c r="G108" s="13" t="n"/>
      <c r="H108" s="13" t="n"/>
      <c r="I108" s="13" t="n"/>
      <c r="J108" s="14" t="inlineStr">
        <is>
          <t>VAT (15%) on CIF+CET+CSC</t>
        </is>
      </c>
      <c r="K108" s="13" t="n"/>
      <c r="L108" s="13" t="n"/>
      <c r="M108" s="13" t="n"/>
      <c r="N108" s="13" t="n"/>
      <c r="O108" s="13" t="n"/>
      <c r="P108" s="15" t="n">
        <v>4.14</v>
      </c>
      <c r="Q108" s="13" t="n"/>
      <c r="R108" s="13" t="n"/>
      <c r="S108" s="13" t="n"/>
      <c r="T108" s="13" t="n"/>
      <c r="U108" s="13" t="n"/>
      <c r="V108" s="13" t="n"/>
      <c r="W108" s="13" t="n"/>
      <c r="X108" s="13" t="n"/>
      <c r="Y108" s="13" t="n"/>
      <c r="Z108" s="13" t="n"/>
      <c r="AA108" s="13" t="n"/>
      <c r="AB108" s="13" t="n"/>
      <c r="AC108" s="13" t="n"/>
      <c r="AD108" s="13" t="n"/>
      <c r="AE108" s="13" t="n"/>
      <c r="AF108" s="13" t="n"/>
      <c r="AG108" s="13" t="n"/>
      <c r="AH108" s="13" t="n"/>
      <c r="AI108" s="13" t="n"/>
      <c r="AJ108" s="13" t="n"/>
      <c r="AK108" s="13" t="n"/>
    </row>
    <row r="109">
      <c r="A109" s="16" t="n"/>
      <c r="B109" s="16" t="n"/>
      <c r="C109" s="16" t="n"/>
      <c r="D109" s="16" t="n"/>
      <c r="E109" s="16" t="n"/>
      <c r="F109" s="16" t="n"/>
      <c r="G109" s="16" t="n"/>
      <c r="H109" s="16" t="n"/>
      <c r="I109" s="16" t="n"/>
      <c r="J109" s="12" t="inlineStr">
        <is>
          <t>ESTIMATED TOTAL DUTIES</t>
        </is>
      </c>
      <c r="K109" s="16" t="n"/>
      <c r="L109" s="16" t="n"/>
      <c r="M109" s="16" t="n"/>
      <c r="N109" s="16" t="n"/>
      <c r="O109" s="16" t="n"/>
      <c r="P109" s="17" t="n">
        <v>9.83</v>
      </c>
      <c r="Q109" s="16" t="n"/>
      <c r="R109" s="16" t="n"/>
      <c r="S109" s="16" t="n"/>
      <c r="T109" s="16" t="n"/>
      <c r="U109" s="16" t="n"/>
      <c r="V109" s="16" t="n"/>
      <c r="W109" s="16" t="n"/>
      <c r="X109" s="16" t="n"/>
      <c r="Y109" s="16" t="n"/>
      <c r="Z109" s="16" t="n"/>
      <c r="AA109" s="16" t="n"/>
      <c r="AB109" s="16" t="n"/>
      <c r="AC109" s="16" t="n"/>
      <c r="AD109" s="16" t="n"/>
      <c r="AE109" s="16" t="n"/>
      <c r="AF109" s="16" t="n"/>
      <c r="AG109" s="16" t="n"/>
      <c r="AH109" s="16" t="n"/>
      <c r="AI109" s="16" t="n"/>
      <c r="AJ109" s="16" t="n"/>
      <c r="AK109" s="16" t="n"/>
    </row>
    <row r="110">
      <c r="A110" s="13" t="n"/>
      <c r="B110" s="13" t="n"/>
      <c r="C110" s="13" t="n"/>
      <c r="D110" s="13" t="n"/>
      <c r="E110" s="13" t="n"/>
      <c r="F110" s="13" t="n"/>
      <c r="G110" s="13" t="n"/>
      <c r="H110" s="13" t="n"/>
      <c r="I110" s="13" t="n"/>
      <c r="J110" s="14" t="inlineStr">
        <is>
          <t>Effective Duty Rate</t>
        </is>
      </c>
      <c r="K110" s="13" t="n"/>
      <c r="L110" s="13" t="n"/>
      <c r="M110" s="13" t="n"/>
      <c r="N110" s="13" t="n"/>
      <c r="O110" s="13" t="n"/>
      <c r="P110" s="18" t="n">
        <v>0.4488584474885845</v>
      </c>
      <c r="Q110" s="13" t="n"/>
      <c r="R110" s="13" t="n"/>
      <c r="S110" s="13" t="n"/>
      <c r="T110" s="13" t="n"/>
      <c r="U110" s="13" t="n"/>
      <c r="V110" s="13" t="n"/>
      <c r="W110" s="13" t="n"/>
      <c r="X110" s="13" t="n"/>
      <c r="Y110" s="13" t="n"/>
      <c r="Z110" s="13" t="n"/>
      <c r="AA110" s="13" t="n"/>
      <c r="AB110" s="13" t="n"/>
      <c r="AC110" s="13" t="n"/>
      <c r="AD110" s="13" t="n"/>
      <c r="AE110" s="13" t="n"/>
      <c r="AF110" s="13" t="n"/>
      <c r="AG110" s="13" t="n"/>
      <c r="AH110" s="13" t="n"/>
      <c r="AI110" s="13" t="n"/>
      <c r="AJ110" s="13" t="n"/>
      <c r="AK110" s="13" t="n"/>
    </row>
    <row r="111">
      <c r="A111" s="19" t="n"/>
      <c r="B111" s="19" t="n"/>
      <c r="C111" s="19" t="n"/>
      <c r="D111" s="19" t="n"/>
      <c r="E111" s="19" t="n"/>
      <c r="F111" s="19" t="n"/>
      <c r="G111" s="19" t="n"/>
      <c r="H111" s="19" t="n"/>
      <c r="I111" s="19" t="n"/>
      <c r="J111" s="19" t="n"/>
      <c r="K111" s="19" t="n"/>
      <c r="L111" s="19" t="n"/>
      <c r="M111" s="19" t="n"/>
      <c r="N111" s="19" t="n"/>
      <c r="O111" s="19" t="n"/>
      <c r="P111" s="19" t="n"/>
      <c r="Q111" s="19" t="n"/>
      <c r="R111" s="19" t="n"/>
      <c r="S111" s="19" t="n"/>
      <c r="T111" s="19" t="n"/>
      <c r="U111" s="19" t="n"/>
      <c r="V111" s="19" t="n"/>
      <c r="W111" s="19" t="n"/>
      <c r="X111" s="19" t="n"/>
      <c r="Y111" s="19" t="n"/>
      <c r="Z111" s="19" t="n"/>
      <c r="AA111" s="19" t="n"/>
      <c r="AB111" s="19" t="n"/>
      <c r="AC111" s="19" t="n"/>
      <c r="AD111" s="19" t="n"/>
      <c r="AE111" s="19" t="n"/>
      <c r="AF111" s="19" t="n"/>
      <c r="AG111" s="19" t="n"/>
      <c r="AH111" s="19" t="n"/>
      <c r="AI111" s="19" t="n"/>
      <c r="AJ111" s="19" t="n"/>
      <c r="AK111" s="19" t="n"/>
    </row>
    <row r="112">
      <c r="A112" s="2" t="inlineStr">
        <is>
          <t>4000-000</t>
        </is>
      </c>
      <c r="B112" s="2" t="n"/>
      <c r="C112" s="2" t="inlineStr">
        <is>
          <t>INVUS20240717002005488</t>
        </is>
      </c>
      <c r="D112" s="2" t="inlineStr">
        <is>
          <t>2024-07-17</t>
        </is>
      </c>
      <c r="E112" s="2" t="inlineStr">
        <is>
          <t>PERFUMES &amp; COLOGNES</t>
        </is>
      </c>
      <c r="F112" s="2" t="inlineStr">
        <is>
          <t>33030000</t>
        </is>
      </c>
      <c r="G112" s="2" t="n"/>
      <c r="H112" s="2" t="n"/>
      <c r="I112" s="2" t="inlineStr">
        <is>
          <t>33030000</t>
        </is>
      </c>
      <c r="J112" s="2" t="inlineStr">
        <is>
          <t>2ML 10 Sample Women' Perfume With 10 Fragrances, Lasting Fragrance, Rose And ... (1 items)</t>
        </is>
      </c>
      <c r="K112" s="2" t="n">
        <v>1</v>
      </c>
      <c r="L112" s="2" t="n"/>
      <c r="M112" s="2" t="n"/>
      <c r="N112" s="2" t="inlineStr">
        <is>
          <t>USD</t>
        </is>
      </c>
      <c r="O112" s="3" t="n">
        <v>1.35</v>
      </c>
      <c r="P112" s="3" t="n">
        <v>1.35</v>
      </c>
      <c r="Q112" s="3">
        <f>O112*K112</f>
        <v/>
      </c>
      <c r="R112" s="3">
        <f>P112-Q112</f>
        <v/>
      </c>
      <c r="S112" s="3" t="n">
        <v>1.44</v>
      </c>
      <c r="T112" s="3" t="n">
        <v>0</v>
      </c>
      <c r="U112" s="3" t="n">
        <v>0</v>
      </c>
      <c r="V112" s="3" t="n">
        <v>0.09</v>
      </c>
      <c r="W112" s="3" t="n">
        <v>0</v>
      </c>
      <c r="X112" s="2" t="n"/>
      <c r="Y112" s="2" t="n"/>
      <c r="Z112" s="2" t="inlineStr">
        <is>
          <t>SHEIN</t>
        </is>
      </c>
      <c r="AA112" s="2" t="inlineStr">
        <is>
          <t>SHEIN US Services, LLC</t>
        </is>
      </c>
      <c r="AB112" s="2" t="inlineStr">
        <is>
          <t>777 S. Alameda St., Second Floor, Los Angeles, CA 90021</t>
        </is>
      </c>
      <c r="AC112" s="2" t="inlineStr">
        <is>
          <t>US</t>
        </is>
      </c>
      <c r="AD112" s="2" t="n"/>
      <c r="AE112" s="2" t="n"/>
      <c r="AF112" s="2" t="n"/>
      <c r="AG112" s="2" t="n"/>
      <c r="AH112" s="2" t="n"/>
      <c r="AI112" s="2" t="n"/>
      <c r="AJ112" s="2" t="n"/>
      <c r="AK112" s="2" t="inlineStr">
        <is>
          <t>33030000</t>
        </is>
      </c>
    </row>
    <row r="113">
      <c r="A113" s="4" t="n"/>
      <c r="B113" s="4" t="n"/>
      <c r="C113" s="4" t="n"/>
      <c r="D113" s="4" t="n"/>
      <c r="E113" s="4" t="n"/>
      <c r="F113" s="4" t="inlineStr">
        <is>
          <t>33030000</t>
        </is>
      </c>
      <c r="G113" s="4" t="n"/>
      <c r="H113" s="4" t="n"/>
      <c r="I113" s="4" t="inlineStr">
        <is>
          <t>SHEIN-1</t>
        </is>
      </c>
      <c r="J113" s="4" t="inlineStr">
        <is>
          <t>2ML 10 Sample Women' Perfume With 10 Fragrances, Lasting Fragrance, Rose And ...</t>
        </is>
      </c>
      <c r="K113" s="4" t="n">
        <v>1</v>
      </c>
      <c r="L113" s="4" t="n"/>
      <c r="M113" s="4" t="n"/>
      <c r="N113" s="4" t="inlineStr">
        <is>
          <t>USD</t>
        </is>
      </c>
      <c r="O113" s="5" t="n">
        <v>1.35</v>
      </c>
      <c r="P113" s="5" t="n">
        <v>1.35</v>
      </c>
      <c r="Q113" s="5">
        <f>O113*K113</f>
        <v/>
      </c>
      <c r="R113" s="5">
        <f>P113-Q113</f>
        <v/>
      </c>
      <c r="S113" s="4" t="n"/>
      <c r="T113" s="4" t="n"/>
      <c r="U113" s="4" t="n"/>
      <c r="V113" s="4" t="n"/>
      <c r="W113" s="4" t="n"/>
      <c r="X113" s="4" t="n"/>
      <c r="Y113" s="4" t="n"/>
      <c r="Z113" s="4" t="n"/>
      <c r="AA113" s="4" t="n"/>
      <c r="AB113" s="4" t="n"/>
      <c r="AC113" s="4" t="n"/>
      <c r="AD113" s="4" t="n"/>
      <c r="AE113" s="4" t="n"/>
      <c r="AF113" s="4" t="n"/>
      <c r="AG113" s="4" t="n"/>
      <c r="AH113" s="4" t="n"/>
      <c r="AI113" s="4" t="n"/>
      <c r="AJ113" s="4" t="n"/>
      <c r="AK113" s="4" t="n"/>
    </row>
    <row r="114">
      <c r="A114" s="6" t="n"/>
      <c r="B114" s="6" t="n"/>
      <c r="C114" s="6" t="n"/>
      <c r="D114" s="6" t="n"/>
      <c r="E114" s="6" t="n"/>
      <c r="F114" s="6" t="n"/>
      <c r="G114" s="6" t="n"/>
      <c r="H114" s="6" t="n"/>
      <c r="I114" s="6" t="n"/>
      <c r="J114" s="6" t="inlineStr">
        <is>
          <t>SUBTOTAL (GROUPED)</t>
        </is>
      </c>
      <c r="K114" s="6" t="n"/>
      <c r="L114" s="6" t="n"/>
      <c r="M114" s="6" t="n"/>
      <c r="N114" s="6" t="n"/>
      <c r="O114" s="6" t="n"/>
      <c r="P114" s="7">
        <f>P112</f>
        <v/>
      </c>
      <c r="Q114" s="7">
        <f>Q112</f>
        <v/>
      </c>
      <c r="R114" s="6" t="n"/>
      <c r="S114" s="6" t="n"/>
      <c r="T114" s="6" t="n"/>
      <c r="U114" s="6" t="n"/>
      <c r="V114" s="6" t="n"/>
      <c r="W114" s="6" t="n"/>
      <c r="X114" s="6" t="n"/>
      <c r="Y114" s="6" t="n"/>
      <c r="Z114" s="6" t="n"/>
      <c r="AA114" s="6" t="n"/>
      <c r="AB114" s="6" t="n"/>
      <c r="AC114" s="6" t="n"/>
      <c r="AD114" s="6" t="n"/>
      <c r="AE114" s="6" t="n"/>
      <c r="AF114" s="6" t="n"/>
      <c r="AG114" s="6" t="n"/>
      <c r="AH114" s="6" t="n"/>
      <c r="AI114" s="6" t="n"/>
      <c r="AJ114" s="6" t="n"/>
      <c r="AK114" s="6" t="n"/>
    </row>
    <row r="115">
      <c r="A115" s="6" t="n"/>
      <c r="B115" s="6" t="n"/>
      <c r="C115" s="6" t="n"/>
      <c r="D115" s="6" t="n"/>
      <c r="E115" s="6" t="n"/>
      <c r="F115" s="6" t="n"/>
      <c r="G115" s="6" t="n"/>
      <c r="H115" s="6" t="n"/>
      <c r="I115" s="6" t="n"/>
      <c r="J115" s="6" t="inlineStr">
        <is>
          <t>SUBTOTAL (DETAILS)</t>
        </is>
      </c>
      <c r="K115" s="6" t="n"/>
      <c r="L115" s="6" t="n"/>
      <c r="M115" s="6" t="n"/>
      <c r="N115" s="6" t="n"/>
      <c r="O115" s="6" t="n"/>
      <c r="P115" s="7">
        <f>SUM(P112:P113)-P114</f>
        <v/>
      </c>
      <c r="Q115" s="7">
        <f>SUM(Q112:Q113)-Q114</f>
        <v/>
      </c>
      <c r="R115" s="6" t="n"/>
      <c r="S115" s="6" t="n"/>
      <c r="T115" s="6" t="n"/>
      <c r="U115" s="6" t="n"/>
      <c r="V115" s="6" t="n"/>
      <c r="W115" s="6" t="n"/>
      <c r="X115" s="6" t="n"/>
      <c r="Y115" s="6" t="n"/>
      <c r="Z115" s="6" t="n"/>
      <c r="AA115" s="6" t="n"/>
      <c r="AB115" s="6" t="n"/>
      <c r="AC115" s="6" t="n"/>
      <c r="AD115" s="6" t="n"/>
      <c r="AE115" s="6" t="n"/>
      <c r="AF115" s="6" t="n"/>
      <c r="AG115" s="6" t="n"/>
      <c r="AH115" s="6" t="n"/>
      <c r="AI115" s="6" t="n"/>
      <c r="AJ115" s="6" t="n"/>
      <c r="AK115" s="6" t="n"/>
    </row>
    <row r="116">
      <c r="A116" s="8" t="n"/>
      <c r="B116" s="8" t="n"/>
      <c r="C116" s="8" t="n"/>
      <c r="D116" s="8" t="n"/>
      <c r="E116" s="8" t="n"/>
      <c r="F116" s="8" t="n"/>
      <c r="G116" s="8" t="n"/>
      <c r="H116" s="8" t="n"/>
      <c r="I116" s="8" t="n"/>
      <c r="J116" s="8" t="inlineStr">
        <is>
          <t>GROUP VERIFICATION</t>
        </is>
      </c>
      <c r="K116" s="8" t="n"/>
      <c r="L116" s="8" t="n"/>
      <c r="M116" s="8" t="n"/>
      <c r="N116" s="8" t="n"/>
      <c r="O116" s="8" t="n"/>
      <c r="P116" s="9">
        <f>P114-P115</f>
        <v/>
      </c>
      <c r="Q116" s="9">
        <f>Q114-Q115</f>
        <v/>
      </c>
      <c r="R116" s="8" t="n"/>
      <c r="S116" s="8" t="n"/>
      <c r="T116" s="8" t="n"/>
      <c r="U116" s="8" t="n"/>
      <c r="V116" s="8" t="n"/>
      <c r="W116" s="8" t="n"/>
      <c r="X116" s="8" t="n"/>
      <c r="Y116" s="8" t="n"/>
      <c r="Z116" s="8" t="n"/>
      <c r="AA116" s="8" t="n"/>
      <c r="AB116" s="8" t="n"/>
      <c r="AC116" s="8" t="n"/>
      <c r="AD116" s="8" t="n"/>
      <c r="AE116" s="8" t="n"/>
      <c r="AF116" s="8" t="n"/>
      <c r="AG116" s="8" t="n"/>
      <c r="AH116" s="8" t="n"/>
      <c r="AI116" s="8" t="n"/>
      <c r="AJ116" s="8" t="n"/>
      <c r="AK116" s="8" t="n"/>
    </row>
    <row r="117"/>
    <row r="118">
      <c r="A118" s="6" t="n"/>
      <c r="B118" s="6" t="n"/>
      <c r="C118" s="6" t="n"/>
      <c r="D118" s="6" t="n"/>
      <c r="E118" s="6" t="n"/>
      <c r="F118" s="6" t="n"/>
      <c r="G118" s="6" t="n"/>
      <c r="H118" s="6" t="n"/>
      <c r="I118" s="6" t="n"/>
      <c r="J118" s="6" t="inlineStr">
        <is>
          <t>TOTAL INTERNAL FREIGHT</t>
        </is>
      </c>
      <c r="K118" s="6" t="n"/>
      <c r="L118" s="6" t="n"/>
      <c r="M118" s="6" t="n"/>
      <c r="N118" s="6" t="n"/>
      <c r="O118" s="6" t="n"/>
      <c r="P118" s="7" t="n">
        <v>0</v>
      </c>
      <c r="Q118" s="7" t="n"/>
      <c r="R118" s="6" t="n"/>
      <c r="S118" s="6" t="n"/>
      <c r="T118" s="6" t="n"/>
      <c r="U118" s="6" t="n"/>
      <c r="V118" s="6" t="n"/>
      <c r="W118" s="6" t="n"/>
      <c r="X118" s="6" t="n"/>
      <c r="Y118" s="6" t="n"/>
      <c r="Z118" s="6" t="n"/>
      <c r="AA118" s="6" t="n"/>
      <c r="AB118" s="6" t="n"/>
      <c r="AC118" s="6" t="n"/>
      <c r="AD118" s="6" t="n"/>
      <c r="AE118" s="6" t="n"/>
      <c r="AF118" s="6" t="n"/>
      <c r="AG118" s="6" t="n"/>
      <c r="AH118" s="6" t="n"/>
      <c r="AI118" s="6" t="n"/>
      <c r="AJ118" s="6" t="n"/>
      <c r="AK118" s="6" t="n"/>
    </row>
    <row r="119">
      <c r="A119" s="6" t="n"/>
      <c r="B119" s="6" t="n"/>
      <c r="C119" s="6" t="n"/>
      <c r="D119" s="6" t="n"/>
      <c r="E119" s="6" t="n"/>
      <c r="F119" s="6" t="n"/>
      <c r="G119" s="6" t="n"/>
      <c r="H119" s="6" t="n"/>
      <c r="I119" s="6" t="n"/>
      <c r="J119" s="6" t="inlineStr">
        <is>
          <t>TOTAL INSURANCE</t>
        </is>
      </c>
      <c r="K119" s="6" t="n"/>
      <c r="L119" s="6" t="n"/>
      <c r="M119" s="6" t="n"/>
      <c r="N119" s="6" t="n"/>
      <c r="O119" s="6" t="n"/>
      <c r="P119" s="7" t="n">
        <v>0</v>
      </c>
      <c r="Q119" s="7" t="n"/>
      <c r="R119" s="6" t="n"/>
      <c r="S119" s="6" t="n"/>
      <c r="T119" s="6" t="n"/>
      <c r="U119" s="6" t="n"/>
      <c r="V119" s="6" t="n"/>
      <c r="W119" s="6" t="n"/>
      <c r="X119" s="6" t="n"/>
      <c r="Y119" s="6" t="n"/>
      <c r="Z119" s="6" t="n"/>
      <c r="AA119" s="6" t="n"/>
      <c r="AB119" s="6" t="n"/>
      <c r="AC119" s="6" t="n"/>
      <c r="AD119" s="6" t="n"/>
      <c r="AE119" s="6" t="n"/>
      <c r="AF119" s="6" t="n"/>
      <c r="AG119" s="6" t="n"/>
      <c r="AH119" s="6" t="n"/>
      <c r="AI119" s="6" t="n"/>
      <c r="AJ119" s="6" t="n"/>
      <c r="AK119" s="6" t="n"/>
    </row>
    <row r="120">
      <c r="A120" s="6" t="n"/>
      <c r="B120" s="6" t="n"/>
      <c r="C120" s="6" t="n"/>
      <c r="D120" s="6" t="n"/>
      <c r="E120" s="6" t="n"/>
      <c r="F120" s="6" t="n"/>
      <c r="G120" s="6" t="n"/>
      <c r="H120" s="6" t="n"/>
      <c r="I120" s="6" t="n"/>
      <c r="J120" s="6" t="inlineStr">
        <is>
          <t>TOTAL OTHER COST</t>
        </is>
      </c>
      <c r="K120" s="6" t="n"/>
      <c r="L120" s="6" t="n"/>
      <c r="M120" s="6" t="n"/>
      <c r="N120" s="6" t="n"/>
      <c r="O120" s="6" t="n"/>
      <c r="P120" s="7" t="n">
        <v>0.09</v>
      </c>
      <c r="Q120" s="7" t="n"/>
      <c r="R120" s="6" t="n"/>
      <c r="S120" s="6" t="n"/>
      <c r="T120" s="6" t="n"/>
      <c r="U120" s="6" t="n"/>
      <c r="V120" s="6" t="n"/>
      <c r="W120" s="6" t="n"/>
      <c r="X120" s="6" t="n"/>
      <c r="Y120" s="6" t="n"/>
      <c r="Z120" s="6" t="n"/>
      <c r="AA120" s="6" t="n"/>
      <c r="AB120" s="6" t="n"/>
      <c r="AC120" s="6" t="n"/>
      <c r="AD120" s="6" t="n"/>
      <c r="AE120" s="6" t="n"/>
      <c r="AF120" s="6" t="n"/>
      <c r="AG120" s="6" t="n"/>
      <c r="AH120" s="6" t="n"/>
      <c r="AI120" s="6" t="n"/>
      <c r="AJ120" s="6" t="n"/>
      <c r="AK120" s="6" t="n"/>
    </row>
    <row r="121">
      <c r="A121" s="6" t="n"/>
      <c r="B121" s="6" t="n"/>
      <c r="C121" s="6" t="n"/>
      <c r="D121" s="6" t="n"/>
      <c r="E121" s="6" t="n"/>
      <c r="F121" s="6" t="n"/>
      <c r="G121" s="6" t="n"/>
      <c r="H121" s="6" t="n"/>
      <c r="I121" s="6" t="n"/>
      <c r="J121" s="6" t="inlineStr">
        <is>
          <t>TOTAL DEDUCTION</t>
        </is>
      </c>
      <c r="K121" s="6" t="n"/>
      <c r="L121" s="6" t="n"/>
      <c r="M121" s="6" t="n"/>
      <c r="N121" s="6" t="n"/>
      <c r="O121" s="6" t="n"/>
      <c r="P121" s="7" t="n">
        <v>0</v>
      </c>
      <c r="Q121" s="7" t="n"/>
      <c r="R121" s="6" t="n"/>
      <c r="S121" s="6" t="n"/>
      <c r="T121" s="6" t="n"/>
      <c r="U121" s="6" t="n"/>
      <c r="V121" s="6" t="n"/>
      <c r="W121" s="6" t="n"/>
      <c r="X121" s="6" t="n"/>
      <c r="Y121" s="6" t="n"/>
      <c r="Z121" s="6" t="n"/>
      <c r="AA121" s="6" t="n"/>
      <c r="AB121" s="6" t="n"/>
      <c r="AC121" s="6" t="n"/>
      <c r="AD121" s="6" t="n"/>
      <c r="AE121" s="6" t="n"/>
      <c r="AF121" s="6" t="n"/>
      <c r="AG121" s="6" t="n"/>
      <c r="AH121" s="6" t="n"/>
      <c r="AI121" s="6" t="n"/>
      <c r="AJ121" s="6" t="n"/>
      <c r="AK121" s="6" t="n"/>
    </row>
    <row r="122">
      <c r="A122" s="6" t="n"/>
      <c r="B122" s="6" t="n"/>
      <c r="C122" s="6" t="n"/>
      <c r="D122" s="6" t="n"/>
      <c r="E122" s="6" t="n"/>
      <c r="F122" s="6" t="n"/>
      <c r="G122" s="6" t="n"/>
      <c r="H122" s="6" t="n"/>
      <c r="I122" s="6" t="n"/>
      <c r="J122" s="6" t="inlineStr">
        <is>
          <t>ADJUSTMENTS</t>
        </is>
      </c>
      <c r="K122" s="6" t="n"/>
      <c r="L122" s="6" t="n"/>
      <c r="M122" s="6" t="n"/>
      <c r="N122" s="6" t="n"/>
      <c r="O122" s="6" t="n"/>
      <c r="P122" s="7">
        <f>(T112+U112+V112-W112)</f>
        <v/>
      </c>
      <c r="Q122" s="7">
        <f>(T112+U112+V112-W112)</f>
        <v/>
      </c>
      <c r="R122" s="6" t="n"/>
      <c r="S122" s="6" t="n"/>
      <c r="T122" s="6" t="n"/>
      <c r="U122" s="6" t="n"/>
      <c r="V122" s="6" t="n"/>
      <c r="W122" s="6" t="n"/>
      <c r="X122" s="6" t="n"/>
      <c r="Y122" s="6" t="n"/>
      <c r="Z122" s="6" t="n"/>
      <c r="AA122" s="6" t="n"/>
      <c r="AB122" s="6" t="n"/>
      <c r="AC122" s="6" t="n"/>
      <c r="AD122" s="6" t="n"/>
      <c r="AE122" s="6" t="n"/>
      <c r="AF122" s="6" t="n"/>
      <c r="AG122" s="6" t="n"/>
      <c r="AH122" s="6" t="n"/>
      <c r="AI122" s="6" t="n"/>
      <c r="AJ122" s="6" t="n"/>
      <c r="AK122" s="6" t="n"/>
    </row>
    <row r="123"/>
    <row r="124">
      <c r="A124" s="6" t="n"/>
      <c r="B124" s="6" t="n"/>
      <c r="C124" s="6" t="n"/>
      <c r="D124" s="6" t="n"/>
      <c r="E124" s="6" t="n"/>
      <c r="F124" s="6" t="n"/>
      <c r="G124" s="6" t="n"/>
      <c r="H124" s="6" t="n"/>
      <c r="I124" s="6" t="n"/>
      <c r="J124" s="6" t="inlineStr">
        <is>
          <t>NET TOTAL</t>
        </is>
      </c>
      <c r="K124" s="6" t="n"/>
      <c r="L124" s="6" t="n"/>
      <c r="M124" s="6" t="n"/>
      <c r="N124" s="6" t="n"/>
      <c r="O124" s="6" t="n"/>
      <c r="P124" s="7">
        <f>P114+P122</f>
        <v/>
      </c>
      <c r="Q124" s="7">
        <f>Q114+Q122</f>
        <v/>
      </c>
      <c r="R124" s="6" t="n"/>
      <c r="S124" s="6" t="n"/>
      <c r="T124" s="6" t="n"/>
      <c r="U124" s="6" t="n"/>
      <c r="V124" s="6" t="n"/>
      <c r="W124" s="6" t="n"/>
      <c r="X124" s="6" t="n"/>
      <c r="Y124" s="6" t="n"/>
      <c r="Z124" s="6" t="n"/>
      <c r="AA124" s="6" t="n"/>
      <c r="AB124" s="6" t="n"/>
      <c r="AC124" s="6" t="n"/>
      <c r="AD124" s="6" t="n"/>
      <c r="AE124" s="6" t="n"/>
      <c r="AF124" s="6" t="n"/>
      <c r="AG124" s="6" t="n"/>
      <c r="AH124" s="6" t="n"/>
      <c r="AI124" s="6" t="n"/>
      <c r="AJ124" s="6" t="n"/>
      <c r="AK124" s="6" t="n"/>
    </row>
    <row r="125">
      <c r="A125" s="6" t="n"/>
      <c r="B125" s="6" t="n"/>
      <c r="C125" s="6" t="n"/>
      <c r="D125" s="6" t="n"/>
      <c r="E125" s="6" t="n"/>
      <c r="F125" s="6" t="n"/>
      <c r="G125" s="6" t="n"/>
      <c r="H125" s="6" t="n"/>
      <c r="I125" s="6" t="n"/>
      <c r="J125" s="6" t="inlineStr">
        <is>
          <t>INVOICE TOTAL</t>
        </is>
      </c>
      <c r="K125" s="6" t="n"/>
      <c r="L125" s="6" t="n"/>
      <c r="M125" s="6" t="n"/>
      <c r="N125" s="6" t="n"/>
      <c r="O125" s="6" t="n"/>
      <c r="P125" s="7">
        <f>S112</f>
        <v/>
      </c>
      <c r="Q125" s="7" t="n"/>
      <c r="R125" s="6" t="n"/>
      <c r="S125" s="6" t="n"/>
      <c r="T125" s="6" t="n"/>
      <c r="U125" s="6" t="n"/>
      <c r="V125" s="6" t="n"/>
      <c r="W125" s="6" t="n"/>
      <c r="X125" s="6" t="n"/>
      <c r="Y125" s="6" t="n"/>
      <c r="Z125" s="6" t="n"/>
      <c r="AA125" s="6" t="n"/>
      <c r="AB125" s="6" t="n"/>
      <c r="AC125" s="6" t="n"/>
      <c r="AD125" s="6" t="n"/>
      <c r="AE125" s="6" t="n"/>
      <c r="AF125" s="6" t="n"/>
      <c r="AG125" s="6" t="n"/>
      <c r="AH125" s="6" t="n"/>
      <c r="AI125" s="6" t="n"/>
      <c r="AJ125" s="6" t="n"/>
      <c r="AK125" s="6" t="n"/>
    </row>
    <row r="126"/>
    <row r="127">
      <c r="A127" s="10" t="n"/>
      <c r="B127" s="10" t="n"/>
      <c r="C127" s="10" t="n"/>
      <c r="D127" s="10" t="n"/>
      <c r="E127" s="10" t="n"/>
      <c r="F127" s="10" t="n"/>
      <c r="G127" s="10" t="n"/>
      <c r="H127" s="10" t="n"/>
      <c r="I127" s="10" t="n"/>
      <c r="J127" s="10" t="inlineStr">
        <is>
          <t>VARIANCE CHECK</t>
        </is>
      </c>
      <c r="K127" s="10" t="n"/>
      <c r="L127" s="10" t="n"/>
      <c r="M127" s="10" t="n"/>
      <c r="N127" s="10" t="n"/>
      <c r="O127" s="10" t="n"/>
      <c r="P127" s="11">
        <f>S112-P124</f>
        <v/>
      </c>
      <c r="Q127" s="11">
        <f>S112-Q124</f>
        <v/>
      </c>
      <c r="R127" s="10" t="n"/>
      <c r="S127" s="10" t="n"/>
      <c r="T127" s="10" t="n"/>
      <c r="U127" s="10" t="n"/>
      <c r="V127" s="10" t="n"/>
      <c r="W127" s="10" t="n"/>
      <c r="X127" s="10" t="n"/>
      <c r="Y127" s="10" t="n"/>
      <c r="Z127" s="10" t="n"/>
      <c r="AA127" s="10" t="n"/>
      <c r="AB127" s="10" t="n"/>
      <c r="AC127" s="10" t="n"/>
      <c r="AD127" s="10" t="n"/>
      <c r="AE127" s="10" t="n"/>
      <c r="AF127" s="10" t="n"/>
      <c r="AG127" s="10" t="n"/>
      <c r="AH127" s="10" t="n"/>
      <c r="AI127" s="10" t="n"/>
      <c r="AJ127" s="10" t="n"/>
      <c r="AK127" s="10" t="n"/>
    </row>
    <row r="128"/>
    <row r="129">
      <c r="A129" s="12" t="n"/>
      <c r="B129" s="12" t="n"/>
      <c r="C129" s="12" t="n"/>
      <c r="D129" s="12" t="n"/>
      <c r="E129" s="12" t="n"/>
      <c r="F129" s="12" t="n"/>
      <c r="G129" s="12" t="n"/>
      <c r="H129" s="12" t="n"/>
      <c r="I129" s="12" t="n"/>
      <c r="J129" s="12" t="inlineStr">
        <is>
          <t>DUTY ESTIMATION (Classification Cross-Check)</t>
        </is>
      </c>
      <c r="K129" s="12" t="n"/>
      <c r="L129" s="12" t="n"/>
      <c r="M129" s="12" t="n"/>
      <c r="N129" s="12" t="n"/>
      <c r="O129" s="12" t="n"/>
      <c r="P129" s="12" t="n"/>
      <c r="Q129" s="12" t="n"/>
      <c r="R129" s="12" t="n"/>
      <c r="S129" s="12" t="n"/>
      <c r="T129" s="12" t="n"/>
      <c r="U129" s="12" t="n"/>
      <c r="V129" s="12" t="n"/>
      <c r="W129" s="12" t="n"/>
      <c r="X129" s="12" t="n"/>
      <c r="Y129" s="12" t="n"/>
      <c r="Z129" s="12" t="n"/>
      <c r="AA129" s="12" t="n"/>
      <c r="AB129" s="12" t="n"/>
      <c r="AC129" s="12" t="n"/>
      <c r="AD129" s="12" t="n"/>
      <c r="AE129" s="12" t="n"/>
      <c r="AF129" s="12" t="n"/>
      <c r="AG129" s="12" t="n"/>
      <c r="AH129" s="12" t="n"/>
      <c r="AI129" s="12" t="n"/>
      <c r="AJ129" s="12" t="n"/>
      <c r="AK129" s="12" t="n"/>
    </row>
    <row r="130">
      <c r="A130" s="13" t="n"/>
      <c r="B130" s="13" t="n"/>
      <c r="C130" s="13" t="n"/>
      <c r="D130" s="13" t="n"/>
      <c r="E130" s="13" t="n"/>
      <c r="F130" s="13" t="n"/>
      <c r="G130" s="13" t="n"/>
      <c r="H130" s="13" t="n"/>
      <c r="I130" s="13" t="n"/>
      <c r="J130" s="14" t="inlineStr">
        <is>
          <t>CIF (USD) = InvTotal + Freight + Insurance</t>
        </is>
      </c>
      <c r="K130" s="13" t="n"/>
      <c r="L130" s="13" t="n"/>
      <c r="M130" s="13" t="n"/>
      <c r="N130" s="13" t="n"/>
      <c r="O130" s="13" t="n"/>
      <c r="P130" s="15" t="n">
        <v>1.44</v>
      </c>
      <c r="Q130" s="13" t="n"/>
      <c r="R130" s="13" t="n"/>
      <c r="S130" s="13" t="n"/>
      <c r="T130" s="13" t="n"/>
      <c r="U130" s="13" t="n"/>
      <c r="V130" s="13" t="n"/>
      <c r="W130" s="13" t="n"/>
      <c r="X130" s="13" t="n"/>
      <c r="Y130" s="13" t="n"/>
      <c r="Z130" s="13" t="n"/>
      <c r="AA130" s="13" t="n"/>
      <c r="AB130" s="13" t="n"/>
      <c r="AC130" s="13" t="n"/>
      <c r="AD130" s="13" t="n"/>
      <c r="AE130" s="13" t="n"/>
      <c r="AF130" s="13" t="n"/>
      <c r="AG130" s="13" t="n"/>
      <c r="AH130" s="13" t="n"/>
      <c r="AI130" s="13" t="n"/>
      <c r="AJ130" s="13" t="n"/>
      <c r="AK130" s="13" t="n"/>
    </row>
    <row r="131">
      <c r="A131" s="13" t="n"/>
      <c r="B131" s="13" t="n"/>
      <c r="C131" s="13" t="n"/>
      <c r="D131" s="13" t="n"/>
      <c r="E131" s="13" t="n"/>
      <c r="F131" s="13" t="n"/>
      <c r="G131" s="13" t="n"/>
      <c r="H131" s="13" t="n"/>
      <c r="I131" s="13" t="n"/>
      <c r="J131" s="14" t="inlineStr">
        <is>
          <t>CIF (XCD) = CIF × 2.7169</t>
        </is>
      </c>
      <c r="K131" s="13" t="n"/>
      <c r="L131" s="13" t="n"/>
      <c r="M131" s="13" t="n"/>
      <c r="N131" s="13" t="n"/>
      <c r="O131" s="13" t="n"/>
      <c r="P131" s="15" t="n">
        <v>3.91</v>
      </c>
      <c r="Q131" s="13" t="n"/>
      <c r="R131" s="13" t="n"/>
      <c r="S131" s="13" t="n"/>
      <c r="T131" s="13" t="n"/>
      <c r="U131" s="13" t="n"/>
      <c r="V131" s="13" t="n"/>
      <c r="W131" s="13" t="n"/>
      <c r="X131" s="13" t="n"/>
      <c r="Y131" s="13" t="n"/>
      <c r="Z131" s="13" t="n"/>
      <c r="AA131" s="13" t="n"/>
      <c r="AB131" s="13" t="n"/>
      <c r="AC131" s="13" t="n"/>
      <c r="AD131" s="13" t="n"/>
      <c r="AE131" s="13" t="n"/>
      <c r="AF131" s="13" t="n"/>
      <c r="AG131" s="13" t="n"/>
      <c r="AH131" s="13" t="n"/>
      <c r="AI131" s="13" t="n"/>
      <c r="AJ131" s="13" t="n"/>
      <c r="AK131" s="13" t="n"/>
    </row>
    <row r="132">
      <c r="A132" s="13" t="n"/>
      <c r="B132" s="13" t="n"/>
      <c r="C132" s="13" t="n"/>
      <c r="D132" s="13" t="n"/>
      <c r="E132" s="13" t="n"/>
      <c r="F132" s="13" t="n"/>
      <c r="G132" s="13" t="n"/>
      <c r="H132" s="13" t="n"/>
      <c r="I132" s="13" t="n"/>
      <c r="J132" s="14" t="inlineStr">
        <is>
          <t>CET (20%) — Tariff 33030000</t>
        </is>
      </c>
      <c r="K132" s="13" t="n"/>
      <c r="L132" s="13" t="n"/>
      <c r="M132" s="13" t="n"/>
      <c r="N132" s="13" t="n"/>
      <c r="O132" s="13" t="n"/>
      <c r="P132" s="15" t="n">
        <v>0.78</v>
      </c>
      <c r="Q132" s="13" t="n"/>
      <c r="R132" s="13" t="n"/>
      <c r="S132" s="13" t="n"/>
      <c r="T132" s="13" t="n"/>
      <c r="U132" s="13" t="n"/>
      <c r="V132" s="13" t="n"/>
      <c r="W132" s="13" t="n"/>
      <c r="X132" s="13" t="n"/>
      <c r="Y132" s="13" t="n"/>
      <c r="Z132" s="13" t="n"/>
      <c r="AA132" s="13" t="n"/>
      <c r="AB132" s="13" t="n"/>
      <c r="AC132" s="13" t="n"/>
      <c r="AD132" s="13" t="n"/>
      <c r="AE132" s="13" t="n"/>
      <c r="AF132" s="13" t="n"/>
      <c r="AG132" s="13" t="n"/>
      <c r="AH132" s="13" t="n"/>
      <c r="AI132" s="13" t="n"/>
      <c r="AJ132" s="13" t="n"/>
      <c r="AK132" s="13" t="n"/>
    </row>
    <row r="133">
      <c r="A133" s="13" t="n"/>
      <c r="B133" s="13" t="n"/>
      <c r="C133" s="13" t="n"/>
      <c r="D133" s="13" t="n"/>
      <c r="E133" s="13" t="n"/>
      <c r="F133" s="13" t="n"/>
      <c r="G133" s="13" t="n"/>
      <c r="H133" s="13" t="n"/>
      <c r="I133" s="13" t="n"/>
      <c r="J133" s="14" t="inlineStr">
        <is>
          <t>CSC (6%)</t>
        </is>
      </c>
      <c r="K133" s="13" t="n"/>
      <c r="L133" s="13" t="n"/>
      <c r="M133" s="13" t="n"/>
      <c r="N133" s="13" t="n"/>
      <c r="O133" s="13" t="n"/>
      <c r="P133" s="15" t="n">
        <v>0.23</v>
      </c>
      <c r="Q133" s="13" t="n"/>
      <c r="R133" s="13" t="n"/>
      <c r="S133" s="13" t="n"/>
      <c r="T133" s="13" t="n"/>
      <c r="U133" s="13" t="n"/>
      <c r="V133" s="13" t="n"/>
      <c r="W133" s="13" t="n"/>
      <c r="X133" s="13" t="n"/>
      <c r="Y133" s="13" t="n"/>
      <c r="Z133" s="13" t="n"/>
      <c r="AA133" s="13" t="n"/>
      <c r="AB133" s="13" t="n"/>
      <c r="AC133" s="13" t="n"/>
      <c r="AD133" s="13" t="n"/>
      <c r="AE133" s="13" t="n"/>
      <c r="AF133" s="13" t="n"/>
      <c r="AG133" s="13" t="n"/>
      <c r="AH133" s="13" t="n"/>
      <c r="AI133" s="13" t="n"/>
      <c r="AJ133" s="13" t="n"/>
      <c r="AK133" s="13" t="n"/>
    </row>
    <row r="134">
      <c r="A134" s="13" t="n"/>
      <c r="B134" s="13" t="n"/>
      <c r="C134" s="13" t="n"/>
      <c r="D134" s="13" t="n"/>
      <c r="E134" s="13" t="n"/>
      <c r="F134" s="13" t="n"/>
      <c r="G134" s="13" t="n"/>
      <c r="H134" s="13" t="n"/>
      <c r="I134" s="13" t="n"/>
      <c r="J134" s="14" t="inlineStr">
        <is>
          <t>VAT (15%) on CIF+CET+CSC</t>
        </is>
      </c>
      <c r="K134" s="13" t="n"/>
      <c r="L134" s="13" t="n"/>
      <c r="M134" s="13" t="n"/>
      <c r="N134" s="13" t="n"/>
      <c r="O134" s="13" t="n"/>
      <c r="P134" s="15" t="n">
        <v>0.74</v>
      </c>
      <c r="Q134" s="13" t="n"/>
      <c r="R134" s="13" t="n"/>
      <c r="S134" s="13" t="n"/>
      <c r="T134" s="13" t="n"/>
      <c r="U134" s="13" t="n"/>
      <c r="V134" s="13" t="n"/>
      <c r="W134" s="13" t="n"/>
      <c r="X134" s="13" t="n"/>
      <c r="Y134" s="13" t="n"/>
      <c r="Z134" s="13" t="n"/>
      <c r="AA134" s="13" t="n"/>
      <c r="AB134" s="13" t="n"/>
      <c r="AC134" s="13" t="n"/>
      <c r="AD134" s="13" t="n"/>
      <c r="AE134" s="13" t="n"/>
      <c r="AF134" s="13" t="n"/>
      <c r="AG134" s="13" t="n"/>
      <c r="AH134" s="13" t="n"/>
      <c r="AI134" s="13" t="n"/>
      <c r="AJ134" s="13" t="n"/>
      <c r="AK134" s="13" t="n"/>
    </row>
    <row r="135">
      <c r="A135" s="16" t="n"/>
      <c r="B135" s="16" t="n"/>
      <c r="C135" s="16" t="n"/>
      <c r="D135" s="16" t="n"/>
      <c r="E135" s="16" t="n"/>
      <c r="F135" s="16" t="n"/>
      <c r="G135" s="16" t="n"/>
      <c r="H135" s="16" t="n"/>
      <c r="I135" s="16" t="n"/>
      <c r="J135" s="12" t="inlineStr">
        <is>
          <t>ESTIMATED TOTAL DUTIES</t>
        </is>
      </c>
      <c r="K135" s="16" t="n"/>
      <c r="L135" s="16" t="n"/>
      <c r="M135" s="16" t="n"/>
      <c r="N135" s="16" t="n"/>
      <c r="O135" s="16" t="n"/>
      <c r="P135" s="17" t="n">
        <v>1.75</v>
      </c>
      <c r="Q135" s="16" t="n"/>
      <c r="R135" s="16" t="n"/>
      <c r="S135" s="16" t="n"/>
      <c r="T135" s="16" t="n"/>
      <c r="U135" s="16" t="n"/>
      <c r="V135" s="16" t="n"/>
      <c r="W135" s="16" t="n"/>
      <c r="X135" s="16" t="n"/>
      <c r="Y135" s="16" t="n"/>
      <c r="Z135" s="16" t="n"/>
      <c r="AA135" s="16" t="n"/>
      <c r="AB135" s="16" t="n"/>
      <c r="AC135" s="16" t="n"/>
      <c r="AD135" s="16" t="n"/>
      <c r="AE135" s="16" t="n"/>
      <c r="AF135" s="16" t="n"/>
      <c r="AG135" s="16" t="n"/>
      <c r="AH135" s="16" t="n"/>
      <c r="AI135" s="16" t="n"/>
      <c r="AJ135" s="16" t="n"/>
      <c r="AK135" s="16" t="n"/>
    </row>
    <row r="136">
      <c r="A136" s="13" t="n"/>
      <c r="B136" s="13" t="n"/>
      <c r="C136" s="13" t="n"/>
      <c r="D136" s="13" t="n"/>
      <c r="E136" s="13" t="n"/>
      <c r="F136" s="13" t="n"/>
      <c r="G136" s="13" t="n"/>
      <c r="H136" s="13" t="n"/>
      <c r="I136" s="13" t="n"/>
      <c r="J136" s="14" t="inlineStr">
        <is>
          <t>Effective Duty Rate</t>
        </is>
      </c>
      <c r="K136" s="13" t="n"/>
      <c r="L136" s="13" t="n"/>
      <c r="M136" s="13" t="n"/>
      <c r="N136" s="13" t="n"/>
      <c r="O136" s="13" t="n"/>
      <c r="P136" s="18" t="n">
        <v>0.4475703324808184</v>
      </c>
      <c r="Q136" s="13" t="n"/>
      <c r="R136" s="13" t="n"/>
      <c r="S136" s="13" t="n"/>
      <c r="T136" s="13" t="n"/>
      <c r="U136" s="13" t="n"/>
      <c r="V136" s="13" t="n"/>
      <c r="W136" s="13" t="n"/>
      <c r="X136" s="13" t="n"/>
      <c r="Y136" s="13" t="n"/>
      <c r="Z136" s="13" t="n"/>
      <c r="AA136" s="13" t="n"/>
      <c r="AB136" s="13" t="n"/>
      <c r="AC136" s="13" t="n"/>
      <c r="AD136" s="13" t="n"/>
      <c r="AE136" s="13" t="n"/>
      <c r="AF136" s="13" t="n"/>
      <c r="AG136" s="13" t="n"/>
      <c r="AH136" s="13" t="n"/>
      <c r="AI136" s="13" t="n"/>
      <c r="AJ136" s="13" t="n"/>
      <c r="AK136" s="13" t="n"/>
    </row>
    <row r="137"/>
    <row r="138">
      <c r="A138" s="22" t="n"/>
      <c r="B138" s="22" t="n"/>
      <c r="C138" s="22" t="n"/>
      <c r="D138" s="22" t="n"/>
      <c r="E138" s="22" t="n"/>
      <c r="F138" s="22" t="n"/>
      <c r="G138" s="22" t="n"/>
      <c r="H138" s="22" t="n"/>
      <c r="I138" s="22" t="n"/>
      <c r="J138" s="22" t="n"/>
      <c r="K138" s="22" t="n"/>
      <c r="L138" s="22" t="n"/>
      <c r="M138" s="22" t="n"/>
      <c r="N138" s="22" t="n"/>
      <c r="O138" s="22" t="n"/>
      <c r="P138" s="22" t="n"/>
      <c r="Q138" s="22" t="n"/>
      <c r="R138" s="22" t="n"/>
      <c r="S138" s="22" t="n"/>
      <c r="T138" s="22" t="n"/>
      <c r="U138" s="22" t="n"/>
      <c r="V138" s="22" t="n"/>
      <c r="W138" s="22" t="n"/>
      <c r="X138" s="22" t="n"/>
      <c r="Y138" s="22" t="n"/>
      <c r="Z138" s="22" t="n"/>
      <c r="AA138" s="22" t="n"/>
      <c r="AB138" s="22" t="n"/>
      <c r="AC138" s="22" t="n"/>
      <c r="AD138" s="22" t="n"/>
      <c r="AE138" s="22" t="n"/>
      <c r="AF138" s="22" t="n"/>
      <c r="AG138" s="22" t="n"/>
      <c r="AH138" s="22" t="n"/>
      <c r="AI138" s="22" t="n"/>
      <c r="AJ138" s="22" t="n"/>
      <c r="AK138" s="22" t="n"/>
    </row>
    <row r="139">
      <c r="A139" s="22" t="n"/>
      <c r="B139" s="22" t="n"/>
      <c r="C139" s="22" t="n"/>
      <c r="D139" s="22" t="n"/>
      <c r="E139" s="22" t="n"/>
      <c r="F139" s="22" t="n"/>
      <c r="G139" s="22" t="n"/>
      <c r="H139" s="22" t="n"/>
      <c r="I139" s="22" t="n"/>
      <c r="J139" s="22" t="n"/>
      <c r="K139" s="22" t="n"/>
      <c r="L139" s="23" t="inlineStr">
        <is>
          <t>═══ COMBINED GRAND SUMMARY ═══</t>
        </is>
      </c>
      <c r="M139" s="22" t="n"/>
      <c r="N139" s="22" t="n"/>
      <c r="O139" s="22" t="n"/>
      <c r="P139" s="22" t="n"/>
      <c r="Q139" s="22" t="n"/>
      <c r="R139" s="22" t="n"/>
      <c r="S139" s="22" t="n"/>
      <c r="T139" s="22" t="n"/>
      <c r="U139" s="22" t="n"/>
      <c r="V139" s="22" t="n"/>
      <c r="W139" s="22" t="n"/>
      <c r="X139" s="22" t="n"/>
      <c r="Y139" s="22" t="n"/>
      <c r="Z139" s="22" t="n"/>
      <c r="AA139" s="22" t="n"/>
      <c r="AB139" s="22" t="n"/>
      <c r="AC139" s="22" t="n"/>
      <c r="AD139" s="22" t="n"/>
      <c r="AE139" s="22" t="n"/>
      <c r="AF139" s="22" t="n"/>
      <c r="AG139" s="22" t="n"/>
      <c r="AH139" s="22" t="n"/>
      <c r="AI139" s="22" t="n"/>
      <c r="AJ139" s="22" t="n"/>
      <c r="AK139" s="22" t="n"/>
    </row>
    <row r="140">
      <c r="L140" s="24" t="inlineStr">
        <is>
          <t>Invoice INVUS20240717001998094</t>
        </is>
      </c>
      <c r="P140" s="25" t="n">
        <v>49.97</v>
      </c>
      <c r="Q140" s="26" t="n">
        <v>-43.05</v>
      </c>
    </row>
    <row r="141">
      <c r="L141" s="24" t="inlineStr">
        <is>
          <t>Invoice INVUS20240717002005487</t>
        </is>
      </c>
      <c r="P141" s="25" t="n">
        <v>22.43</v>
      </c>
      <c r="Q141" s="26" t="n">
        <v>-19.36</v>
      </c>
    </row>
    <row r="142">
      <c r="L142" s="24" t="inlineStr">
        <is>
          <t>Invoice INVUS20240717002011537</t>
        </is>
      </c>
      <c r="P142" s="25" t="n">
        <v>102.08</v>
      </c>
      <c r="Q142" s="26" t="n">
        <v>-88.88</v>
      </c>
    </row>
    <row r="143">
      <c r="L143" s="24" t="inlineStr">
        <is>
          <t>Invoice INVUS20240717002018383</t>
        </is>
      </c>
      <c r="P143" s="25" t="n">
        <v>58.13</v>
      </c>
      <c r="Q143" s="26" t="n">
        <v>-50.07</v>
      </c>
    </row>
    <row r="144">
      <c r="L144" s="24" t="inlineStr">
        <is>
          <t>Invoice INVUS20240717002005488</t>
        </is>
      </c>
      <c r="P144" s="25" t="n">
        <v>10.74</v>
      </c>
      <c r="Q144" s="26" t="n">
        <v>-9.300000000000001</v>
      </c>
    </row>
    <row r="145"/>
    <row r="146">
      <c r="L146" s="27" t="inlineStr">
        <is>
          <t>GRAND TOTAL</t>
        </is>
      </c>
      <c r="P146" s="28" t="n">
        <v>243.35</v>
      </c>
    </row>
    <row r="147">
      <c r="L147" s="29" t="inlineStr">
        <is>
          <t>GRAND VARIANCE CHECK</t>
        </is>
      </c>
      <c r="P147" s="26" t="n">
        <v>-210.66</v>
      </c>
    </row>
    <row r="148">
      <c r="L148" s="30" t="inlineStr">
        <is>
          <t>Combined 5 invoice files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25" customWidth="1" min="1" max="1"/>
    <col width="14" customWidth="1" min="2" max="2"/>
    <col width="10" customWidth="1" min="3" max="3"/>
    <col width="60" customWidth="1" min="4" max="4"/>
    <col width="100" customWidth="1" min="5" max="5"/>
  </cols>
  <sheetData>
    <row r="1">
      <c r="A1" s="31" t="inlineStr">
        <is>
          <t>PDF File</t>
        </is>
      </c>
      <c r="B1" s="31" t="inlineStr">
        <is>
          <t>Quality Score</t>
        </is>
      </c>
      <c r="C1" s="31" t="inlineStr">
        <is>
          <t>Rating</t>
        </is>
      </c>
      <c r="D1" s="31" t="inlineStr">
        <is>
          <t>Details</t>
        </is>
      </c>
      <c r="E1" s="31" t="inlineStr">
        <is>
          <t>OCR Text (first 2000 chars)</t>
        </is>
      </c>
    </row>
    <row r="2">
      <c r="A2" s="32" t="inlineStr">
        <is>
          <t>GSUNJY.pdf</t>
        </is>
      </c>
      <c r="B2" s="32" t="inlineStr">
        <is>
          <t>65/100</t>
        </is>
      </c>
      <c r="C2" s="32" t="inlineStr">
        <is>
          <t>FAIR</t>
        </is>
      </c>
      <c r="D2" s="32" t="inlineStr">
        <is>
          <t>Text: 991 chars; Prices: 0 ($-sign), 0 (decimal); Total: $6.92; Invoice#: INVUS20240717001998094; Real items: 1/1; Structure words: 8/12</t>
        </is>
      </c>
      <c r="E2" s="33" t="inlineStr">
        <is>
          <t xml:space="preserve">SHEIN US Services, LLC. Seles Invoice
777 S Alameda St Fl 2, Los Angeles, CA 90021-1633
Bill To: Invoice No.:
Britana Bowen INVUS20240717001998094
Billing Address: Invoice Date:
10813, NW 30TH STREET BLDG 115 GRE 2594 Miami, 2024-07-17
FLORIDA 33172
Delivery Address:
10813, NW 30TH STREET BLDG 115 GRE 2594 Miami,
FLORIDA 33172
Order Information
Order Number: Order Date:
GSUNJY54400NF6T 2024-07-17
Seller Information
Sold By: Address:
SHEIN DISTRIBUTION CORPORATION United StatesCALIFORNIALos Angeles777 S. Alamaeda St.
Suite 340, Los Angeles, CA 90021
Invoice Detail
SRS Aaa a rT Sis ae eet ete Men rl Ei ea prey re
RAIS ne Meena opeMlahcas merieceads te Ae RB cies Memeercpeiae en pom CRRNN NL Aa Par suse May tpetch sa ce a enue ean EN Secgehl gigs oe Miowes Wend Uevienes Coecee acest Debts Suara freasete ry
Manfinity Homme Men's Fashionable King Printed Short Sleeve T-Shirt And Shorts Combo Set 1 6.45
Item(s) Subtotal: 6.45
Shipping/Handling: 0.00
Sales Tax: 0.47
Grand Total: 6.92
</t>
        </is>
      </c>
    </row>
    <row r="3">
      <c r="A3" s="32" t="inlineStr">
        <is>
          <t>INVUS20240717002005487.pdf</t>
        </is>
      </c>
      <c r="B3" s="32" t="inlineStr">
        <is>
          <t>65/100</t>
        </is>
      </c>
      <c r="C3" s="32" t="inlineStr">
        <is>
          <t>FAIR</t>
        </is>
      </c>
      <c r="D3" s="32" t="inlineStr">
        <is>
          <t>Text: 789 chars; Prices: 0 ($-sign), 0 (decimal); Total: $3.07; Invoice#: INVUS20240717002005487; Real items: 1/1; Structure words: 10/12</t>
        </is>
      </c>
      <c r="E3" s="33" t="inlineStr">
        <is>
          <t>SHEIN US Services, LLC.
777 S Alameda St Fl 2, Los Angeles, CA 90021-1633
Sales Invoice
Bill To:
Britana Bowen
Invoice No.:
INVUS20240717002005487
Billing Address:
10813, NW 30TH STREET BLDG 115 GRE 2594 Miami,
FLORIDA 33172
Invoice Date:
2024-07-17
Delivery Address:
10813, NW 30TH STREET BLDG 115 GRE 2594 Miami,
FLORIDA 33172
Order Information
Order Number:
GSUNJY54400NF65
Order Date:
2024-07-17
Seller Information
Sold By:
QZNY
Address:
China 7-2 Yuyuan Road, Jinjiang Economic Development Zone
(Wuli Garden), Quanzhou City, Fujian Province
Invoice Detail
Description
Quantity
Amount(USD)
Women's Thick-Soled Slippers, Summer Anti-Skid Waterproof Beach Sandals, Suitable For Swimming And
Vacation 1 2.86
Item(s) Subtotal:
2.86
Shipping/Handling:
0.00
Sales Tax:
0.21
Grand Total:
3.07</t>
        </is>
      </c>
    </row>
    <row r="4">
      <c r="A4" s="32" t="inlineStr">
        <is>
          <t>INVUS202407170020115372024.pdf</t>
        </is>
      </c>
      <c r="B4" s="32" t="inlineStr">
        <is>
          <t>49/100</t>
        </is>
      </c>
      <c r="C4" s="32" t="inlineStr">
        <is>
          <t>FAIR</t>
        </is>
      </c>
      <c r="D4" s="32" t="inlineStr">
        <is>
          <t>Text: 936 chars; Prices: 0 ($-sign), 2 (decimal); Total: MISSING; Invoice#: INVUS20240717002011537; Real items: 2/2; Structure words: 8/12</t>
        </is>
      </c>
      <c r="E4" s="33" t="inlineStr">
        <is>
          <t>777 7775 S Alameda St Fl 2 , Los Angeles , CA 90021 - 1633
Bill To : Invoice No . :
Britana Bowen INVUS20240717002011537
Billing Address : Invoice Date :
10813 , NW 30 TH STREET BLDG 115 GRE 2594 Miami , 2024 - 07 - 17
FLORIDA 33172
Delivery Address :
10813 , NW 30 TH STREET BLDG 115 GRE 2594 Miami ,
FLORIDA 33172
Order Information
Order Number : Order Date :
GSUNJY 54400 NF 66 2024 - 07 - 17
Seller Information
Sold By : Address :
SHEIN DISTRIBUTION CORPORATION United StatesCALIFORNIALos Angeles 777 S . Alamaeda St .
Suite 340 , Los Angeles , CA 90021
Invoice Detail
Ba Rane ee Re nena Se Se pare eater ar ties areal Brgy apaeeatn te pm
SHEIN Baby Girl Letter Graphic Cami Top &amp; Mesh Overlay Skort 1 3.68
Baby Girl Holiday Casual Cute Raw Hem Ruffle Heart Shaped Strap Elastic Comfort Top &amp; Elastic Waist 2 4.76
Pockets Denim Shorts Sets
Item ( s ) Subtotal : 11.04
Shipping / Handling : 0.00
Sales Tax : 0.00
Grand Total: : 11.04</t>
        </is>
      </c>
    </row>
    <row r="5">
      <c r="A5" s="32" t="inlineStr">
        <is>
          <t>INVUS20240717002018383.pdf</t>
        </is>
      </c>
      <c r="B5" s="32" t="inlineStr">
        <is>
          <t>65/100</t>
        </is>
      </c>
      <c r="C5" s="32" t="inlineStr">
        <is>
          <t>FAIR</t>
        </is>
      </c>
      <c r="D5" s="32" t="inlineStr">
        <is>
          <t>Text: 679 chars; Prices: 0 ($-sign), 0 (decimal); Total: $8.06; Invoice#: INVUS20240717002018383; Real items: 1/1; Structure words: 10/12</t>
        </is>
      </c>
      <c r="E5" s="33" t="inlineStr">
        <is>
          <t>SHEIN US Services, LLC.
777 S Alameda St Fl 2, Los Angeles, CA 90021-1633
Sales Invoice
Bill To:
Britana Bowen
Invoice No.:
INVUS20240717002018383
Billing Address:
10813, NW 30TH STREET BLDG 115 GRE 2594 Miami,
FLORIDA 33172
Invoice Date:
2024-07-17
Delivery Address:
10813, NW 30TH STREET BLDG 115 GRE 2594 Miami,
FLORIDA 33172
Order Information
Order Number:
GSUNJY54400NF6X
Order Date:
2024-07-17
Seller Information
Sold By:
Biubiu
Address:
Room 501, No. 5, Licun South Road, Dashi Street, Panyu
District, Guangzhou, China
Invoice Detail
Description
Quantity
Amount(USD)
Plus Size Dresses 1 7.52
Item(s) Subtotal:
7.52
Shipping/Handling:
0.00
Sales Tax:
0.54
Grand Total:
8.06</t>
        </is>
      </c>
    </row>
    <row r="6">
      <c r="A6" s="32" t="inlineStr">
        <is>
          <t>SELLER.pdf</t>
        </is>
      </c>
      <c r="B6" s="32" t="inlineStr">
        <is>
          <t>65/100</t>
        </is>
      </c>
      <c r="C6" s="32" t="inlineStr">
        <is>
          <t>FAIR</t>
        </is>
      </c>
      <c r="D6" s="32" t="inlineStr">
        <is>
          <t>Text: 876 chars; Prices: 0 ($-sign), 0 (decimal); Total: $1.44; Invoice#: INVUS20240717002005488; Real items: 1/1; Structure words: 10/12</t>
        </is>
      </c>
      <c r="E6" s="33" t="inlineStr">
        <is>
          <t>SHEIN US Services, LLC.
777 S Alameda St Fl 2, Los Angeles, CA 90021-1633
Sales Invoice
Bill To:
Britana Bowen
Invoice No.:
INVUS20240717002005488
Billing Address:
10813, NW 30TH STREET BLDG 115 GRE 2594 Miami,
FLORIDA 33172
Invoice Date:
2024-07-17
Delivery Address:
10813, NW 30TH STREET BLDG 115 GRE 2594 Miami,
FLORIDA 33172
Order Information
Order Number:
GSUNJY54400NF6Q
Order Date:
2024-07-17
Seller Information
Sold By:
HANSISI
Address:
China, 4th Floor, No. 1011, Dongzhou Road, Jiangdong Street,
Yiwu City, Zhejiang Province (self-declaration)
Invoice Detail
Description
Quantity
Amount(USD)
2ML * 10 Sample Women's Perfume With 10 Fragrances, Lasting Fragrance, Rose And Fruit Fragrance,
Ready To Replenish Fragrance, Easy To Carry, Fresh And Elegant, Releasing Women's Perfume 1 1.35
Item(s) Subtotal:
1.35
Shipping/Handling:
0.00
Sales Tax:
0.09
Grand Total:
1.44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2026-04-20T10:52:25Z</dcterms:created>
  <dcterms:modified xsi:type="dcterms:W3CDTF">2026-04-20T10:52:31Z</dcterms:modified>
</cp:coreProperties>
</file>