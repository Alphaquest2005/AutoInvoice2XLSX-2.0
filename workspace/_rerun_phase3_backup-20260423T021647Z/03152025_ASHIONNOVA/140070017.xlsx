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140070017</t>
        </is>
      </c>
      <c r="D2" s="2" t="inlineStr">
        <is>
          <t>August 6 th , 2024</t>
        </is>
      </c>
      <c r="E2" s="2" t="inlineStr">
        <is>
          <t>Trousers</t>
        </is>
      </c>
      <c r="F2" s="2" t="inlineStr">
        <is>
          <t>62034290</t>
        </is>
      </c>
      <c r="G2" s="2" t="inlineStr"/>
      <c r="H2" s="2" t="inlineStr"/>
      <c r="I2" s="2" t="inlineStr">
        <is>
          <t>62034290</t>
        </is>
      </c>
      <c r="J2" s="2" t="inlineStr">
        <is>
          <t>Harmonized Total Summer Games Cargo Pants -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49.99</v>
      </c>
      <c r="P2" s="3" t="n">
        <v>49.99</v>
      </c>
      <c r="Q2" s="3">
        <f>O2*K2</f>
        <v/>
      </c>
      <c r="R2" s="3">
        <f>P2-Q2</f>
        <v/>
      </c>
      <c r="S2" s="3" t="n">
        <v>100.96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inlineStr">
        <is>
          <t>62034290</t>
        </is>
      </c>
      <c r="G3" s="4" t="n"/>
      <c r="H3" s="4" t="n"/>
      <c r="I3" s="4" t="inlineStr">
        <is>
          <t>FN-1</t>
        </is>
      </c>
      <c r="J3" s="4" t="inlineStr">
        <is>
          <t>Harmonized Total Summer Games Cargo Pants -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49.99</v>
      </c>
      <c r="P3" s="5" t="n">
        <v>49.99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62034290</t>
        </is>
      </c>
    </row>
    <row r="4">
      <c r="A4" s="2" t="n"/>
      <c r="B4" s="2" t="inlineStr"/>
      <c r="C4" s="2" t="inlineStr">
        <is>
          <t>140070017</t>
        </is>
      </c>
      <c r="D4" s="2" t="inlineStr">
        <is>
          <t>August 6 th , 2024</t>
        </is>
      </c>
      <c r="E4" s="2" t="inlineStr">
        <is>
          <t>T-shirts</t>
        </is>
      </c>
      <c r="F4" s="2" t="inlineStr">
        <is>
          <t>61091000</t>
        </is>
      </c>
      <c r="G4" s="2" t="inlineStr"/>
      <c r="H4" s="2" t="inlineStr"/>
      <c r="I4" s="2" t="inlineStr">
        <is>
          <t>61091000</t>
        </is>
      </c>
      <c r="J4" s="2" t="inlineStr">
        <is>
          <t>Olive - 34 Dipset 145 th St . Short Sleeve Tee - (+1 more) (2 items)</t>
        </is>
      </c>
      <c r="K4" s="2" t="n">
        <v>3</v>
      </c>
      <c r="L4" s="2" t="n"/>
      <c r="M4" s="2" t="inlineStr"/>
      <c r="N4" s="2" t="inlineStr">
        <is>
          <t>USD</t>
        </is>
      </c>
      <c r="O4" s="3" t="n">
        <v>16.99</v>
      </c>
      <c r="P4" s="3" t="n">
        <v>50.97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61091000</t>
        </is>
      </c>
    </row>
    <row r="5">
      <c r="A5" s="4" t="n"/>
      <c r="B5" s="4" t="n"/>
      <c r="C5" s="4" t="n"/>
      <c r="D5" s="4" t="n"/>
      <c r="E5" s="4" t="n"/>
      <c r="F5" s="4" t="inlineStr">
        <is>
          <t>61091000</t>
        </is>
      </c>
      <c r="G5" s="4" t="n"/>
      <c r="H5" s="4" t="n"/>
      <c r="I5" s="4" t="inlineStr">
        <is>
          <t>FN-2</t>
        </is>
      </c>
      <c r="J5" s="4" t="inlineStr">
        <is>
          <t>Olive - 34 Dipset 145 th St . Short Sleeve Tee -</t>
        </is>
      </c>
      <c r="K5" s="4" t="n">
        <v>2</v>
      </c>
      <c r="L5" s="4" t="n"/>
      <c r="M5" s="4" t="inlineStr"/>
      <c r="N5" s="4" t="inlineStr">
        <is>
          <t>USD</t>
        </is>
      </c>
      <c r="O5" s="5" t="n">
        <v>14.99</v>
      </c>
      <c r="P5" s="5" t="n">
        <v>29.98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61091000</t>
        </is>
      </c>
    </row>
    <row r="6">
      <c r="A6" s="4" t="n"/>
      <c r="B6" s="4" t="n"/>
      <c r="C6" s="4" t="n"/>
      <c r="D6" s="4" t="n"/>
      <c r="E6" s="4" t="inlineStr">
        <is>
          <t>T-shirts</t>
        </is>
      </c>
      <c r="F6" s="4" t="inlineStr">
        <is>
          <t>61091000</t>
        </is>
      </c>
      <c r="G6" s="4" t="n"/>
      <c r="H6" s="4" t="n"/>
      <c r="I6" s="4" t="inlineStr">
        <is>
          <t>61091000</t>
        </is>
      </c>
      <c r="J6" s="4" t="inlineStr">
        <is>
          <t>Black - M 21 Savage American Dream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20.99</v>
      </c>
      <c r="P6" s="5" t="n">
        <v>20.99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61091000</t>
        </is>
      </c>
    </row>
    <row r="7">
      <c r="A7" s="6" t="n"/>
      <c r="B7" s="6" t="n"/>
      <c r="C7" s="6" t="n"/>
      <c r="D7" s="6" t="n"/>
      <c r="E7" s="6" t="n"/>
      <c r="F7" s="6" t="inlineStr">
        <is>
          <t>61091000</t>
        </is>
      </c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P2+P4</f>
        <v/>
      </c>
      <c r="Q7" s="7">
        <f>Q2+Q4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inlineStr">
        <is>
          <t>61091000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inlineStr">
        <is>
          <t>DUTY ESTIMATION (Classification Cross-Check)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(USD) = InvTotal + Freight + Insurance</t>
        </is>
      </c>
      <c r="K23" s="13" t="n"/>
      <c r="L23" s="13" t="n"/>
      <c r="M23" s="13" t="n"/>
      <c r="N23" s="13" t="n"/>
      <c r="O23" s="13" t="n"/>
      <c r="P23" s="15" t="n">
        <v>100.96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(XCD) = CIF × 2.7169</t>
        </is>
      </c>
      <c r="K24" s="13" t="n"/>
      <c r="L24" s="13" t="n"/>
      <c r="M24" s="13" t="n"/>
      <c r="N24" s="13" t="n"/>
      <c r="O24" s="13" t="n"/>
      <c r="P24" s="15" t="n">
        <v>274.3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CET (weighted avg 20.0%)</t>
        </is>
      </c>
      <c r="K25" s="13" t="n"/>
      <c r="L25" s="13" t="n"/>
      <c r="M25" s="13" t="n"/>
      <c r="N25" s="13" t="n"/>
      <c r="O25" s="13" t="n"/>
      <c r="P25" s="15" t="n">
        <v>54.86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00000000: 20% CET (50% of value)</t>
        </is>
      </c>
      <c r="K26" s="13" t="n"/>
      <c r="L26" s="13" t="n"/>
      <c r="M26" s="13" t="n"/>
      <c r="N26" s="13" t="n"/>
      <c r="O26" s="13" t="n"/>
      <c r="P26" s="15" t="n">
        <v>27.7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95030090: 20% CET (50% of value)</t>
        </is>
      </c>
      <c r="K27" s="13" t="n"/>
      <c r="L27" s="13" t="n"/>
      <c r="M27" s="13" t="n"/>
      <c r="N27" s="13" t="n"/>
      <c r="O27" s="13" t="n"/>
      <c r="P27" s="15" t="n">
        <v>27.16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CSC (6%)</t>
        </is>
      </c>
      <c r="K28" s="13" t="n"/>
      <c r="L28" s="13" t="n"/>
      <c r="M28" s="13" t="n"/>
      <c r="N28" s="13" t="n"/>
      <c r="O28" s="13" t="n"/>
      <c r="P28" s="15" t="n">
        <v>16.46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VAT (15%) on CIF+CET+CSC</t>
        </is>
      </c>
      <c r="K29" s="13" t="n"/>
      <c r="L29" s="13" t="n"/>
      <c r="M29" s="13" t="n"/>
      <c r="N29" s="13" t="n"/>
      <c r="O29" s="13" t="n"/>
      <c r="P29" s="15" t="n">
        <v>51.84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2" t="inlineStr">
        <is>
          <t>ESTIMATED TOTAL DUTIES</t>
        </is>
      </c>
      <c r="K30" s="16" t="n"/>
      <c r="L30" s="16" t="n"/>
      <c r="M30" s="16" t="n"/>
      <c r="N30" s="16" t="n"/>
      <c r="O30" s="16" t="n"/>
      <c r="P30" s="17" t="n">
        <v>123.16</v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Effective Duty Rate</t>
        </is>
      </c>
      <c r="K31" s="13" t="n"/>
      <c r="L31" s="13" t="n"/>
      <c r="M31" s="13" t="n"/>
      <c r="N31" s="13" t="n"/>
      <c r="O31" s="13" t="n"/>
      <c r="P31" s="18" t="n">
        <v>0.4489974480495807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2026-04-20T00:05:56Z</dcterms:created>
  <dcterms:modified xsi:type="dcterms:W3CDTF">2026-04-20T00:08:08Z</dcterms:modified>
</cp:coreProperties>
</file>