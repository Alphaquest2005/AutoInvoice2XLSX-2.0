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138984731</t>
        </is>
      </c>
      <c r="D2" s="2" t="inlineStr">
        <is>
          <t>July 17th, 2024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00000000</t>
        </is>
      </c>
      <c r="J2" s="2" t="inlineStr">
        <is>
          <t>Harmonized Total . Amount Emma Ribbed Tank - Camel _—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</v>
      </c>
      <c r="P2" s="3" t="n">
        <v>6</v>
      </c>
      <c r="Q2" s="3">
        <f>O2*K2</f>
        <v/>
      </c>
      <c r="R2" s="3">
        <f>P2-Q2</f>
        <v/>
      </c>
      <c r="S2" s="3" t="n">
        <v>83.43000000000001</v>
      </c>
      <c r="T2" s="3" t="n">
        <v>0</v>
      </c>
      <c r="U2" s="3" t="n">
        <v>0</v>
      </c>
      <c r="V2" s="3" t="n">
        <v>5.46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FN-1</t>
        </is>
      </c>
      <c r="J3" s="4" t="inlineStr">
        <is>
          <t>Harmonized Total . Amount Emma Ribbed Tank - Camel _—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6</v>
      </c>
      <c r="P3" s="5" t="n">
        <v>6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138984731</t>
        </is>
      </c>
      <c r="D4" s="2" t="inlineStr">
        <is>
          <t>July 17th, 2024</t>
        </is>
      </c>
      <c r="E4" s="2" t="inlineStr">
        <is>
          <t>Trousers and shorts</t>
        </is>
      </c>
      <c r="F4" s="2" t="inlineStr">
        <is>
          <t>62034290</t>
        </is>
      </c>
      <c r="G4" s="2" t="inlineStr"/>
      <c r="H4" s="2" t="inlineStr"/>
      <c r="I4" s="2" t="inlineStr">
        <is>
          <t>62034290</t>
        </is>
      </c>
      <c r="J4" s="2" t="inlineStr">
        <is>
          <t>Glistening Jeans-Olive-5 1 $11.98 $0.84.» $0.00 ~—«$0.00 $12.82 Always InA Good Mood Pant 1 , (1 items)</t>
        </is>
      </c>
      <c r="K4" s="2" t="n">
        <v>7</v>
      </c>
      <c r="L4" s="2" t="n"/>
      <c r="M4" s="2" t="inlineStr"/>
      <c r="N4" s="2" t="inlineStr">
        <is>
          <t>USD</t>
        </is>
      </c>
      <c r="O4" s="3" t="n">
        <v>1.99</v>
      </c>
      <c r="P4" s="3" t="n">
        <v>13.93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62034290</t>
        </is>
      </c>
    </row>
    <row r="5">
      <c r="A5" s="4" t="n"/>
      <c r="B5" s="4" t="n"/>
      <c r="C5" s="4" t="n"/>
      <c r="D5" s="4" t="n"/>
      <c r="E5" s="4" t="n"/>
      <c r="F5" s="4" t="inlineStr">
        <is>
          <t>62034290</t>
        </is>
      </c>
      <c r="G5" s="4" t="n"/>
      <c r="H5" s="4" t="n"/>
      <c r="I5" s="4" t="inlineStr">
        <is>
          <t>FN-2</t>
        </is>
      </c>
      <c r="J5" s="4" t="inlineStr">
        <is>
          <t>Glistening Jeans-Olive-5 1 $11.98 $0.84.» $0.00 ~—«$0.00 $12.82 Always InA Good Mood Pant 1 ,</t>
        </is>
      </c>
      <c r="K5" s="4" t="n">
        <v>7</v>
      </c>
      <c r="L5" s="4" t="n"/>
      <c r="M5" s="4" t="inlineStr"/>
      <c r="N5" s="4" t="inlineStr">
        <is>
          <t>USD</t>
        </is>
      </c>
      <c r="O5" s="5" t="n">
        <v>1.99</v>
      </c>
      <c r="P5" s="5" t="n">
        <v>13.93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138984731</t>
        </is>
      </c>
      <c r="D6" s="2" t="inlineStr">
        <is>
          <t>July 17th, 2024</t>
        </is>
      </c>
      <c r="E6" s="2" t="inlineStr">
        <is>
          <t>HAND TOOLS</t>
        </is>
      </c>
      <c r="F6" s="2" t="inlineStr">
        <is>
          <t>82059000</t>
        </is>
      </c>
      <c r="G6" s="2" t="inlineStr"/>
      <c r="H6" s="2" t="inlineStr"/>
      <c r="I6" s="2" t="inlineStr">
        <is>
          <t>82059000</t>
        </is>
      </c>
      <c r="J6" s="2" t="inlineStr">
        <is>
          <t>Set - Green/combo - S Maya Bandage Midi Dress- (1 items)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59.99</v>
      </c>
      <c r="P6" s="3" t="n">
        <v>59.99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82059000</t>
        </is>
      </c>
    </row>
    <row r="7">
      <c r="A7" s="4" t="n"/>
      <c r="B7" s="4" t="n"/>
      <c r="C7" s="4" t="n"/>
      <c r="D7" s="4" t="n"/>
      <c r="E7" s="4" t="n"/>
      <c r="F7" s="4" t="inlineStr">
        <is>
          <t>82059000</t>
        </is>
      </c>
      <c r="G7" s="4" t="n"/>
      <c r="H7" s="4" t="n"/>
      <c r="I7" s="4" t="inlineStr">
        <is>
          <t>FN-3</t>
        </is>
      </c>
      <c r="J7" s="4" t="inlineStr">
        <is>
          <t>Set - Green/combo - S Maya Bandage Midi Dress-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59.99</v>
      </c>
      <c r="P7" s="5" t="n">
        <v>59.99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P2+P4+P6</f>
        <v/>
      </c>
      <c r="Q8" s="7">
        <f>Q2+Q4+Q6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5.46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inlineStr">
        <is>
          <t>DUTY ESTIMATION (Classification Cross-Check)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(USD) = InvTotal + Freight + Insurance</t>
        </is>
      </c>
      <c r="K24" s="13" t="n"/>
      <c r="L24" s="13" t="n"/>
      <c r="M24" s="13" t="n"/>
      <c r="N24" s="13" t="n"/>
      <c r="O24" s="13" t="n"/>
      <c r="P24" s="15" t="n">
        <v>83.43000000000001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(XCD) = CIF × 2.7169</t>
        </is>
      </c>
      <c r="K25" s="13" t="n"/>
      <c r="L25" s="13" t="n"/>
      <c r="M25" s="13" t="n"/>
      <c r="N25" s="13" t="n"/>
      <c r="O25" s="13" t="n"/>
      <c r="P25" s="15" t="n">
        <v>226.67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CET (weighted avg 8.7%)</t>
        </is>
      </c>
      <c r="K26" s="13" t="n"/>
      <c r="L26" s="13" t="n"/>
      <c r="M26" s="13" t="n"/>
      <c r="N26" s="13" t="n"/>
      <c r="O26" s="13" t="n"/>
      <c r="P26" s="15" t="n">
        <v>19.81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00000000: 20% CET (8% of value)</t>
        </is>
      </c>
      <c r="K27" s="13" t="n"/>
      <c r="L27" s="13" t="n"/>
      <c r="M27" s="13" t="n"/>
      <c r="N27" s="13" t="n"/>
      <c r="O27" s="13" t="n"/>
      <c r="P27" s="15" t="n">
        <v>3.4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62034290: 20% CET (17% of value)</t>
        </is>
      </c>
      <c r="K28" s="13" t="n"/>
      <c r="L28" s="13" t="n"/>
      <c r="M28" s="13" t="n"/>
      <c r="N28" s="13" t="n"/>
      <c r="O28" s="13" t="n"/>
      <c r="P28" s="15" t="n">
        <v>7.9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82059000: 5% CET (75% of value)</t>
        </is>
      </c>
      <c r="K29" s="13" t="n"/>
      <c r="L29" s="13" t="n"/>
      <c r="M29" s="13" t="n"/>
      <c r="N29" s="13" t="n"/>
      <c r="O29" s="13" t="n"/>
      <c r="P29" s="15" t="n">
        <v>8.51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CSC (6%)</t>
        </is>
      </c>
      <c r="K30" s="13" t="n"/>
      <c r="L30" s="13" t="n"/>
      <c r="M30" s="13" t="n"/>
      <c r="N30" s="13" t="n"/>
      <c r="O30" s="13" t="n"/>
      <c r="P30" s="15" t="n">
        <v>13.6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VAT (15%) on CIF+CET+CSC</t>
        </is>
      </c>
      <c r="K31" s="13" t="n"/>
      <c r="L31" s="13" t="n"/>
      <c r="M31" s="13" t="n"/>
      <c r="N31" s="13" t="n"/>
      <c r="O31" s="13" t="n"/>
      <c r="P31" s="15" t="n">
        <v>39.01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2" t="inlineStr">
        <is>
          <t>ESTIMATED TOTAL DUTIES</t>
        </is>
      </c>
      <c r="K32" s="16" t="n"/>
      <c r="L32" s="16" t="n"/>
      <c r="M32" s="16" t="n"/>
      <c r="N32" s="16" t="n"/>
      <c r="O32" s="16" t="n"/>
      <c r="P32" s="17" t="n">
        <v>72.42</v>
      </c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Effective Duty Rate</t>
        </is>
      </c>
      <c r="K33" s="13" t="n"/>
      <c r="L33" s="13" t="n"/>
      <c r="M33" s="13" t="n"/>
      <c r="N33" s="13" t="n"/>
      <c r="O33" s="13" t="n"/>
      <c r="P33" s="18" t="n">
        <v>0.3194953015396833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2026-04-20T11:20:21Z</dcterms:created>
  <dcterms:modified xsi:type="dcterms:W3CDTF">2026-04-20T11:20:28Z</dcterms:modified>
</cp:coreProperties>
</file>