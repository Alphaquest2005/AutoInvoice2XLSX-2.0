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5" borderId="1" pivotButton="0" quotePrefix="0" xfId="0"/>
    <xf numFmtId="4" fontId="8" fillId="5" borderId="1" pivotButton="0" quotePrefix="0" xfId="0"/>
    <xf numFmtId="0" fontId="9" fillId="0" borderId="1" pivotButton="0" quotePrefix="0" xfId="0"/>
    <xf numFmtId="4" fontId="9" fillId="0" borderId="1" pivotButton="0" quotePrefix="0" xfId="0"/>
    <xf numFmtId="0" fontId="8" fillId="0" borderId="1" pivotButton="0" quotePrefix="0" xfId="0"/>
    <xf numFmtId="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138984731</t>
        </is>
      </c>
      <c r="D2" s="2" t="inlineStr">
        <is>
          <t>July 17th, 2024</t>
        </is>
      </c>
      <c r="E2" s="2" t="inlineStr">
        <is>
          <t>Trousers and shorts</t>
        </is>
      </c>
      <c r="F2" s="2" t="inlineStr">
        <is>
          <t>62034290</t>
        </is>
      </c>
      <c r="G2" s="2" t="inlineStr"/>
      <c r="H2" s="2" t="inlineStr"/>
      <c r="I2" s="2" t="inlineStr">
        <is>
          <t>62034290</t>
        </is>
      </c>
      <c r="J2" s="2" t="inlineStr">
        <is>
          <t>Glistening Jeans-Olive-5 1 $11.98 $0.84.» $0.00 ~—«$0.00 $12.82 Always InA Good Mood Pant 1 , (1 items)</t>
        </is>
      </c>
      <c r="K2" s="2" t="n">
        <v>7</v>
      </c>
      <c r="L2" s="2" t="n"/>
      <c r="M2" s="2" t="inlineStr"/>
      <c r="N2" s="2" t="inlineStr">
        <is>
          <t>USD</t>
        </is>
      </c>
      <c r="O2" s="3" t="n">
        <v>1.99</v>
      </c>
      <c r="P2" s="3" t="n">
        <v>13.93</v>
      </c>
      <c r="Q2" s="3">
        <f>O2*K2</f>
        <v/>
      </c>
      <c r="R2" s="3">
        <f>P2-Q2</f>
        <v/>
      </c>
      <c r="S2" s="3" t="n">
        <v>21.88</v>
      </c>
      <c r="T2" s="3" t="n">
        <v>7</v>
      </c>
      <c r="U2" s="3" t="n">
        <v>0</v>
      </c>
      <c r="V2" s="3" t="n">
        <v>0.95</v>
      </c>
      <c r="W2" s="3" t="n">
        <v>0</v>
      </c>
      <c r="X2" s="2" t="n">
        <v>1</v>
      </c>
      <c r="Y2" s="2" t="n"/>
      <c r="Z2" s="2" t="inlineStr">
        <is>
          <t>FASHION</t>
        </is>
      </c>
      <c r="AA2" s="2" t="inlineStr">
        <is>
          <t>Fashion Nova</t>
        </is>
      </c>
      <c r="AB2" s="2" t="inlineStr">
        <is>
          <t>2801 E. 46th Street, Vernon, CA 90058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62034290</t>
        </is>
      </c>
    </row>
    <row r="3">
      <c r="A3" s="4" t="n"/>
      <c r="B3" s="4" t="n"/>
      <c r="C3" s="4" t="n"/>
      <c r="D3" s="4" t="n"/>
      <c r="E3" s="4" t="n"/>
      <c r="F3" s="4" t="inlineStr">
        <is>
          <t>62034290</t>
        </is>
      </c>
      <c r="G3" s="4" t="n"/>
      <c r="H3" s="4" t="n"/>
      <c r="I3" s="4" t="inlineStr">
        <is>
          <t>FN-2</t>
        </is>
      </c>
      <c r="J3" s="4" t="inlineStr">
        <is>
          <t>Glistening Jeans-Olive-5 1 $11.98 $0.84.» $0.00 ~—«$0.00 $12.82 Always InA Good Mood Pant 1 ,</t>
        </is>
      </c>
      <c r="K3" s="4" t="n">
        <v>7</v>
      </c>
      <c r="L3" s="4" t="n"/>
      <c r="M3" s="4" t="inlineStr"/>
      <c r="N3" s="4" t="inlineStr">
        <is>
          <t>USD</t>
        </is>
      </c>
      <c r="O3" s="5" t="n">
        <v>1.99</v>
      </c>
      <c r="P3" s="5" t="n">
        <v>13.93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7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0.95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28.88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78.45999999999999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62034290</t>
        </is>
      </c>
      <c r="K22" s="13" t="n"/>
      <c r="L22" s="13" t="n"/>
      <c r="M22" s="13" t="n"/>
      <c r="N22" s="13" t="n"/>
      <c r="O22" s="13" t="n"/>
      <c r="P22" s="15" t="n">
        <v>15.69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4.71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14.83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35.23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0.4490186082080041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/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inlineStr">
        <is>
          <t>Items on other declaration(s) (2 items)</t>
        </is>
      </c>
      <c r="K28" s="19" t="n"/>
      <c r="L28" s="19" t="n"/>
      <c r="M28" s="19" t="n"/>
      <c r="N28" s="19" t="n"/>
      <c r="O28" s="19" t="n"/>
      <c r="P28" s="20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</row>
    <row r="29">
      <c r="A29" s="19" t="n"/>
      <c r="B29" s="19" t="n"/>
      <c r="C29" s="19" t="n"/>
      <c r="D29" s="19" t="n"/>
      <c r="E29" s="19" t="inlineStr">
        <is>
          <t>PRODUCTS</t>
        </is>
      </c>
      <c r="F29" s="19" t="inlineStr">
        <is>
          <t>00000000</t>
        </is>
      </c>
      <c r="G29" s="19" t="n"/>
      <c r="H29" s="19" t="n"/>
      <c r="I29" s="19" t="n"/>
      <c r="J29" s="19" t="inlineStr">
        <is>
          <t>Harmonized Total . Amount Emma Ribbed Tank - Camel _— (1 items)</t>
        </is>
      </c>
      <c r="K29" s="19" t="n">
        <v>1</v>
      </c>
      <c r="L29" s="19" t="n"/>
      <c r="M29" s="19" t="n"/>
      <c r="N29" s="19" t="inlineStr">
        <is>
          <t>USD</t>
        </is>
      </c>
      <c r="O29" s="20" t="n">
        <v>6</v>
      </c>
      <c r="P29" s="20" t="n">
        <v>6</v>
      </c>
      <c r="Q29" s="20" t="n"/>
      <c r="R29" s="20" t="n"/>
      <c r="S29" s="20" t="n"/>
      <c r="T29" s="20" t="n"/>
      <c r="U29" s="20" t="n"/>
      <c r="V29" s="20" t="n"/>
      <c r="W29" s="20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inlineStr">
        <is>
          <t>FN-1</t>
        </is>
      </c>
      <c r="J30" s="21" t="inlineStr">
        <is>
          <t>Harmonized Total . Amount Emma Ribbed Tank - Camel _—</t>
        </is>
      </c>
      <c r="K30" s="21" t="n">
        <v>1</v>
      </c>
      <c r="L30" s="21" t="n"/>
      <c r="M30" s="21" t="n"/>
      <c r="N30" s="21" t="inlineStr">
        <is>
          <t>USD</t>
        </is>
      </c>
      <c r="O30" s="22" t="n">
        <v>6</v>
      </c>
      <c r="P30" s="22" t="n">
        <v>6</v>
      </c>
      <c r="Q30" s="22" t="n"/>
      <c r="R30" s="22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</row>
    <row r="31">
      <c r="A31" s="19" t="n"/>
      <c r="B31" s="19" t="n"/>
      <c r="C31" s="19" t="n"/>
      <c r="D31" s="19" t="n"/>
      <c r="E31" s="19" t="inlineStr">
        <is>
          <t>HAND TOOLS</t>
        </is>
      </c>
      <c r="F31" s="19" t="inlineStr">
        <is>
          <t>82059000</t>
        </is>
      </c>
      <c r="G31" s="19" t="n"/>
      <c r="H31" s="19" t="n"/>
      <c r="I31" s="19" t="n"/>
      <c r="J31" s="19" t="inlineStr">
        <is>
          <t>Set - Green/combo - S Maya Bandage Midi Dress- (1 items)</t>
        </is>
      </c>
      <c r="K31" s="19" t="n">
        <v>1</v>
      </c>
      <c r="L31" s="19" t="n"/>
      <c r="M31" s="19" t="n"/>
      <c r="N31" s="19" t="inlineStr">
        <is>
          <t>USD</t>
        </is>
      </c>
      <c r="O31" s="20" t="n">
        <v>59.99</v>
      </c>
      <c r="P31" s="20" t="n">
        <v>59.99</v>
      </c>
      <c r="Q31" s="20" t="n"/>
      <c r="R31" s="20" t="n"/>
      <c r="S31" s="20" t="n"/>
      <c r="T31" s="20" t="n"/>
      <c r="U31" s="20" t="n"/>
      <c r="V31" s="20" t="n"/>
      <c r="W31" s="20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inlineStr">
        <is>
          <t>FN-3</t>
        </is>
      </c>
      <c r="J32" s="21" t="inlineStr">
        <is>
          <t>Set - Green/combo - S Maya Bandage Midi Dress-</t>
        </is>
      </c>
      <c r="K32" s="21" t="n">
        <v>1</v>
      </c>
      <c r="L32" s="21" t="n"/>
      <c r="M32" s="21" t="n"/>
      <c r="N32" s="21" t="inlineStr">
        <is>
          <t>USD</t>
        </is>
      </c>
      <c r="O32" s="22" t="n">
        <v>59.99</v>
      </c>
      <c r="P32" s="22" t="n">
        <v>59.99</v>
      </c>
      <c r="Q32" s="22" t="n"/>
      <c r="R32" s="22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inlineStr">
        <is>
          <t>REFERENCE SUBTOTAL</t>
        </is>
      </c>
      <c r="K33" s="23" t="n"/>
      <c r="L33" s="23" t="n"/>
      <c r="M33" s="23" t="n"/>
      <c r="N33" s="23" t="n"/>
      <c r="O33" s="23" t="n"/>
      <c r="P33" s="24" t="n">
        <v>65.99000000000001</v>
      </c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inlineStr">
        <is>
          <t>REFERENCE FREIGHT</t>
        </is>
      </c>
      <c r="K34" s="23" t="n"/>
      <c r="L34" s="23" t="n"/>
      <c r="M34" s="23" t="n"/>
      <c r="N34" s="23" t="n"/>
      <c r="O34" s="23" t="n"/>
      <c r="P34" s="24" t="n">
        <v>7</v>
      </c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inlineStr">
        <is>
          <t>REFERENCE INSURANCE</t>
        </is>
      </c>
      <c r="K35" s="23" t="n"/>
      <c r="L35" s="23" t="n"/>
      <c r="M35" s="23" t="n"/>
      <c r="N35" s="23" t="n"/>
      <c r="O35" s="23" t="n"/>
      <c r="P35" s="24" t="n">
        <v>0</v>
      </c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inlineStr">
        <is>
          <t>REFERENCE OTHER COST</t>
        </is>
      </c>
      <c r="K36" s="23" t="n"/>
      <c r="L36" s="23" t="n"/>
      <c r="M36" s="23" t="n"/>
      <c r="N36" s="23" t="n"/>
      <c r="O36" s="23" t="n"/>
      <c r="P36" s="24" t="n">
        <v>4.51</v>
      </c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inlineStr">
        <is>
          <t>REFERENCE DEDUCTION</t>
        </is>
      </c>
      <c r="K37" s="23" t="n"/>
      <c r="L37" s="23" t="n"/>
      <c r="M37" s="23" t="n"/>
      <c r="N37" s="23" t="n"/>
      <c r="O37" s="23" t="n"/>
      <c r="P37" s="24" t="n">
        <v>0</v>
      </c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inlineStr">
        <is>
          <t>REFERENCE ADJUSTMENTS</t>
        </is>
      </c>
      <c r="K38" s="23" t="n"/>
      <c r="L38" s="23" t="n"/>
      <c r="M38" s="23" t="n"/>
      <c r="N38" s="23" t="n"/>
      <c r="O38" s="23" t="n"/>
      <c r="P38" s="24">
        <f>P34+P35+P36-P37</f>
        <v/>
      </c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inlineStr">
        <is>
          <t>REFERENCE NET TOTAL</t>
        </is>
      </c>
      <c r="K39" s="23" t="n"/>
      <c r="L39" s="23" t="n"/>
      <c r="M39" s="23" t="n"/>
      <c r="N39" s="23" t="n"/>
      <c r="O39" s="23" t="n"/>
      <c r="P39" s="24">
        <f>P33+P38</f>
        <v/>
      </c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inlineStr">
        <is>
          <t>COMBINED ITEMS TOTAL</t>
        </is>
      </c>
      <c r="K41" s="23" t="n"/>
      <c r="L41" s="23" t="n"/>
      <c r="M41" s="23" t="n"/>
      <c r="N41" s="23" t="n"/>
      <c r="O41" s="23" t="n"/>
      <c r="P41" s="24">
        <f>P4+P33</f>
        <v/>
      </c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inlineStr">
        <is>
          <t>FULL INVOICE FREIGHT</t>
        </is>
      </c>
      <c r="K42" s="23" t="n"/>
      <c r="L42" s="23" t="n"/>
      <c r="M42" s="23" t="n"/>
      <c r="N42" s="23" t="n"/>
      <c r="O42" s="23" t="n"/>
      <c r="P42" s="24">
        <f>P8+P34</f>
        <v/>
      </c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inlineStr">
        <is>
          <t>FULL INVOICE INSURANCE</t>
        </is>
      </c>
      <c r="K43" s="23" t="n"/>
      <c r="L43" s="23" t="n"/>
      <c r="M43" s="23" t="n"/>
      <c r="N43" s="23" t="n"/>
      <c r="O43" s="23" t="n"/>
      <c r="P43" s="24">
        <f>P9+P35</f>
        <v/>
      </c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inlineStr">
        <is>
          <t>FULL INVOICE OTHER COST</t>
        </is>
      </c>
      <c r="K44" s="23" t="n"/>
      <c r="L44" s="23" t="n"/>
      <c r="M44" s="23" t="n"/>
      <c r="N44" s="23" t="n"/>
      <c r="O44" s="23" t="n"/>
      <c r="P44" s="24">
        <f>P10+P36</f>
        <v/>
      </c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inlineStr">
        <is>
          <t>FULL INVOICE DEDUCTION</t>
        </is>
      </c>
      <c r="K45" s="23" t="n"/>
      <c r="L45" s="23" t="n"/>
      <c r="M45" s="23" t="n"/>
      <c r="N45" s="23" t="n"/>
      <c r="O45" s="23" t="n"/>
      <c r="P45" s="24">
        <f>P11+P37</f>
        <v/>
      </c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inlineStr">
        <is>
          <t>FULL ADJUSTMENTS</t>
        </is>
      </c>
      <c r="K46" s="23" t="n"/>
      <c r="L46" s="23" t="n"/>
      <c r="M46" s="23" t="n"/>
      <c r="N46" s="23" t="n"/>
      <c r="O46" s="23" t="n"/>
      <c r="P46" s="24">
        <f>P42+P43+P44-P45</f>
        <v/>
      </c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inlineStr">
        <is>
          <t>COMBINED NET TOTAL</t>
        </is>
      </c>
      <c r="K47" s="23" t="n"/>
      <c r="L47" s="23" t="n"/>
      <c r="M47" s="23" t="n"/>
      <c r="N47" s="23" t="n"/>
      <c r="O47" s="23" t="n"/>
      <c r="P47" s="24">
        <f>P41+P46</f>
        <v/>
      </c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inlineStr">
        <is>
          <t>FULL INVOICE TOTAL</t>
        </is>
      </c>
      <c r="K48" s="23" t="n"/>
      <c r="L48" s="23" t="n"/>
      <c r="M48" s="23" t="n"/>
      <c r="N48" s="23" t="n"/>
      <c r="O48" s="23" t="n"/>
      <c r="P48" s="24" t="n">
        <v>99.38</v>
      </c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inlineStr">
        <is>
          <t>COMBINED VARIANCE CHECK</t>
        </is>
      </c>
      <c r="K49" s="23" t="n"/>
      <c r="L49" s="23" t="n"/>
      <c r="M49" s="23" t="n"/>
      <c r="N49" s="23" t="n"/>
      <c r="O49" s="23" t="n"/>
      <c r="P49" s="24">
        <f>P48-P47</f>
        <v/>
      </c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2026-04-20T11:20:29Z</dcterms:created>
  <dcterms:modified xsi:type="dcterms:W3CDTF">2026-04-20T11:20:30Z</dcterms:modified>
</cp:coreProperties>
</file>