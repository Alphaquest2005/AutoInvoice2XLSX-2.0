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5" borderId="1" pivotButton="0" quotePrefix="0" xfId="0"/>
    <xf numFmtId="4" fontId="8" fillId="5" borderId="1" pivotButton="0" quotePrefix="0" xfId="0"/>
    <xf numFmtId="0" fontId="9" fillId="0" borderId="1" pivotButton="0" quotePrefix="0" xfId="0"/>
    <xf numFmtId="4" fontId="9" fillId="0" borderId="1" pivotButton="0" quotePrefix="0" xfId="0"/>
    <xf numFmtId="0" fontId="8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138984731</t>
        </is>
      </c>
      <c r="D2" s="2" t="inlineStr">
        <is>
          <t>July 17th, 2024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Harmonized Total . Amount Emma Ribbed Tank - Camel _—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6</v>
      </c>
      <c r="P2" s="3" t="n">
        <v>6</v>
      </c>
      <c r="Q2" s="3">
        <f>O2*K2</f>
        <v/>
      </c>
      <c r="R2" s="3">
        <f>P2-Q2</f>
        <v/>
      </c>
      <c r="S2" s="3" t="n">
        <v>77.5</v>
      </c>
      <c r="T2" s="3" t="n">
        <v>7</v>
      </c>
      <c r="U2" s="3" t="n">
        <v>0</v>
      </c>
      <c r="V2" s="3" t="n">
        <v>4.51</v>
      </c>
      <c r="W2" s="3" t="n">
        <v>0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FN-1</t>
        </is>
      </c>
      <c r="J3" s="4" t="inlineStr">
        <is>
          <t>Harmonized Total . Amount Emma Ribbed Tank - Camel _—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6</v>
      </c>
      <c r="P3" s="5" t="n">
        <v>6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138984731</t>
        </is>
      </c>
      <c r="D4" s="2" t="inlineStr">
        <is>
          <t>July 17th, 2024</t>
        </is>
      </c>
      <c r="E4" s="2" t="inlineStr">
        <is>
          <t>HAND TOOLS</t>
        </is>
      </c>
      <c r="F4" s="2" t="inlineStr">
        <is>
          <t>82059000</t>
        </is>
      </c>
      <c r="G4" s="2" t="inlineStr"/>
      <c r="H4" s="2" t="inlineStr"/>
      <c r="I4" s="2" t="inlineStr">
        <is>
          <t>82059000</t>
        </is>
      </c>
      <c r="J4" s="2" t="inlineStr">
        <is>
          <t>Set - Green/combo - S Maya Bandage Midi Dress-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59.99</v>
      </c>
      <c r="P4" s="3" t="n">
        <v>59.99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82059000</t>
        </is>
      </c>
    </row>
    <row r="5">
      <c r="A5" s="4" t="n"/>
      <c r="B5" s="4" t="n"/>
      <c r="C5" s="4" t="n"/>
      <c r="D5" s="4" t="n"/>
      <c r="E5" s="4" t="n"/>
      <c r="F5" s="4" t="inlineStr">
        <is>
          <t>82059000</t>
        </is>
      </c>
      <c r="G5" s="4" t="n"/>
      <c r="H5" s="4" t="n"/>
      <c r="I5" s="4" t="inlineStr">
        <is>
          <t>FN-3</t>
        </is>
      </c>
      <c r="J5" s="4" t="inlineStr">
        <is>
          <t>Set - Green/combo - S Maya Bandage Midi Dress-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59.99</v>
      </c>
      <c r="P5" s="5" t="n">
        <v>59.99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7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4.51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84.5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229.58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6.4%)</t>
        </is>
      </c>
      <c r="K24" s="13" t="n"/>
      <c r="L24" s="13" t="n"/>
      <c r="M24" s="13" t="n"/>
      <c r="N24" s="13" t="n"/>
      <c r="O24" s="13" t="n"/>
      <c r="P24" s="15" t="n">
        <v>14.61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00000000: 20% CET (9% of value)</t>
        </is>
      </c>
      <c r="K25" s="13" t="n"/>
      <c r="L25" s="13" t="n"/>
      <c r="M25" s="13" t="n"/>
      <c r="N25" s="13" t="n"/>
      <c r="O25" s="13" t="n"/>
      <c r="P25" s="15" t="n">
        <v>4.17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82059000: 5% CET (91% of value)</t>
        </is>
      </c>
      <c r="K26" s="13" t="n"/>
      <c r="L26" s="13" t="n"/>
      <c r="M26" s="13" t="n"/>
      <c r="N26" s="13" t="n"/>
      <c r="O26" s="13" t="n"/>
      <c r="P26" s="15" t="n">
        <v>10.44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13.77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38.69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67.06999999999999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0.2921421726631239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/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inlineStr">
        <is>
          <t>Items on other declaration(s) (1 items)</t>
        </is>
      </c>
      <c r="K32" s="19" t="n"/>
      <c r="L32" s="19" t="n"/>
      <c r="M32" s="19" t="n"/>
      <c r="N32" s="19" t="n"/>
      <c r="O32" s="19" t="n"/>
      <c r="P32" s="20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</row>
    <row r="33">
      <c r="A33" s="19" t="n"/>
      <c r="B33" s="19" t="n"/>
      <c r="C33" s="19" t="n"/>
      <c r="D33" s="19" t="n"/>
      <c r="E33" s="19" t="inlineStr">
        <is>
          <t>Trousers and shorts</t>
        </is>
      </c>
      <c r="F33" s="19" t="inlineStr">
        <is>
          <t>62034290</t>
        </is>
      </c>
      <c r="G33" s="19" t="n"/>
      <c r="H33" s="19" t="n"/>
      <c r="I33" s="19" t="n"/>
      <c r="J33" s="19" t="inlineStr">
        <is>
          <t>Glistening Jeans-Olive-5 1 $11.98 $0.84.» $0.00 ~—«$0.00 $12.82 Always InA Good Mood Pant 1 , (1 items)</t>
        </is>
      </c>
      <c r="K33" s="19" t="n">
        <v>7</v>
      </c>
      <c r="L33" s="19" t="n"/>
      <c r="M33" s="19" t="n"/>
      <c r="N33" s="19" t="inlineStr">
        <is>
          <t>USD</t>
        </is>
      </c>
      <c r="O33" s="20" t="n">
        <v>13.93</v>
      </c>
      <c r="P33" s="20" t="n">
        <v>13.93</v>
      </c>
      <c r="Q33" s="20" t="n"/>
      <c r="R33" s="20" t="n"/>
      <c r="S33" s="20" t="n"/>
      <c r="T33" s="20" t="n"/>
      <c r="U33" s="20" t="n"/>
      <c r="V33" s="20" t="n"/>
      <c r="W33" s="20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inlineStr">
        <is>
          <t>FN-2</t>
        </is>
      </c>
      <c r="J34" s="21" t="inlineStr">
        <is>
          <t>Glistening Jeans-Olive-5 1 $11.98 $0.84.» $0.00 ~—«$0.00 $12.82 Always InA Good Mood Pant 1 ,</t>
        </is>
      </c>
      <c r="K34" s="21" t="n">
        <v>7</v>
      </c>
      <c r="L34" s="21" t="n"/>
      <c r="M34" s="21" t="n"/>
      <c r="N34" s="21" t="inlineStr">
        <is>
          <t>USD</t>
        </is>
      </c>
      <c r="O34" s="22" t="n">
        <v>1.99</v>
      </c>
      <c r="P34" s="22" t="n">
        <v>13.93</v>
      </c>
      <c r="Q34" s="22" t="n"/>
      <c r="R34" s="22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inlineStr">
        <is>
          <t>REFERENCE SUBTOTAL</t>
        </is>
      </c>
      <c r="K35" s="23" t="n"/>
      <c r="L35" s="23" t="n"/>
      <c r="M35" s="23" t="n"/>
      <c r="N35" s="23" t="n"/>
      <c r="O35" s="23" t="n"/>
      <c r="P35" s="24" t="n">
        <v>13.93</v>
      </c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inlineStr">
        <is>
          <t>REFERENCE FREIGHT</t>
        </is>
      </c>
      <c r="K36" s="23" t="n"/>
      <c r="L36" s="23" t="n"/>
      <c r="M36" s="23" t="n"/>
      <c r="N36" s="23" t="n"/>
      <c r="O36" s="23" t="n"/>
      <c r="P36" s="24" t="n">
        <v>7</v>
      </c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inlineStr">
        <is>
          <t>REFERENCE INSURANCE</t>
        </is>
      </c>
      <c r="K37" s="23" t="n"/>
      <c r="L37" s="23" t="n"/>
      <c r="M37" s="23" t="n"/>
      <c r="N37" s="23" t="n"/>
      <c r="O37" s="23" t="n"/>
      <c r="P37" s="24" t="n">
        <v>0</v>
      </c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inlineStr">
        <is>
          <t>REFERENCE OTHER COST</t>
        </is>
      </c>
      <c r="K38" s="23" t="n"/>
      <c r="L38" s="23" t="n"/>
      <c r="M38" s="23" t="n"/>
      <c r="N38" s="23" t="n"/>
      <c r="O38" s="23" t="n"/>
      <c r="P38" s="24" t="n">
        <v>0.95</v>
      </c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inlineStr">
        <is>
          <t>REFERENCE DEDUCTION</t>
        </is>
      </c>
      <c r="K39" s="23" t="n"/>
      <c r="L39" s="23" t="n"/>
      <c r="M39" s="23" t="n"/>
      <c r="N39" s="23" t="n"/>
      <c r="O39" s="23" t="n"/>
      <c r="P39" s="24" t="n">
        <v>0</v>
      </c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inlineStr">
        <is>
          <t>REFERENCE ADJUSTMENTS</t>
        </is>
      </c>
      <c r="K40" s="23" t="n"/>
      <c r="L40" s="23" t="n"/>
      <c r="M40" s="23" t="n"/>
      <c r="N40" s="23" t="n"/>
      <c r="O40" s="23" t="n"/>
      <c r="P40" s="24">
        <f>P36+P37+P38-P39</f>
        <v/>
      </c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inlineStr">
        <is>
          <t>REFERENCE NET TOTAL</t>
        </is>
      </c>
      <c r="K41" s="23" t="n"/>
      <c r="L41" s="23" t="n"/>
      <c r="M41" s="23" t="n"/>
      <c r="N41" s="23" t="n"/>
      <c r="O41" s="23" t="n"/>
      <c r="P41" s="24">
        <f>P35+P40</f>
        <v/>
      </c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inlineStr">
        <is>
          <t>COMBINED ITEMS TOTAL</t>
        </is>
      </c>
      <c r="K43" s="23" t="n"/>
      <c r="L43" s="23" t="n"/>
      <c r="M43" s="23" t="n"/>
      <c r="N43" s="23" t="n"/>
      <c r="O43" s="23" t="n"/>
      <c r="P43" s="24">
        <f>P6+P35</f>
        <v/>
      </c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inlineStr">
        <is>
          <t>FULL INVOICE FREIGHT</t>
        </is>
      </c>
      <c r="K44" s="23" t="n"/>
      <c r="L44" s="23" t="n"/>
      <c r="M44" s="23" t="n"/>
      <c r="N44" s="23" t="n"/>
      <c r="O44" s="23" t="n"/>
      <c r="P44" s="24">
        <f>P10+P36</f>
        <v/>
      </c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inlineStr">
        <is>
          <t>FULL INVOICE INSURANCE</t>
        </is>
      </c>
      <c r="K45" s="23" t="n"/>
      <c r="L45" s="23" t="n"/>
      <c r="M45" s="23" t="n"/>
      <c r="N45" s="23" t="n"/>
      <c r="O45" s="23" t="n"/>
      <c r="P45" s="24">
        <f>P11+P37</f>
        <v/>
      </c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inlineStr">
        <is>
          <t>FULL INVOICE OTHER COST</t>
        </is>
      </c>
      <c r="K46" s="23" t="n"/>
      <c r="L46" s="23" t="n"/>
      <c r="M46" s="23" t="n"/>
      <c r="N46" s="23" t="n"/>
      <c r="O46" s="23" t="n"/>
      <c r="P46" s="24">
        <f>P12+P38</f>
        <v/>
      </c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inlineStr">
        <is>
          <t>FULL INVOICE DEDUCTION</t>
        </is>
      </c>
      <c r="K47" s="23" t="n"/>
      <c r="L47" s="23" t="n"/>
      <c r="M47" s="23" t="n"/>
      <c r="N47" s="23" t="n"/>
      <c r="O47" s="23" t="n"/>
      <c r="P47" s="24">
        <f>P13+P39</f>
        <v/>
      </c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inlineStr">
        <is>
          <t>FULL ADJUSTMENTS</t>
        </is>
      </c>
      <c r="K48" s="23" t="n"/>
      <c r="L48" s="23" t="n"/>
      <c r="M48" s="23" t="n"/>
      <c r="N48" s="23" t="n"/>
      <c r="O48" s="23" t="n"/>
      <c r="P48" s="24">
        <f>P44+P45+P46-P47</f>
        <v/>
      </c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inlineStr">
        <is>
          <t>COMBINED NET TOTAL</t>
        </is>
      </c>
      <c r="K49" s="23" t="n"/>
      <c r="L49" s="23" t="n"/>
      <c r="M49" s="23" t="n"/>
      <c r="N49" s="23" t="n"/>
      <c r="O49" s="23" t="n"/>
      <c r="P49" s="24">
        <f>P43+P48</f>
        <v/>
      </c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inlineStr">
        <is>
          <t>FULL INVOICE TOTAL</t>
        </is>
      </c>
      <c r="K50" s="23" t="n"/>
      <c r="L50" s="23" t="n"/>
      <c r="M50" s="23" t="n"/>
      <c r="N50" s="23" t="n"/>
      <c r="O50" s="23" t="n"/>
      <c r="P50" s="24" t="n">
        <v>99.38</v>
      </c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inlineStr">
        <is>
          <t>COMBINED VARIANCE CHECK</t>
        </is>
      </c>
      <c r="K51" s="23" t="n"/>
      <c r="L51" s="23" t="n"/>
      <c r="M51" s="23" t="n"/>
      <c r="N51" s="23" t="n"/>
      <c r="O51" s="23" t="n"/>
      <c r="P51" s="24">
        <f>P50-P49</f>
        <v/>
      </c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2026-04-20T11:20:29Z</dcterms:created>
  <dcterms:modified xsi:type="dcterms:W3CDTF">2026-04-20T11:20:29Z</dcterms:modified>
</cp:coreProperties>
</file>