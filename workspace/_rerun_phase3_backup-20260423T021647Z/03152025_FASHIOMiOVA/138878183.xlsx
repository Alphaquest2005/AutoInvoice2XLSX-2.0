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1F4E79"/>
      <sz val="10"/>
    </font>
    <font>
      <color rgb="001F4E79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4" borderId="1" pivotButton="0" quotePrefix="0" xfId="0"/>
    <xf numFmtId="0" fontId="0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138878183</t>
        </is>
      </c>
      <c r="D2" s="2" t="inlineStr">
        <is>
          <t>July 15 th , 2024</t>
        </is>
      </c>
      <c r="E2" s="2" t="inlineStr">
        <is>
          <t>PRODUCTS</t>
        </is>
      </c>
      <c r="F2" s="2" t="inlineStr">
        <is>
          <t>00000000</t>
        </is>
      </c>
      <c r="G2" s="2" t="inlineStr"/>
      <c r="H2" s="2" t="inlineStr"/>
      <c r="I2" s="2" t="inlineStr">
        <is>
          <t>00000000</t>
        </is>
      </c>
      <c r="J2" s="2" t="inlineStr">
        <is>
          <t>Harmonized Total Cream All Day Short Sleeve (+2 more) (3 items)</t>
        </is>
      </c>
      <c r="K2" s="2" t="n">
        <v>3</v>
      </c>
      <c r="L2" s="2" t="n"/>
      <c r="M2" s="2" t="inlineStr"/>
      <c r="N2" s="2" t="inlineStr">
        <is>
          <t>USD</t>
        </is>
      </c>
      <c r="O2" s="3" t="n">
        <v>19.99</v>
      </c>
      <c r="P2" s="3" t="n">
        <v>59.97</v>
      </c>
      <c r="Q2" s="3">
        <f>O2*K2</f>
        <v/>
      </c>
      <c r="R2" s="3">
        <f>P2-Q2</f>
        <v/>
      </c>
      <c r="S2" s="3" t="n">
        <v>44.48</v>
      </c>
      <c r="T2" s="3" t="n">
        <v>0</v>
      </c>
      <c r="U2" s="3" t="n">
        <v>0</v>
      </c>
      <c r="V2" s="3" t="n">
        <v>5.53</v>
      </c>
      <c r="W2" s="3" t="n">
        <v>33.99</v>
      </c>
      <c r="X2" s="2" t="n">
        <v>1</v>
      </c>
      <c r="Y2" s="2" t="n"/>
      <c r="Z2" s="2" t="inlineStr">
        <is>
          <t>FASHION</t>
        </is>
      </c>
      <c r="AA2" s="2" t="inlineStr">
        <is>
          <t>Fashion Nova</t>
        </is>
      </c>
      <c r="AB2" s="2" t="inlineStr">
        <is>
          <t>2801 E. 46th Street, Vernon, CA 90058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00000000</t>
        </is>
      </c>
    </row>
    <row r="3">
      <c r="A3" s="4" t="n"/>
      <c r="B3" s="4" t="n"/>
      <c r="C3" s="4" t="n"/>
      <c r="D3" s="4" t="n"/>
      <c r="E3" s="4" t="n"/>
      <c r="F3" s="4" t="inlineStr">
        <is>
          <t>00000000</t>
        </is>
      </c>
      <c r="G3" s="4" t="n"/>
      <c r="H3" s="4" t="n"/>
      <c r="I3" s="4" t="inlineStr">
        <is>
          <t>FN-1</t>
        </is>
      </c>
      <c r="J3" s="4" t="inlineStr">
        <is>
          <t>Harmonized Total Cream All Day Short Sleeve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5.99</v>
      </c>
      <c r="P3" s="5" t="n">
        <v>5.99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inlineStr">
        <is>
          <t>00000000</t>
        </is>
      </c>
      <c r="G4" s="4" t="n"/>
      <c r="H4" s="4" t="n"/>
      <c r="I4" s="4" t="inlineStr">
        <is>
          <t>FN-3</t>
        </is>
      </c>
      <c r="J4" s="4" t="inlineStr">
        <is>
          <t>Wash - 2 X Unmatched Faux Leather</t>
        </is>
      </c>
      <c r="K4" s="4" t="n">
        <v>1</v>
      </c>
      <c r="L4" s="4" t="n"/>
      <c r="M4" s="4" t="inlineStr"/>
      <c r="N4" s="4" t="inlineStr">
        <is>
          <t>USD</t>
        </is>
      </c>
      <c r="O4" s="5" t="n">
        <v>19.99</v>
      </c>
      <c r="P4" s="5" t="n">
        <v>19.99</v>
      </c>
      <c r="Q4" s="5">
        <f>O4*K4</f>
        <v/>
      </c>
      <c r="R4" s="5">
        <f>P4-Q4</f>
        <v/>
      </c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4" t="n"/>
      <c r="B5" s="4" t="n"/>
      <c r="C5" s="4" t="n"/>
      <c r="D5" s="4" t="n"/>
      <c r="E5" s="4" t="n"/>
      <c r="F5" s="4" t="inlineStr">
        <is>
          <t>00000000</t>
        </is>
      </c>
      <c r="G5" s="4" t="n"/>
      <c r="H5" s="4" t="n"/>
      <c r="I5" s="4" t="inlineStr">
        <is>
          <t>FN-4</t>
        </is>
      </c>
      <c r="J5" s="4" t="inlineStr">
        <is>
          <t>Cargo Skirt - Black - 2 X Don t Talk Faux Leather Skirt =</t>
        </is>
      </c>
      <c r="K5" s="4" t="n">
        <v>1</v>
      </c>
      <c r="L5" s="4" t="n"/>
      <c r="M5" s="4" t="inlineStr"/>
      <c r="N5" s="4" t="inlineStr">
        <is>
          <t>USD</t>
        </is>
      </c>
      <c r="O5" s="5" t="n">
        <v>33.99</v>
      </c>
      <c r="P5" s="5" t="n">
        <v>33.99</v>
      </c>
      <c r="Q5" s="5">
        <f>O5*K5</f>
        <v/>
      </c>
      <c r="R5" s="5">
        <f>P5-Q5</f>
        <v/>
      </c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2" t="n"/>
      <c r="B6" s="2" t="inlineStr"/>
      <c r="C6" s="2" t="inlineStr">
        <is>
          <t>138878183</t>
        </is>
      </c>
      <c r="D6" s="2" t="inlineStr">
        <is>
          <t>July 15 th , 2024</t>
        </is>
      </c>
      <c r="E6" s="2" t="inlineStr">
        <is>
          <t>MARINE LIGHTING</t>
        </is>
      </c>
      <c r="F6" s="2" t="inlineStr">
        <is>
          <t>94054000</t>
        </is>
      </c>
      <c r="G6" s="2" t="inlineStr"/>
      <c r="H6" s="2" t="inlineStr"/>
      <c r="I6" s="2" t="inlineStr">
        <is>
          <t>94054000</t>
        </is>
      </c>
      <c r="J6" s="2" t="inlineStr">
        <is>
          <t>Tee - Sage - M Viana Denim Romper - Light (1 items)</t>
        </is>
      </c>
      <c r="K6" s="2" t="n">
        <v>1</v>
      </c>
      <c r="L6" s="2" t="n"/>
      <c r="M6" s="2" t="inlineStr"/>
      <c r="N6" s="2" t="inlineStr">
        <is>
          <t>USD</t>
        </is>
      </c>
      <c r="O6" s="3" t="n">
        <v>4.99</v>
      </c>
      <c r="P6" s="3" t="n">
        <v>4.99</v>
      </c>
      <c r="Q6" s="3">
        <f>O6*K6</f>
        <v/>
      </c>
      <c r="R6" s="3">
        <f>P6-Q6</f>
        <v/>
      </c>
      <c r="S6" s="3" t="n"/>
      <c r="T6" s="3" t="n"/>
      <c r="U6" s="3" t="n"/>
      <c r="V6" s="3" t="n"/>
      <c r="W6" s="3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inlineStr">
        <is>
          <t>94054000</t>
        </is>
      </c>
    </row>
    <row r="7">
      <c r="A7" s="4" t="n"/>
      <c r="B7" s="4" t="n"/>
      <c r="C7" s="4" t="n"/>
      <c r="D7" s="4" t="n"/>
      <c r="E7" s="4" t="n"/>
      <c r="F7" s="4" t="inlineStr">
        <is>
          <t>94054000</t>
        </is>
      </c>
      <c r="G7" s="4" t="n"/>
      <c r="H7" s="4" t="n"/>
      <c r="I7" s="4" t="inlineStr">
        <is>
          <t>FN-2</t>
        </is>
      </c>
      <c r="J7" s="4" t="inlineStr">
        <is>
          <t>Tee - Sage - M Viana Denim Romper - Light</t>
        </is>
      </c>
      <c r="K7" s="4" t="n">
        <v>1</v>
      </c>
      <c r="L7" s="4" t="n"/>
      <c r="M7" s="4" t="inlineStr"/>
      <c r="N7" s="4" t="inlineStr">
        <is>
          <t>USD</t>
        </is>
      </c>
      <c r="O7" s="5" t="n">
        <v>4.99</v>
      </c>
      <c r="P7" s="5" t="n">
        <v>4.99</v>
      </c>
      <c r="Q7" s="5">
        <f>O7*K7</f>
        <v/>
      </c>
      <c r="R7" s="5">
        <f>P7-Q7</f>
        <v/>
      </c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</row>
    <row r="8">
      <c r="A8" s="2" t="n"/>
      <c r="B8" s="2" t="inlineStr"/>
      <c r="C8" s="2" t="inlineStr">
        <is>
          <t>138878183</t>
        </is>
      </c>
      <c r="D8" s="2" t="inlineStr">
        <is>
          <t>July 15 th , 2024</t>
        </is>
      </c>
      <c r="E8" s="2" t="inlineStr">
        <is>
          <t>Trousers and shorts</t>
        </is>
      </c>
      <c r="F8" s="2" t="inlineStr">
        <is>
          <t>62034290</t>
        </is>
      </c>
      <c r="G8" s="2" t="inlineStr"/>
      <c r="H8" s="2" t="inlineStr"/>
      <c r="I8" s="2" t="inlineStr">
        <is>
          <t>62034290</t>
        </is>
      </c>
      <c r="J8" s="2" t="inlineStr">
        <is>
          <t>Set - Black - 2 X No Self Control Denim Corset (1 items)</t>
        </is>
      </c>
      <c r="K8" s="2" t="n">
        <v>1</v>
      </c>
      <c r="L8" s="2" t="n"/>
      <c r="M8" s="2" t="inlineStr"/>
      <c r="N8" s="2" t="inlineStr">
        <is>
          <t>USD</t>
        </is>
      </c>
      <c r="O8" s="3" t="n">
        <v>7.98</v>
      </c>
      <c r="P8" s="3" t="n">
        <v>7.98</v>
      </c>
      <c r="Q8" s="3">
        <f>O8*K8</f>
        <v/>
      </c>
      <c r="R8" s="3">
        <f>P8-Q8</f>
        <v/>
      </c>
      <c r="S8" s="3" t="n"/>
      <c r="T8" s="3" t="n"/>
      <c r="U8" s="3" t="n"/>
      <c r="V8" s="3" t="n"/>
      <c r="W8" s="3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inlineStr">
        <is>
          <t>62034290</t>
        </is>
      </c>
    </row>
    <row r="9">
      <c r="A9" s="4" t="n"/>
      <c r="B9" s="4" t="n"/>
      <c r="C9" s="4" t="n"/>
      <c r="D9" s="4" t="n"/>
      <c r="E9" s="4" t="n"/>
      <c r="F9" s="4" t="inlineStr">
        <is>
          <t>62034290</t>
        </is>
      </c>
      <c r="G9" s="4" t="n"/>
      <c r="H9" s="4" t="n"/>
      <c r="I9" s="4" t="inlineStr">
        <is>
          <t>FN-5</t>
        </is>
      </c>
      <c r="J9" s="4" t="inlineStr">
        <is>
          <t>Set - Black - 2 X No Self Control Denim Corset</t>
        </is>
      </c>
      <c r="K9" s="4" t="n">
        <v>1</v>
      </c>
      <c r="L9" s="4" t="n"/>
      <c r="M9" s="4" t="inlineStr"/>
      <c r="N9" s="4" t="inlineStr">
        <is>
          <t>USD</t>
        </is>
      </c>
      <c r="O9" s="5" t="n">
        <v>7.98</v>
      </c>
      <c r="P9" s="5" t="n">
        <v>7.98</v>
      </c>
      <c r="Q9" s="5">
        <f>O9*K9</f>
        <v/>
      </c>
      <c r="R9" s="5">
        <f>P9-Q9</f>
        <v/>
      </c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inlineStr">
        <is>
          <t>SUBTOTAL (GROUPED)</t>
        </is>
      </c>
      <c r="K10" s="6" t="n"/>
      <c r="L10" s="6" t="n"/>
      <c r="M10" s="6" t="n"/>
      <c r="N10" s="6" t="n"/>
      <c r="O10" s="6" t="n"/>
      <c r="P10" s="7">
        <f>P2+P6+P8</f>
        <v/>
      </c>
      <c r="Q10" s="7">
        <f>Q2+Q6+Q8</f>
        <v/>
      </c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SUBTOTAL (DETAILS)</t>
        </is>
      </c>
      <c r="K11" s="6" t="n"/>
      <c r="L11" s="6" t="n"/>
      <c r="M11" s="6" t="n"/>
      <c r="N11" s="6" t="n"/>
      <c r="O11" s="6" t="n"/>
      <c r="P11" s="7">
        <f>SUM(P2:P9)-P10</f>
        <v/>
      </c>
      <c r="Q11" s="7">
        <f>SUM(Q2:Q9)-Q10</f>
        <v/>
      </c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inlineStr">
        <is>
          <t>GROUP VERIFICATION</t>
        </is>
      </c>
      <c r="K12" s="8" t="n"/>
      <c r="L12" s="8" t="n"/>
      <c r="M12" s="8" t="n"/>
      <c r="N12" s="8" t="n"/>
      <c r="O12" s="8" t="n"/>
      <c r="P12" s="9">
        <f>P10-P11</f>
        <v/>
      </c>
      <c r="Q12" s="9">
        <f>Q10-Q11</f>
        <v/>
      </c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</row>
    <row r="13"/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TOTAL INTERNAL FREIGHT</t>
        </is>
      </c>
      <c r="K14" s="6" t="n"/>
      <c r="L14" s="6" t="n"/>
      <c r="M14" s="6" t="n"/>
      <c r="N14" s="6" t="n"/>
      <c r="O14" s="6" t="n"/>
      <c r="P14" s="7" t="n">
        <v>0</v>
      </c>
      <c r="Q14" s="7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TOTAL INSURANCE</t>
        </is>
      </c>
      <c r="K15" s="6" t="n"/>
      <c r="L15" s="6" t="n"/>
      <c r="M15" s="6" t="n"/>
      <c r="N15" s="6" t="n"/>
      <c r="O15" s="6" t="n"/>
      <c r="P15" s="7" t="n">
        <v>0</v>
      </c>
      <c r="Q15" s="7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inlineStr">
        <is>
          <t>TOTAL OTHER COST</t>
        </is>
      </c>
      <c r="K16" s="6" t="n"/>
      <c r="L16" s="6" t="n"/>
      <c r="M16" s="6" t="n"/>
      <c r="N16" s="6" t="n"/>
      <c r="O16" s="6" t="n"/>
      <c r="P16" s="7" t="n">
        <v>5.53</v>
      </c>
      <c r="Q16" s="7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inlineStr">
        <is>
          <t>TOTAL DEDUCTION</t>
        </is>
      </c>
      <c r="K17" s="6" t="n"/>
      <c r="L17" s="6" t="n"/>
      <c r="M17" s="6" t="n"/>
      <c r="N17" s="6" t="n"/>
      <c r="O17" s="6" t="n"/>
      <c r="P17" s="7" t="n">
        <v>33.99</v>
      </c>
      <c r="Q17" s="7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inlineStr">
        <is>
          <t>ADJUSTMENTS</t>
        </is>
      </c>
      <c r="K18" s="6" t="n"/>
      <c r="L18" s="6" t="n"/>
      <c r="M18" s="6" t="n"/>
      <c r="N18" s="6" t="n"/>
      <c r="O18" s="6" t="n"/>
      <c r="P18" s="7">
        <f>(T2+U2+V2-W2)</f>
        <v/>
      </c>
      <c r="Q18" s="7">
        <f>(T2+U2+V2-W2)</f>
        <v/>
      </c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</row>
    <row r="19"/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inlineStr">
        <is>
          <t>NET TOTAL</t>
        </is>
      </c>
      <c r="K20" s="6" t="n"/>
      <c r="L20" s="6" t="n"/>
      <c r="M20" s="6" t="n"/>
      <c r="N20" s="6" t="n"/>
      <c r="O20" s="6" t="n"/>
      <c r="P20" s="7">
        <f>P10+P18</f>
        <v/>
      </c>
      <c r="Q20" s="7">
        <f>Q10+Q18</f>
        <v/>
      </c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inlineStr">
        <is>
          <t>INVOICE TOTAL</t>
        </is>
      </c>
      <c r="K21" s="6" t="n"/>
      <c r="L21" s="6" t="n"/>
      <c r="M21" s="6" t="n"/>
      <c r="N21" s="6" t="n"/>
      <c r="O21" s="6" t="n"/>
      <c r="P21" s="7">
        <f>S2</f>
        <v/>
      </c>
      <c r="Q21" s="7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</row>
    <row r="22"/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inlineStr">
        <is>
          <t>VARIANCE CHECK</t>
        </is>
      </c>
      <c r="K23" s="10" t="n"/>
      <c r="L23" s="10" t="n"/>
      <c r="M23" s="10" t="n"/>
      <c r="N23" s="10" t="n"/>
      <c r="O23" s="10" t="n"/>
      <c r="P23" s="11">
        <f>S2-P20</f>
        <v/>
      </c>
      <c r="Q23" s="11">
        <f>S2-Q20</f>
        <v/>
      </c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</row>
    <row r="24"/>
    <row r="25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inlineStr">
        <is>
          <t>DUTY ESTIMATION (Classification Cross-Check)</t>
        </is>
      </c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inlineStr">
        <is>
          <t>CIF (USD) = InvTotal + Freight + Insurance</t>
        </is>
      </c>
      <c r="K26" s="13" t="n"/>
      <c r="L26" s="13" t="n"/>
      <c r="M26" s="13" t="n"/>
      <c r="N26" s="13" t="n"/>
      <c r="O26" s="13" t="n"/>
      <c r="P26" s="15" t="n">
        <v>44.48</v>
      </c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inlineStr">
        <is>
          <t>CIF (XCD) = CIF × 2.7169</t>
        </is>
      </c>
      <c r="K27" s="13" t="n"/>
      <c r="L27" s="13" t="n"/>
      <c r="M27" s="13" t="n"/>
      <c r="N27" s="13" t="n"/>
      <c r="O27" s="13" t="n"/>
      <c r="P27" s="15" t="n">
        <v>120.85</v>
      </c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inlineStr">
        <is>
          <t>CET (weighted avg 20.0%)</t>
        </is>
      </c>
      <c r="K28" s="13" t="n"/>
      <c r="L28" s="13" t="n"/>
      <c r="M28" s="13" t="n"/>
      <c r="N28" s="13" t="n"/>
      <c r="O28" s="13" t="n"/>
      <c r="P28" s="15" t="n">
        <v>24.17</v>
      </c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4" t="inlineStr">
        <is>
          <t xml:space="preserve">  └ 00000000: 20% CET (82% of value)</t>
        </is>
      </c>
      <c r="K29" s="13" t="n"/>
      <c r="L29" s="13" t="n"/>
      <c r="M29" s="13" t="n"/>
      <c r="N29" s="13" t="n"/>
      <c r="O29" s="13" t="n"/>
      <c r="P29" s="15" t="n">
        <v>19.87</v>
      </c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4" t="inlineStr">
        <is>
          <t xml:space="preserve">  └ 62034290: 20% CET (11% of value)</t>
        </is>
      </c>
      <c r="K30" s="13" t="n"/>
      <c r="L30" s="13" t="n"/>
      <c r="M30" s="13" t="n"/>
      <c r="N30" s="13" t="n"/>
      <c r="O30" s="13" t="n"/>
      <c r="P30" s="15" t="n">
        <v>2.64</v>
      </c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4" t="inlineStr">
        <is>
          <t xml:space="preserve">  └ 94054000: 20% CET (7% of value)</t>
        </is>
      </c>
      <c r="K31" s="13" t="n"/>
      <c r="L31" s="13" t="n"/>
      <c r="M31" s="13" t="n"/>
      <c r="N31" s="13" t="n"/>
      <c r="O31" s="13" t="n"/>
      <c r="P31" s="15" t="n">
        <v>1.65</v>
      </c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inlineStr">
        <is>
          <t>CSC (6%)</t>
        </is>
      </c>
      <c r="K32" s="13" t="n"/>
      <c r="L32" s="13" t="n"/>
      <c r="M32" s="13" t="n"/>
      <c r="N32" s="13" t="n"/>
      <c r="O32" s="13" t="n"/>
      <c r="P32" s="15" t="n">
        <v>7.25</v>
      </c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  <c r="AF32" s="13" t="n"/>
      <c r="AG32" s="13" t="n"/>
      <c r="AH32" s="13" t="n"/>
      <c r="AI32" s="13" t="n"/>
      <c r="AJ32" s="13" t="n"/>
      <c r="AK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inlineStr">
        <is>
          <t>VAT (15%) on CIF+CET+CSC</t>
        </is>
      </c>
      <c r="K33" s="13" t="n"/>
      <c r="L33" s="13" t="n"/>
      <c r="M33" s="13" t="n"/>
      <c r="N33" s="13" t="n"/>
      <c r="O33" s="13" t="n"/>
      <c r="P33" s="15" t="n">
        <v>22.84</v>
      </c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  <c r="AH33" s="13" t="n"/>
      <c r="AI33" s="13" t="n"/>
      <c r="AJ33" s="13" t="n"/>
      <c r="AK33" s="13" t="n"/>
    </row>
    <row r="34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2" t="inlineStr">
        <is>
          <t>ESTIMATED TOTAL DUTIES</t>
        </is>
      </c>
      <c r="K34" s="16" t="n"/>
      <c r="L34" s="16" t="n"/>
      <c r="M34" s="16" t="n"/>
      <c r="N34" s="16" t="n"/>
      <c r="O34" s="16" t="n"/>
      <c r="P34" s="17" t="n">
        <v>54.26</v>
      </c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/>
      <c r="AH34" s="16" t="n"/>
      <c r="AI34" s="16" t="n"/>
      <c r="AJ34" s="16" t="n"/>
      <c r="AK34" s="16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4" t="inlineStr">
        <is>
          <t>Effective Duty Rate</t>
        </is>
      </c>
      <c r="K35" s="13" t="n"/>
      <c r="L35" s="13" t="n"/>
      <c r="M35" s="13" t="n"/>
      <c r="N35" s="13" t="n"/>
      <c r="O35" s="13" t="n"/>
      <c r="P35" s="18" t="n">
        <v>0.4489863467107985</v>
      </c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3" t="n"/>
      <c r="AD35" s="13" t="n"/>
      <c r="AE35" s="13" t="n"/>
      <c r="AF35" s="13" t="n"/>
      <c r="AG35" s="13" t="n"/>
      <c r="AH35" s="13" t="n"/>
      <c r="AI35" s="13" t="n"/>
      <c r="AJ35" s="13" t="n"/>
      <c r="AK35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2026-04-20T11:11:11Z</dcterms:created>
  <dcterms:modified xsi:type="dcterms:W3CDTF">2026-04-20T11:11:16Z</dcterms:modified>
</cp:coreProperties>
</file>