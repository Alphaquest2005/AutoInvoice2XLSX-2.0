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4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5" borderId="1" pivotButton="0" quotePrefix="0" xfId="0"/>
    <xf numFmtId="0" fontId="6" fillId="5" borderId="1" pivotButton="0" quotePrefix="0" xfId="0"/>
    <xf numFmtId="0" fontId="7" fillId="6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6" borderId="1" pivotButton="0" quotePrefix="0" xfId="0"/>
    <xf numFmtId="164" fontId="7" fillId="6" borderId="1" pivotButton="0" quotePrefix="0" xfId="0"/>
    <xf numFmtId="165" fontId="7" fillId="0" borderId="1" pivotButton="0" quotePrefix="0" xfId="0"/>
    <xf numFmtId="0" fontId="0" fillId="7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03-11786-67235</t>
        </is>
      </c>
      <c r="D2" s="2" t="inlineStr">
        <is>
          <t>2024-07-04</t>
        </is>
      </c>
      <c r="E2" s="2" t="inlineStr">
        <is>
          <t>PRODUCTS</t>
        </is>
      </c>
      <c r="F2" s="2" t="inlineStr">
        <is>
          <t>00000000</t>
        </is>
      </c>
      <c r="G2" s="2" t="n"/>
      <c r="H2" s="2" t="n"/>
      <c r="I2" s="2" t="inlineStr">
        <is>
          <t>00000000</t>
        </is>
      </c>
      <c r="J2" s="2" t="inlineStr">
        <is>
          <t>Buyer kaz_f4 Rickado C Thomas 2 items $ (1 items)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24.2</v>
      </c>
      <c r="P2" s="3" t="n">
        <v>24.2</v>
      </c>
      <c r="Q2" s="3">
        <f>O2*K2</f>
        <v/>
      </c>
      <c r="R2" s="3">
        <f>P2-Q2</f>
        <v/>
      </c>
      <c r="S2" s="3" t="n">
        <v>25.89</v>
      </c>
      <c r="T2" s="3" t="n">
        <v>0</v>
      </c>
      <c r="U2" s="3" t="n">
        <v>0</v>
      </c>
      <c r="V2" s="3" t="n">
        <v>1.69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EBAY-1</t>
        </is>
      </c>
      <c r="J3" s="4" t="inlineStr">
        <is>
          <t>Buyer kaz_f4 Rickado C Thomas 2 items $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24.2</v>
      </c>
      <c r="P3" s="5" t="n">
        <v>24.2</v>
      </c>
      <c r="Q3" s="6">
        <f>O3*K3</f>
        <v/>
      </c>
      <c r="R3" s="6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inlineStr">
        <is>
          <t>SUBTOTAL (GROUPED)</t>
        </is>
      </c>
      <c r="K4" s="7" t="n"/>
      <c r="L4" s="7" t="n"/>
      <c r="M4" s="7" t="n"/>
      <c r="N4" s="7" t="n"/>
      <c r="O4" s="7" t="n"/>
      <c r="P4" s="8">
        <f>P2</f>
        <v/>
      </c>
      <c r="Q4" s="8">
        <f>Q2</f>
        <v/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inlineStr">
        <is>
          <t>SUBTOTAL (DETAILS)</t>
        </is>
      </c>
      <c r="K5" s="7" t="n"/>
      <c r="L5" s="7" t="n"/>
      <c r="M5" s="7" t="n"/>
      <c r="N5" s="7" t="n"/>
      <c r="O5" s="7" t="n"/>
      <c r="P5" s="8">
        <f>SUM(P2:P3)-P4</f>
        <v/>
      </c>
      <c r="Q5" s="8">
        <f>SUM(Q2:Q3)-Q4</f>
        <v/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inlineStr">
        <is>
          <t>GROUP VERIFICATION</t>
        </is>
      </c>
      <c r="K6" s="9" t="n"/>
      <c r="L6" s="9" t="n"/>
      <c r="M6" s="9" t="n"/>
      <c r="N6" s="9" t="n"/>
      <c r="O6" s="9" t="n"/>
      <c r="P6" s="10">
        <f>P4-P5</f>
        <v/>
      </c>
      <c r="Q6" s="10">
        <f>Q4-Q5</f>
        <v/>
      </c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</row>
    <row r="7"/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inlineStr">
        <is>
          <t>TOTAL INTERNAL FREIGHT</t>
        </is>
      </c>
      <c r="K8" s="7" t="n"/>
      <c r="L8" s="7" t="n"/>
      <c r="M8" s="7" t="n"/>
      <c r="N8" s="7" t="n"/>
      <c r="O8" s="7" t="n"/>
      <c r="P8" s="8" t="n">
        <v>0</v>
      </c>
      <c r="Q8" s="8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inlineStr">
        <is>
          <t>TOTAL INSURANCE</t>
        </is>
      </c>
      <c r="K9" s="7" t="n"/>
      <c r="L9" s="7" t="n"/>
      <c r="M9" s="7" t="n"/>
      <c r="N9" s="7" t="n"/>
      <c r="O9" s="7" t="n"/>
      <c r="P9" s="8" t="n">
        <v>0</v>
      </c>
      <c r="Q9" s="8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inlineStr">
        <is>
          <t>TOTAL OTHER COST</t>
        </is>
      </c>
      <c r="K10" s="7" t="n"/>
      <c r="L10" s="7" t="n"/>
      <c r="M10" s="7" t="n"/>
      <c r="N10" s="7" t="n"/>
      <c r="O10" s="7" t="n"/>
      <c r="P10" s="8" t="n">
        <v>1.69</v>
      </c>
      <c r="Q10" s="8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inlineStr">
        <is>
          <t>TOTAL DEDUCTION</t>
        </is>
      </c>
      <c r="K11" s="7" t="n"/>
      <c r="L11" s="7" t="n"/>
      <c r="M11" s="7" t="n"/>
      <c r="N11" s="7" t="n"/>
      <c r="O11" s="7" t="n"/>
      <c r="P11" s="8" t="n">
        <v>0</v>
      </c>
      <c r="Q11" s="8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inlineStr">
        <is>
          <t>ADJUSTMENTS</t>
        </is>
      </c>
      <c r="K12" s="7" t="n"/>
      <c r="L12" s="7" t="n"/>
      <c r="M12" s="7" t="n"/>
      <c r="N12" s="7" t="n"/>
      <c r="O12" s="7" t="n"/>
      <c r="P12" s="8">
        <f>(T2+U2+V2-W2)</f>
        <v/>
      </c>
      <c r="Q12" s="8">
        <f>(T2+U2+V2-W2)</f>
        <v/>
      </c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/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inlineStr">
        <is>
          <t>NET TOTAL</t>
        </is>
      </c>
      <c r="K14" s="7" t="n"/>
      <c r="L14" s="7" t="n"/>
      <c r="M14" s="7" t="n"/>
      <c r="N14" s="7" t="n"/>
      <c r="O14" s="7" t="n"/>
      <c r="P14" s="8">
        <f>P4+P12</f>
        <v/>
      </c>
      <c r="Q14" s="8">
        <f>Q4+Q12</f>
        <v/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inlineStr">
        <is>
          <t>INVOICE TOTAL</t>
        </is>
      </c>
      <c r="K15" s="7" t="n"/>
      <c r="L15" s="7" t="n"/>
      <c r="M15" s="7" t="n"/>
      <c r="N15" s="7" t="n"/>
      <c r="O15" s="7" t="n"/>
      <c r="P15" s="8">
        <f>S2</f>
        <v/>
      </c>
      <c r="Q15" s="8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inlineStr">
        <is>
          <t>VARIANCE CHECK</t>
        </is>
      </c>
      <c r="K17" s="11" t="n"/>
      <c r="L17" s="11" t="n"/>
      <c r="M17" s="11" t="n"/>
      <c r="N17" s="11" t="n"/>
      <c r="O17" s="11" t="n"/>
      <c r="P17" s="12">
        <f>S2-P14</f>
        <v/>
      </c>
      <c r="Q17" s="12">
        <f>S2-Q14</f>
        <v/>
      </c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</row>
    <row r="18"/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4" t="inlineStr">
        <is>
          <t>INVOICE NOTES: Orphan price $24.20 recovered from OCR text (description: Buyer kaz_f4 Rickado C Thomas 2 items $...)</t>
        </is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</row>
    <row r="20"/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inlineStr">
        <is>
          <t>DUTY ESTIMATION (Classification Cross-Check)</t>
        </is>
      </c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inlineStr">
        <is>
          <t>CIF (USD) = InvTotal + Freight + Insurance</t>
        </is>
      </c>
      <c r="K22" s="16" t="n"/>
      <c r="L22" s="16" t="n"/>
      <c r="M22" s="16" t="n"/>
      <c r="N22" s="16" t="n"/>
      <c r="O22" s="16" t="n"/>
      <c r="P22" s="18" t="n">
        <v>25.89</v>
      </c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inlineStr">
        <is>
          <t>CIF (XCD) = CIF × 2.7169</t>
        </is>
      </c>
      <c r="K23" s="16" t="n"/>
      <c r="L23" s="16" t="n"/>
      <c r="M23" s="16" t="n"/>
      <c r="N23" s="16" t="n"/>
      <c r="O23" s="16" t="n"/>
      <c r="P23" s="18" t="n">
        <v>70.34</v>
      </c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inlineStr">
        <is>
          <t>CET (20%) — Tariff 00000000</t>
        </is>
      </c>
      <c r="K24" s="16" t="n"/>
      <c r="L24" s="16" t="n"/>
      <c r="M24" s="16" t="n"/>
      <c r="N24" s="16" t="n"/>
      <c r="O24" s="16" t="n"/>
      <c r="P24" s="18" t="n">
        <v>14.07</v>
      </c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inlineStr">
        <is>
          <t>CSC (6%)</t>
        </is>
      </c>
      <c r="K25" s="16" t="n"/>
      <c r="L25" s="16" t="n"/>
      <c r="M25" s="16" t="n"/>
      <c r="N25" s="16" t="n"/>
      <c r="O25" s="16" t="n"/>
      <c r="P25" s="18" t="n">
        <v>4.22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inlineStr">
        <is>
          <t>VAT (15%) on CIF+CET+CSC</t>
        </is>
      </c>
      <c r="K26" s="16" t="n"/>
      <c r="L26" s="16" t="n"/>
      <c r="M26" s="16" t="n"/>
      <c r="N26" s="16" t="n"/>
      <c r="O26" s="16" t="n"/>
      <c r="P26" s="18" t="n">
        <v>13.29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5" t="inlineStr">
        <is>
          <t>ESTIMATED TOTAL DUTIES</t>
        </is>
      </c>
      <c r="K27" s="19" t="n"/>
      <c r="L27" s="19" t="n"/>
      <c r="M27" s="19" t="n"/>
      <c r="N27" s="19" t="n"/>
      <c r="O27" s="19" t="n"/>
      <c r="P27" s="20" t="n">
        <v>31.58</v>
      </c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inlineStr">
        <is>
          <t>Effective Duty Rate</t>
        </is>
      </c>
      <c r="K28" s="16" t="n"/>
      <c r="L28" s="16" t="n"/>
      <c r="M28" s="16" t="n"/>
      <c r="N28" s="16" t="n"/>
      <c r="O28" s="16" t="n"/>
      <c r="P28" s="21" t="n">
        <v>0.448962183679272</v>
      </c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</row>
    <row r="30">
      <c r="A30" s="2" t="inlineStr">
        <is>
          <t>4000-000</t>
        </is>
      </c>
      <c r="B30" s="2" t="n"/>
      <c r="C30" s="2" t="inlineStr">
        <is>
          <t>03-11786-67235</t>
        </is>
      </c>
      <c r="D30" s="2" t="inlineStr">
        <is>
          <t>2024-07-04</t>
        </is>
      </c>
      <c r="E30" s="2" t="inlineStr">
        <is>
          <t>PRODUCTS</t>
        </is>
      </c>
      <c r="F30" s="2" t="inlineStr">
        <is>
          <t>00000000</t>
        </is>
      </c>
      <c r="G30" s="2" t="n"/>
      <c r="H30" s="2" t="n"/>
      <c r="I30" s="2" t="inlineStr">
        <is>
          <t>00000000</t>
        </is>
      </c>
      <c r="J30" s="2" t="inlineStr">
        <is>
          <t>Buyer kaz_f4 Rickado C Thomas 2 items $ (1 items)</t>
        </is>
      </c>
      <c r="K30" s="2" t="n">
        <v>1</v>
      </c>
      <c r="L30" s="2" t="n"/>
      <c r="M30" s="2" t="n"/>
      <c r="N30" s="2" t="inlineStr">
        <is>
          <t>USD</t>
        </is>
      </c>
      <c r="O30" s="3" t="n">
        <v>24.2</v>
      </c>
      <c r="P30" s="3" t="n">
        <v>24.2</v>
      </c>
      <c r="Q30" s="3">
        <f>O30*K30</f>
        <v/>
      </c>
      <c r="R30" s="3">
        <f>P30-Q30</f>
        <v/>
      </c>
      <c r="S30" s="3" t="n">
        <v>25.89</v>
      </c>
      <c r="T30" s="3" t="n">
        <v>0</v>
      </c>
      <c r="U30" s="3" t="n">
        <v>0</v>
      </c>
      <c r="V30" s="3" t="n">
        <v>1.69</v>
      </c>
      <c r="W30" s="3" t="n">
        <v>0</v>
      </c>
      <c r="X30" s="2" t="n"/>
      <c r="Y30" s="2" t="n"/>
      <c r="Z30" s="2" t="inlineStr">
        <is>
          <t>EBAY</t>
        </is>
      </c>
      <c r="AA30" s="2" t="inlineStr">
        <is>
          <t>eBay</t>
        </is>
      </c>
      <c r="AB30" s="2" t="inlineStr">
        <is>
          <t>2025 Hamilton Avenue, San Jose, CA 95125</t>
        </is>
      </c>
      <c r="AC30" s="2" t="inlineStr">
        <is>
          <t>US</t>
        </is>
      </c>
      <c r="AD30" s="2" t="n"/>
      <c r="AE30" s="2" t="n"/>
      <c r="AF30" s="2" t="n"/>
      <c r="AG30" s="2" t="n"/>
      <c r="AH30" s="2" t="n"/>
      <c r="AI30" s="2" t="n"/>
      <c r="AJ30" s="2" t="n"/>
      <c r="AK30" s="2" t="inlineStr">
        <is>
          <t>00000000</t>
        </is>
      </c>
    </row>
    <row r="31">
      <c r="A31" s="4" t="n"/>
      <c r="B31" s="4" t="n"/>
      <c r="C31" s="4" t="n"/>
      <c r="D31" s="4" t="n"/>
      <c r="E31" s="4" t="n"/>
      <c r="F31" s="4" t="inlineStr">
        <is>
          <t>00000000</t>
        </is>
      </c>
      <c r="G31" s="4" t="n"/>
      <c r="H31" s="4" t="n"/>
      <c r="I31" s="4" t="inlineStr">
        <is>
          <t>EBAY-1</t>
        </is>
      </c>
      <c r="J31" s="4" t="inlineStr">
        <is>
          <t>Buyer kaz_f4 Rickado C Thomas 2 items $</t>
        </is>
      </c>
      <c r="K31" s="4" t="n">
        <v>1</v>
      </c>
      <c r="L31" s="4" t="n"/>
      <c r="M31" s="4" t="n"/>
      <c r="N31" s="4" t="inlineStr">
        <is>
          <t>USD</t>
        </is>
      </c>
      <c r="O31" s="5" t="n">
        <v>24.2</v>
      </c>
      <c r="P31" s="5" t="n">
        <v>24.2</v>
      </c>
      <c r="Q31" s="6">
        <f>O31*K31</f>
        <v/>
      </c>
      <c r="R31" s="6">
        <f>P31-Q31</f>
        <v/>
      </c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SUBTOTAL (GROUPED)</t>
        </is>
      </c>
      <c r="K32" s="7" t="n"/>
      <c r="L32" s="7" t="n"/>
      <c r="M32" s="7" t="n"/>
      <c r="N32" s="7" t="n"/>
      <c r="O32" s="7" t="n"/>
      <c r="P32" s="8">
        <f>P30</f>
        <v/>
      </c>
      <c r="Q32" s="8">
        <f>Q30</f>
        <v/>
      </c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inlineStr">
        <is>
          <t>SUBTOTAL (DETAILS)</t>
        </is>
      </c>
      <c r="K33" s="7" t="n"/>
      <c r="L33" s="7" t="n"/>
      <c r="M33" s="7" t="n"/>
      <c r="N33" s="7" t="n"/>
      <c r="O33" s="7" t="n"/>
      <c r="P33" s="8">
        <f>SUM(P30:P31)-P32</f>
        <v/>
      </c>
      <c r="Q33" s="8">
        <f>SUM(Q30:Q31)-Q32</f>
        <v/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inlineStr">
        <is>
          <t>GROUP VERIFICATION</t>
        </is>
      </c>
      <c r="K34" s="9" t="n"/>
      <c r="L34" s="9" t="n"/>
      <c r="M34" s="9" t="n"/>
      <c r="N34" s="9" t="n"/>
      <c r="O34" s="9" t="n"/>
      <c r="P34" s="10">
        <f>P32-P33</f>
        <v/>
      </c>
      <c r="Q34" s="10">
        <f>Q32-Q33</f>
        <v/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</row>
    <row r="35"/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inlineStr">
        <is>
          <t>TOTAL INTERNAL FREIGHT</t>
        </is>
      </c>
      <c r="K36" s="7" t="n"/>
      <c r="L36" s="7" t="n"/>
      <c r="M36" s="7" t="n"/>
      <c r="N36" s="7" t="n"/>
      <c r="O36" s="7" t="n"/>
      <c r="P36" s="8" t="n">
        <v>0</v>
      </c>
      <c r="Q36" s="8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inlineStr">
        <is>
          <t>TOTAL INSURANCE</t>
        </is>
      </c>
      <c r="K37" s="7" t="n"/>
      <c r="L37" s="7" t="n"/>
      <c r="M37" s="7" t="n"/>
      <c r="N37" s="7" t="n"/>
      <c r="O37" s="7" t="n"/>
      <c r="P37" s="8" t="n">
        <v>0</v>
      </c>
      <c r="Q37" s="8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inlineStr">
        <is>
          <t>TOTAL OTHER COST</t>
        </is>
      </c>
      <c r="K38" s="7" t="n"/>
      <c r="L38" s="7" t="n"/>
      <c r="M38" s="7" t="n"/>
      <c r="N38" s="7" t="n"/>
      <c r="O38" s="7" t="n"/>
      <c r="P38" s="8" t="n">
        <v>1.69</v>
      </c>
      <c r="Q38" s="8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inlineStr">
        <is>
          <t>TOTAL DEDUCTION</t>
        </is>
      </c>
      <c r="K39" s="7" t="n"/>
      <c r="L39" s="7" t="n"/>
      <c r="M39" s="7" t="n"/>
      <c r="N39" s="7" t="n"/>
      <c r="O39" s="7" t="n"/>
      <c r="P39" s="8" t="n">
        <v>0</v>
      </c>
      <c r="Q39" s="8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inlineStr">
        <is>
          <t>ADJUSTMENTS</t>
        </is>
      </c>
      <c r="K40" s="7" t="n"/>
      <c r="L40" s="7" t="n"/>
      <c r="M40" s="7" t="n"/>
      <c r="N40" s="7" t="n"/>
      <c r="O40" s="7" t="n"/>
      <c r="P40" s="8">
        <f>(T30+U30+V30-W30)</f>
        <v/>
      </c>
      <c r="Q40" s="8">
        <f>(T30+U30+V30-W30)</f>
        <v/>
      </c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</row>
    <row r="41"/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inlineStr">
        <is>
          <t>NET TOTAL</t>
        </is>
      </c>
      <c r="K42" s="7" t="n"/>
      <c r="L42" s="7" t="n"/>
      <c r="M42" s="7" t="n"/>
      <c r="N42" s="7" t="n"/>
      <c r="O42" s="7" t="n"/>
      <c r="P42" s="8">
        <f>P32+P40</f>
        <v/>
      </c>
      <c r="Q42" s="8">
        <f>Q32+Q40</f>
        <v/>
      </c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inlineStr">
        <is>
          <t>INVOICE TOTAL</t>
        </is>
      </c>
      <c r="K43" s="7" t="n"/>
      <c r="L43" s="7" t="n"/>
      <c r="M43" s="7" t="n"/>
      <c r="N43" s="7" t="n"/>
      <c r="O43" s="7" t="n"/>
      <c r="P43" s="8">
        <f>S30</f>
        <v/>
      </c>
      <c r="Q43" s="8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inlineStr">
        <is>
          <t>VARIANCE CHECK</t>
        </is>
      </c>
      <c r="K45" s="11" t="n"/>
      <c r="L45" s="11" t="n"/>
      <c r="M45" s="11" t="n"/>
      <c r="N45" s="11" t="n"/>
      <c r="O45" s="11" t="n"/>
      <c r="P45" s="12">
        <f>S30-P42</f>
        <v/>
      </c>
      <c r="Q45" s="12">
        <f>S30-Q42</f>
        <v/>
      </c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</row>
    <row r="46"/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4" t="inlineStr">
        <is>
          <t>INVOICE NOTES: Orphan price $24.20 recovered from OCR text (description: Buyer kaz_f4 Rickado C Thomas 2 items $...)</t>
        </is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</row>
    <row r="48"/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inlineStr">
        <is>
          <t>DUTY ESTIMATION (Classification Cross-Check)</t>
        </is>
      </c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7" t="inlineStr">
        <is>
          <t>CIF (USD) = InvTotal + Freight + Insurance</t>
        </is>
      </c>
      <c r="K50" s="16" t="n"/>
      <c r="L50" s="16" t="n"/>
      <c r="M50" s="16" t="n"/>
      <c r="N50" s="16" t="n"/>
      <c r="O50" s="16" t="n"/>
      <c r="P50" s="18" t="n">
        <v>25.89</v>
      </c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inlineStr">
        <is>
          <t>CIF (XCD) = CIF × 2.7169</t>
        </is>
      </c>
      <c r="K51" s="16" t="n"/>
      <c r="L51" s="16" t="n"/>
      <c r="M51" s="16" t="n"/>
      <c r="N51" s="16" t="n"/>
      <c r="O51" s="16" t="n"/>
      <c r="P51" s="18" t="n">
        <v>70.34</v>
      </c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inlineStr">
        <is>
          <t>CET (20%) — Tariff 00000000</t>
        </is>
      </c>
      <c r="K52" s="16" t="n"/>
      <c r="L52" s="16" t="n"/>
      <c r="M52" s="16" t="n"/>
      <c r="N52" s="16" t="n"/>
      <c r="O52" s="16" t="n"/>
      <c r="P52" s="18" t="n">
        <v>14.07</v>
      </c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7" t="inlineStr">
        <is>
          <t>CSC (6%)</t>
        </is>
      </c>
      <c r="K53" s="16" t="n"/>
      <c r="L53" s="16" t="n"/>
      <c r="M53" s="16" t="n"/>
      <c r="N53" s="16" t="n"/>
      <c r="O53" s="16" t="n"/>
      <c r="P53" s="18" t="n">
        <v>4.22</v>
      </c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inlineStr">
        <is>
          <t>VAT (15%) on CIF+CET+CSC</t>
        </is>
      </c>
      <c r="K54" s="16" t="n"/>
      <c r="L54" s="16" t="n"/>
      <c r="M54" s="16" t="n"/>
      <c r="N54" s="16" t="n"/>
      <c r="O54" s="16" t="n"/>
      <c r="P54" s="18" t="n">
        <v>13.29</v>
      </c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5" t="inlineStr">
        <is>
          <t>ESTIMATED TOTAL DUTIES</t>
        </is>
      </c>
      <c r="K55" s="19" t="n"/>
      <c r="L55" s="19" t="n"/>
      <c r="M55" s="19" t="n"/>
      <c r="N55" s="19" t="n"/>
      <c r="O55" s="19" t="n"/>
      <c r="P55" s="20" t="n">
        <v>31.58</v>
      </c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inlineStr">
        <is>
          <t>Effective Duty Rate</t>
        </is>
      </c>
      <c r="K56" s="16" t="n"/>
      <c r="L56" s="16" t="n"/>
      <c r="M56" s="16" t="n"/>
      <c r="N56" s="16" t="n"/>
      <c r="O56" s="16" t="n"/>
      <c r="P56" s="21" t="n">
        <v>0.448962183679272</v>
      </c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</row>
    <row r="57"/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4" t="inlineStr">
        <is>
          <t>═══ COMBINED GRAND SUMMARY ═══</t>
        </is>
      </c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</row>
    <row r="60">
      <c r="L60" s="25" t="inlineStr">
        <is>
          <t>Invoice 03-11786-67235</t>
        </is>
      </c>
      <c r="P60" s="26" t="n">
        <v>185.73</v>
      </c>
      <c r="Q60" s="27" t="n">
        <v>-159.84</v>
      </c>
    </row>
    <row r="61">
      <c r="L61" s="25" t="inlineStr">
        <is>
          <t>Invoice 03-11786-67235</t>
        </is>
      </c>
      <c r="P61" s="26" t="n">
        <v>185.73</v>
      </c>
      <c r="Q61" s="27" t="n">
        <v>-159.84</v>
      </c>
    </row>
    <row r="62"/>
    <row r="63">
      <c r="L63" s="28" t="inlineStr">
        <is>
          <t>GRAND TOTAL</t>
        </is>
      </c>
      <c r="P63" s="29" t="n">
        <v>371.46</v>
      </c>
    </row>
    <row r="64">
      <c r="L64" s="30" t="inlineStr">
        <is>
          <t>GRAND VARIANCE CHECK</t>
        </is>
      </c>
      <c r="P64" s="27" t="n">
        <v>-319.68</v>
      </c>
    </row>
    <row r="65">
      <c r="L65" s="31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2" t="inlineStr">
        <is>
          <t>PDF File</t>
        </is>
      </c>
      <c r="B1" s="32" t="inlineStr">
        <is>
          <t>Quality Score</t>
        </is>
      </c>
      <c r="C1" s="32" t="inlineStr">
        <is>
          <t>Rating</t>
        </is>
      </c>
      <c r="D1" s="32" t="inlineStr">
        <is>
          <t>Details</t>
        </is>
      </c>
      <c r="E1" s="32" t="inlineStr">
        <is>
          <t>OCR Text (first 2000 chars)</t>
        </is>
      </c>
    </row>
    <row r="2">
      <c r="A2" s="33" t="inlineStr">
        <is>
          <t>03 - 11786 - 67235.pdf</t>
        </is>
      </c>
      <c r="B2" s="33" t="inlineStr">
        <is>
          <t>85/100</t>
        </is>
      </c>
      <c r="C2" s="33" t="inlineStr">
        <is>
          <t>GOOD</t>
        </is>
      </c>
      <c r="D2" s="33" t="inlineStr">
        <is>
          <t>Text: 652 chars; Prices: 4 ($-sign), 3 (decimal); Total: $25.89; Invoice#: 03-11786-67235; Real items: 1/1; Structure words: 7/12</t>
        </is>
      </c>
      <c r="E2" s="34">
        <f> Oey,
if
Order information Shipping address Order total
Buyer kaz_f4 Rickado C Thomas 2 items $24.20
Seller koduste 10813, NW 30TH STREET, BLDG 115GRE Shipping Free
Placed on Jul 4, 2024 Phorm Florida 33172-5068 Tax* $1.69
PayPal United States  —
Payment method ayre Order total $25.89
Paid on Jul 4, 2024 ware .
We're required by law to collect
sales tax and applicable fees for
certain tax authorities.
Learn more
items bought from koduste
Order number: 03-11786-67235
i Shipping service Item
Quantity Item name pping price
&gt; 2pcs Right Side Exterior Door Handle End Cap Fit For Kia Sportage 82662-3W030 SpeedPAK $24.20 .
(125925680646) Standard
4/1
</f>
        <v/>
      </c>
    </row>
    <row r="3">
      <c r="A3" s="33" t="inlineStr">
        <is>
          <t>03-11786-67235_Invoice.pdf</t>
        </is>
      </c>
      <c r="B3" s="33" t="inlineStr">
        <is>
          <t>85/100</t>
        </is>
      </c>
      <c r="C3" s="33" t="inlineStr">
        <is>
          <t>GOOD</t>
        </is>
      </c>
      <c r="D3" s="33" t="inlineStr">
        <is>
          <t>Text: 652 chars; Prices: 4 ($-sign), 3 (decimal); Total: $25.89; Invoice#: 03-11786-67235; Real items: 1/1; Structure words: 7/12</t>
        </is>
      </c>
      <c r="E3" s="34">
        <f> Oey,
if
Order information Shipping address Order total
Buyer kaz_f4 Rickado C Thomas 2 items $24.20
Seller koduste 10813, NW 30TH STREET, BLDG 115GRE Shipping Free
Placed on Jul 4, 2024 Phorm Florida 33172-5068 Tax* $1.69
PayPal United States  —
Payment method ayre Order total $25.89
Paid on Jul 4, 2024 ware .
We're required by law to collect
sales tax and applicable fees for
certain tax authorities.
Learn more
items bought from koduste
Order number: 03-11786-67235
i Shipping service Item
Quantity Item name pping price
&gt; 2pcs Right Side Exterior Door Handle End Cap Fit For Kia Sportage 82662-3W030 SpeedPAK $24.20 .
(125925680646) Standard
4/1
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2026-04-20T14:11:05Z</dcterms:created>
  <dcterms:modified xsi:type="dcterms:W3CDTF">2026-04-20T14:11:10Z</dcterms:modified>
</cp:coreProperties>
</file>