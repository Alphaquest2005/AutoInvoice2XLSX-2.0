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1504495444</t>
        </is>
      </c>
      <c r="D2" s="2" t="inlineStr">
        <is>
          <t>2024-07-21</t>
        </is>
      </c>
      <c r="E2" s="2" t="inlineStr">
        <is>
          <t>SIGNALING ARTICLES</t>
        </is>
      </c>
      <c r="F2" s="2" t="inlineStr">
        <is>
          <t>36049000</t>
        </is>
      </c>
      <c r="G2" s="2" t="inlineStr"/>
      <c r="H2" s="2" t="inlineStr"/>
      <c r="I2" s="2" t="inlineStr">
        <is>
          <t>36049000</t>
        </is>
      </c>
      <c r="J2" s="2" t="inlineStr">
        <is>
          <t>Flared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20.99</v>
      </c>
      <c r="P2" s="3" t="n">
        <v>41.98</v>
      </c>
      <c r="Q2" s="3">
        <f>O2*K2</f>
        <v/>
      </c>
      <c r="R2" s="3">
        <f>P2-Q2</f>
        <v/>
      </c>
      <c r="S2" s="3" t="n">
        <v>59.97</v>
      </c>
      <c r="T2" s="3" t="n">
        <v>5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UNK</t>
        </is>
      </c>
      <c r="AA2" s="2" t="inlineStr"/>
      <c r="AB2" s="2" t="inlineStr"/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36049000</t>
        </is>
      </c>
    </row>
    <row r="3">
      <c r="A3" s="4" t="n"/>
      <c r="B3" s="4" t="n"/>
      <c r="C3" s="4" t="n"/>
      <c r="D3" s="4" t="n"/>
      <c r="E3" s="4" t="n"/>
      <c r="F3" s="4" t="inlineStr">
        <is>
          <t>36049000</t>
        </is>
      </c>
      <c r="G3" s="4" t="n"/>
      <c r="H3" s="4" t="n"/>
      <c r="I3" s="4" t="inlineStr">
        <is>
          <t>1206305006007</t>
        </is>
      </c>
      <c r="J3" s="4" t="inlineStr">
        <is>
          <t>Flared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20.99</v>
      </c>
      <c r="P3" s="5" t="n">
        <v>20.99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36049000</t>
        </is>
      </c>
      <c r="G4" s="4" t="n"/>
      <c r="H4" s="4" t="n"/>
      <c r="I4" s="4" t="inlineStr">
        <is>
          <t>1206305005007</t>
        </is>
      </c>
      <c r="J4" s="4" t="inlineStr">
        <is>
          <t>Flared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20.99</v>
      </c>
      <c r="P4" s="5" t="n">
        <v>20.99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2" t="n"/>
      <c r="B5" s="2" t="inlineStr"/>
      <c r="C5" s="2" t="inlineStr">
        <is>
          <t>1504495444</t>
        </is>
      </c>
      <c r="D5" s="2" t="inlineStr">
        <is>
          <t>2024-07-21</t>
        </is>
      </c>
      <c r="E5" s="2" t="inlineStr">
        <is>
          <t>HATS AND OTHER HEADGEAR, PLAITED OR MADE BY ASSEMBLING STRIPS</t>
        </is>
      </c>
      <c r="F5" s="2" t="inlineStr">
        <is>
          <t>65040000</t>
        </is>
      </c>
      <c r="G5" s="2" t="inlineStr"/>
      <c r="H5" s="2" t="inlineStr"/>
      <c r="I5" s="2" t="inlineStr">
        <is>
          <t>65040000</t>
        </is>
      </c>
      <c r="J5" s="2" t="inlineStr">
        <is>
          <t>Frayed-edge Straw Hat (1 items)</t>
        </is>
      </c>
      <c r="K5" s="2" t="n">
        <v>1</v>
      </c>
      <c r="L5" s="2" t="n"/>
      <c r="M5" s="2" t="inlineStr"/>
      <c r="N5" s="2" t="inlineStr">
        <is>
          <t>USD</t>
        </is>
      </c>
      <c r="O5" s="3" t="n">
        <v>12.99</v>
      </c>
      <c r="P5" s="3" t="n">
        <v>12.99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65040000</t>
        </is>
      </c>
    </row>
    <row r="6">
      <c r="A6" s="4" t="n"/>
      <c r="B6" s="4" t="n"/>
      <c r="C6" s="4" t="n"/>
      <c r="D6" s="4" t="n"/>
      <c r="E6" s="4" t="n"/>
      <c r="F6" s="4" t="inlineStr">
        <is>
          <t>65040000</t>
        </is>
      </c>
      <c r="G6" s="4" t="n"/>
      <c r="H6" s="4" t="n"/>
      <c r="I6" s="4" t="inlineStr">
        <is>
          <t>1229647001004</t>
        </is>
      </c>
      <c r="J6" s="4" t="inlineStr">
        <is>
          <t>Frayed-edge Straw Hat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12.99</v>
      </c>
      <c r="P6" s="5" t="n">
        <v>12.99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(GROUPED)</t>
        </is>
      </c>
      <c r="K7" s="6" t="n"/>
      <c r="L7" s="6" t="n"/>
      <c r="M7" s="6" t="n"/>
      <c r="N7" s="6" t="n"/>
      <c r="O7" s="6" t="n"/>
      <c r="P7" s="7">
        <f>P2+P5</f>
        <v/>
      </c>
      <c r="Q7" s="7">
        <f>Q2+Q5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(DETAILS)</t>
        </is>
      </c>
      <c r="K8" s="6" t="n"/>
      <c r="L8" s="6" t="n"/>
      <c r="M8" s="6" t="n"/>
      <c r="N8" s="6" t="n"/>
      <c r="O8" s="6" t="n"/>
      <c r="P8" s="7">
        <f>SUM(P2:P6)-P7</f>
        <v/>
      </c>
      <c r="Q8" s="7">
        <f>SUM(Q2:Q6)-Q7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inlineStr">
        <is>
          <t>GROUP VERIFICATION</t>
        </is>
      </c>
      <c r="K9" s="8" t="n"/>
      <c r="L9" s="8" t="n"/>
      <c r="M9" s="8" t="n"/>
      <c r="N9" s="8" t="n"/>
      <c r="O9" s="8" t="n"/>
      <c r="P9" s="9">
        <f>P7-P8</f>
        <v/>
      </c>
      <c r="Q9" s="9">
        <f>Q7-Q8</f>
        <v/>
      </c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</row>
    <row r="10"/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INTERNAL FREIGHT</t>
        </is>
      </c>
      <c r="K11" s="6" t="n"/>
      <c r="L11" s="6" t="n"/>
      <c r="M11" s="6" t="n"/>
      <c r="N11" s="6" t="n"/>
      <c r="O11" s="6" t="n"/>
      <c r="P11" s="7" t="n">
        <v>5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INSURANCE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OTHER COST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DEDUCTION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ADJUSTMENTS</t>
        </is>
      </c>
      <c r="K15" s="6" t="n"/>
      <c r="L15" s="6" t="n"/>
      <c r="M15" s="6" t="n"/>
      <c r="N15" s="6" t="n"/>
      <c r="O15" s="6" t="n"/>
      <c r="P15" s="7">
        <f>(T2+U2+V2-W2)</f>
        <v/>
      </c>
      <c r="Q15" s="7">
        <f>(T2+U2+V2-W2)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NET TOTAL</t>
        </is>
      </c>
      <c r="K17" s="6" t="n"/>
      <c r="L17" s="6" t="n"/>
      <c r="M17" s="6" t="n"/>
      <c r="N17" s="6" t="n"/>
      <c r="O17" s="6" t="n"/>
      <c r="P17" s="7">
        <f>P7+P15</f>
        <v/>
      </c>
      <c r="Q17" s="7">
        <f>Q7+Q15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INVOICE TOTAL</t>
        </is>
      </c>
      <c r="K18" s="6" t="n"/>
      <c r="L18" s="6" t="n"/>
      <c r="M18" s="6" t="n"/>
      <c r="N18" s="6" t="n"/>
      <c r="O18" s="6" t="n"/>
      <c r="P18" s="7">
        <f>S2</f>
        <v/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/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inlineStr">
        <is>
          <t>VARIANCE CHECK</t>
        </is>
      </c>
      <c r="K20" s="10" t="n"/>
      <c r="L20" s="10" t="n"/>
      <c r="M20" s="10" t="n"/>
      <c r="N20" s="10" t="n"/>
      <c r="O20" s="10" t="n"/>
      <c r="P20" s="11">
        <f>S2-P17</f>
        <v/>
      </c>
      <c r="Q20" s="11">
        <f>S2-Q17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</row>
    <row r="21"/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inlineStr">
        <is>
          <t>DUTY ESTIMATION (Classification Cross-Check)</t>
        </is>
      </c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CIF (USD) = InvTotal + Freight + Insurance</t>
        </is>
      </c>
      <c r="K23" s="13" t="n"/>
      <c r="L23" s="13" t="n"/>
      <c r="M23" s="13" t="n"/>
      <c r="N23" s="13" t="n"/>
      <c r="O23" s="13" t="n"/>
      <c r="P23" s="15" t="n">
        <v>64.97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CIF (XCD) = CIF × 2.7169</t>
        </is>
      </c>
      <c r="K24" s="13" t="n"/>
      <c r="L24" s="13" t="n"/>
      <c r="M24" s="13" t="n"/>
      <c r="N24" s="13" t="n"/>
      <c r="O24" s="13" t="n"/>
      <c r="P24" s="15" t="n">
        <v>176.52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CET (weighted avg 20.0%)</t>
        </is>
      </c>
      <c r="K25" s="13" t="n"/>
      <c r="L25" s="13" t="n"/>
      <c r="M25" s="13" t="n"/>
      <c r="N25" s="13" t="n"/>
      <c r="O25" s="13" t="n"/>
      <c r="P25" s="15" t="n">
        <v>35.3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 xml:space="preserve">  └ 36049000: 20% CET (76% of value)</t>
        </is>
      </c>
      <c r="K26" s="13" t="n"/>
      <c r="L26" s="13" t="n"/>
      <c r="M26" s="13" t="n"/>
      <c r="N26" s="13" t="n"/>
      <c r="O26" s="13" t="n"/>
      <c r="P26" s="15" t="n">
        <v>26.96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 xml:space="preserve">  └ 65040000: 20% CET (24% of value)</t>
        </is>
      </c>
      <c r="K27" s="13" t="n"/>
      <c r="L27" s="13" t="n"/>
      <c r="M27" s="13" t="n"/>
      <c r="N27" s="13" t="n"/>
      <c r="O27" s="13" t="n"/>
      <c r="P27" s="15" t="n">
        <v>8.34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CSC (6%)</t>
        </is>
      </c>
      <c r="K28" s="13" t="n"/>
      <c r="L28" s="13" t="n"/>
      <c r="M28" s="13" t="n"/>
      <c r="N28" s="13" t="n"/>
      <c r="O28" s="13" t="n"/>
      <c r="P28" s="15" t="n">
        <v>10.59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VAT (15%) on CIF+CET+CSC</t>
        </is>
      </c>
      <c r="K29" s="13" t="n"/>
      <c r="L29" s="13" t="n"/>
      <c r="M29" s="13" t="n"/>
      <c r="N29" s="13" t="n"/>
      <c r="O29" s="13" t="n"/>
      <c r="P29" s="15" t="n">
        <v>33.36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2" t="inlineStr">
        <is>
          <t>ESTIMATED TOTAL DUTIES</t>
        </is>
      </c>
      <c r="K30" s="16" t="n"/>
      <c r="L30" s="16" t="n"/>
      <c r="M30" s="16" t="n"/>
      <c r="N30" s="16" t="n"/>
      <c r="O30" s="16" t="n"/>
      <c r="P30" s="17" t="n">
        <v>79.25</v>
      </c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>Effective Duty Rate</t>
        </is>
      </c>
      <c r="K31" s="13" t="n"/>
      <c r="L31" s="13" t="n"/>
      <c r="M31" s="13" t="n"/>
      <c r="N31" s="13" t="n"/>
      <c r="O31" s="13" t="n"/>
      <c r="P31" s="18" t="n">
        <v>0.4489576251982778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>CLIENT DECLARED DUTIES</t>
        </is>
      </c>
      <c r="K32" s="13" t="n"/>
      <c r="L32" s="13" t="n"/>
      <c r="M32" s="13" t="n"/>
      <c r="N32" s="13" t="n"/>
      <c r="O32" s="13" t="n"/>
      <c r="P32" s="15" t="n">
        <v>8.960000000000001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9" t="inlineStr">
        <is>
          <t>DUTY VARIANCE (Client − Estimated)</t>
        </is>
      </c>
      <c r="K33" s="13" t="n"/>
      <c r="L33" s="13" t="n"/>
      <c r="M33" s="13" t="n"/>
      <c r="N33" s="13" t="n"/>
      <c r="O33" s="13" t="n"/>
      <c r="P33" s="20" t="n">
        <v>-70.29000000000001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/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inlineStr">
        <is>
          <t>Items on other declaration(s) (2 items)</t>
        </is>
      </c>
      <c r="K35" s="21" t="n"/>
      <c r="L35" s="21" t="n"/>
      <c r="M35" s="21" t="n"/>
      <c r="N35" s="21" t="n"/>
      <c r="O35" s="21" t="n"/>
      <c r="P35" s="22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1" t="n"/>
      <c r="B36" s="21" t="n"/>
      <c r="C36" s="21" t="n"/>
      <c r="D36" s="21" t="n"/>
      <c r="E36" s="21" t="inlineStr">
        <is>
          <t>HATS AND OTHER HEADGEAR, PLAITED OR MADE BY ASSEMBLING STRIPS</t>
        </is>
      </c>
      <c r="F36" s="21" t="inlineStr">
        <is>
          <t>65040000</t>
        </is>
      </c>
      <c r="G36" s="21" t="n"/>
      <c r="H36" s="21" t="n"/>
      <c r="I36" s="21" t="n"/>
      <c r="J36" s="21" t="inlineStr">
        <is>
          <t>Straw Hat (+1 more) (2 items)</t>
        </is>
      </c>
      <c r="K36" s="21" t="n">
        <v>2</v>
      </c>
      <c r="L36" s="21" t="n"/>
      <c r="M36" s="21" t="n"/>
      <c r="N36" s="21" t="inlineStr">
        <is>
          <t>USD</t>
        </is>
      </c>
      <c r="O36" s="22" t="n">
        <v>18.99</v>
      </c>
      <c r="P36" s="22" t="n">
        <v>37.98</v>
      </c>
      <c r="Q36" s="22" t="n"/>
      <c r="R36" s="22" t="n"/>
      <c r="S36" s="22" t="n"/>
      <c r="T36" s="22" t="n"/>
      <c r="U36" s="22" t="n"/>
      <c r="V36" s="22" t="n"/>
      <c r="W36" s="22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inlineStr">
        <is>
          <t>1215205001003</t>
        </is>
      </c>
      <c r="J37" s="23" t="inlineStr">
        <is>
          <t>Straw Hat</t>
        </is>
      </c>
      <c r="K37" s="23" t="n">
        <v>1</v>
      </c>
      <c r="L37" s="23" t="n"/>
      <c r="M37" s="23" t="n"/>
      <c r="N37" s="23" t="inlineStr">
        <is>
          <t>USD</t>
        </is>
      </c>
      <c r="O37" s="24" t="n">
        <v>19.99</v>
      </c>
      <c r="P37" s="24" t="n">
        <v>19.99</v>
      </c>
      <c r="Q37" s="24" t="n"/>
      <c r="R37" s="24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inlineStr">
        <is>
          <t>1057731002004</t>
        </is>
      </c>
      <c r="J38" s="23" t="inlineStr">
        <is>
          <t>Straw Hat</t>
        </is>
      </c>
      <c r="K38" s="23" t="n">
        <v>1</v>
      </c>
      <c r="L38" s="23" t="n"/>
      <c r="M38" s="23" t="n"/>
      <c r="N38" s="23" t="inlineStr">
        <is>
          <t>USD</t>
        </is>
      </c>
      <c r="O38" s="24" t="n">
        <v>17.99</v>
      </c>
      <c r="P38" s="24" t="n">
        <v>17.99</v>
      </c>
      <c r="Q38" s="24" t="n"/>
      <c r="R38" s="24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inlineStr">
        <is>
          <t>REFERENCE SUBTOTAL</t>
        </is>
      </c>
      <c r="K39" s="25" t="n"/>
      <c r="L39" s="25" t="n"/>
      <c r="M39" s="25" t="n"/>
      <c r="N39" s="25" t="n"/>
      <c r="O39" s="25" t="n"/>
      <c r="P39" s="26" t="n">
        <v>37.98</v>
      </c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inlineStr">
        <is>
          <t>REFERENCE FREIGHT</t>
        </is>
      </c>
      <c r="K40" s="25" t="n"/>
      <c r="L40" s="25" t="n"/>
      <c r="M40" s="25" t="n"/>
      <c r="N40" s="25" t="n"/>
      <c r="O40" s="25" t="n"/>
      <c r="P40" s="26" t="n">
        <v>9</v>
      </c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INSURANCE</t>
        </is>
      </c>
      <c r="K41" s="25" t="n"/>
      <c r="L41" s="25" t="n"/>
      <c r="M41" s="25" t="n"/>
      <c r="N41" s="25" t="n"/>
      <c r="O41" s="25" t="n"/>
      <c r="P41" s="26" t="n">
        <v>0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OTHER COST</t>
        </is>
      </c>
      <c r="K42" s="25" t="n"/>
      <c r="L42" s="25" t="n"/>
      <c r="M42" s="25" t="n"/>
      <c r="N42" s="25" t="n"/>
      <c r="O42" s="25" t="n"/>
      <c r="P42" s="26" t="n">
        <v>0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DEDUCTION</t>
        </is>
      </c>
      <c r="K43" s="25" t="n"/>
      <c r="L43" s="25" t="n"/>
      <c r="M43" s="25" t="n"/>
      <c r="N43" s="25" t="n"/>
      <c r="O43" s="25" t="n"/>
      <c r="P43" s="26" t="n">
        <v>0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ADJUSTMENTS</t>
        </is>
      </c>
      <c r="K44" s="25" t="n"/>
      <c r="L44" s="25" t="n"/>
      <c r="M44" s="25" t="n"/>
      <c r="N44" s="25" t="n"/>
      <c r="O44" s="25" t="n"/>
      <c r="P44" s="26">
        <f>P40+P41+P42-P43</f>
        <v/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NET TOTAL</t>
        </is>
      </c>
      <c r="K45" s="25" t="n"/>
      <c r="L45" s="25" t="n"/>
      <c r="M45" s="25" t="n"/>
      <c r="N45" s="25" t="n"/>
      <c r="O45" s="25" t="n"/>
      <c r="P45" s="26">
        <f>P39+P44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COMBINED ITEMS TOTAL</t>
        </is>
      </c>
      <c r="K47" s="25" t="n"/>
      <c r="L47" s="25" t="n"/>
      <c r="M47" s="25" t="n"/>
      <c r="N47" s="25" t="n"/>
      <c r="O47" s="25" t="n"/>
      <c r="P47" s="26">
        <f>P7+P39</f>
        <v/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FULL INVOICE FREIGHT</t>
        </is>
      </c>
      <c r="K48" s="25" t="n"/>
      <c r="L48" s="25" t="n"/>
      <c r="M48" s="25" t="n"/>
      <c r="N48" s="25" t="n"/>
      <c r="O48" s="25" t="n"/>
      <c r="P48" s="26">
        <f>P11+P40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FULL INVOICE INSURANCE</t>
        </is>
      </c>
      <c r="K49" s="25" t="n"/>
      <c r="L49" s="25" t="n"/>
      <c r="M49" s="25" t="n"/>
      <c r="N49" s="25" t="n"/>
      <c r="O49" s="25" t="n"/>
      <c r="P49" s="26">
        <f>P12+P41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OTHER COST</t>
        </is>
      </c>
      <c r="K50" s="25" t="n"/>
      <c r="L50" s="25" t="n"/>
      <c r="M50" s="25" t="n"/>
      <c r="N50" s="25" t="n"/>
      <c r="O50" s="25" t="n"/>
      <c r="P50" s="26">
        <f>P13+P42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DEDUCTION</t>
        </is>
      </c>
      <c r="K51" s="25" t="n"/>
      <c r="L51" s="25" t="n"/>
      <c r="M51" s="25" t="n"/>
      <c r="N51" s="25" t="n"/>
      <c r="O51" s="25" t="n"/>
      <c r="P51" s="26">
        <f>P14+P43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ADJUSTMENTS</t>
        </is>
      </c>
      <c r="K52" s="25" t="n"/>
      <c r="L52" s="25" t="n"/>
      <c r="M52" s="25" t="n"/>
      <c r="N52" s="25" t="n"/>
      <c r="O52" s="25" t="n"/>
      <c r="P52" s="26">
        <f>P48+P49+P50-P51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COMBINED NET TOTAL</t>
        </is>
      </c>
      <c r="K53" s="25" t="n"/>
      <c r="L53" s="25" t="n"/>
      <c r="M53" s="25" t="n"/>
      <c r="N53" s="25" t="n"/>
      <c r="O53" s="25" t="n"/>
      <c r="P53" s="26">
        <f>P47+P52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FULL INVOICE TOTAL</t>
        </is>
      </c>
      <c r="K54" s="25" t="n"/>
      <c r="L54" s="25" t="n"/>
      <c r="M54" s="25" t="n"/>
      <c r="N54" s="25" t="n"/>
      <c r="O54" s="25" t="n"/>
      <c r="P54" s="26" t="n">
        <v>128.93</v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COMBINED VARIANCE CHECK</t>
        </is>
      </c>
      <c r="K55" s="25" t="n"/>
      <c r="L55" s="25" t="n"/>
      <c r="M55" s="25" t="n"/>
      <c r="N55" s="25" t="n"/>
      <c r="O55" s="25" t="n"/>
      <c r="P55" s="26">
        <f>P54-P53</f>
        <v/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2026-04-20T12:59:34Z</dcterms:created>
  <dcterms:modified xsi:type="dcterms:W3CDTF">2026-04-20T12:59:34Z</dcterms:modified>
</cp:coreProperties>
</file>