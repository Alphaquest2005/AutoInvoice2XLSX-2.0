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  <xf numFmtId="0" fontId="9" fillId="5" borderId="1" pivotButton="0" quotePrefix="0" xfId="0"/>
    <xf numFmtId="4" fontId="9" fillId="5" borderId="1" pivotButton="0" quotePrefix="0" xfId="0"/>
    <xf numFmtId="0" fontId="10" fillId="0" borderId="1" pivotButton="0" quotePrefix="0" xfId="0"/>
    <xf numFmtId="4" fontId="10" fillId="0" borderId="1" pivotButton="0" quotePrefix="0" xfId="0"/>
    <xf numFmtId="0" fontId="9" fillId="0" borderId="1" pivotButton="0" quotePrefix="0" xfId="0"/>
    <xf numFmtId="4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1504495444</t>
        </is>
      </c>
      <c r="D2" s="2" t="inlineStr">
        <is>
          <t>2024-07-21</t>
        </is>
      </c>
      <c r="E2" s="2" t="inlineStr">
        <is>
          <t>HATS AND OTHER HEADGEAR, PLAITED OR MADE BY ASSEMBLING STRIPS</t>
        </is>
      </c>
      <c r="F2" s="2" t="inlineStr">
        <is>
          <t>65040000</t>
        </is>
      </c>
      <c r="G2" s="2" t="inlineStr"/>
      <c r="H2" s="2" t="inlineStr"/>
      <c r="I2" s="2" t="inlineStr">
        <is>
          <t>65040000</t>
        </is>
      </c>
      <c r="J2" s="2" t="inlineStr">
        <is>
          <t>Straw Hat (+1 more) (2 items)</t>
        </is>
      </c>
      <c r="K2" s="2" t="n">
        <v>2</v>
      </c>
      <c r="L2" s="2" t="n"/>
      <c r="M2" s="2" t="inlineStr"/>
      <c r="N2" s="2" t="inlineStr">
        <is>
          <t>USD</t>
        </is>
      </c>
      <c r="O2" s="3" t="n">
        <v>18.99</v>
      </c>
      <c r="P2" s="3" t="n">
        <v>37.98</v>
      </c>
      <c r="Q2" s="3">
        <f>O2*K2</f>
        <v/>
      </c>
      <c r="R2" s="3">
        <f>P2-Q2</f>
        <v/>
      </c>
      <c r="S2" s="3" t="n">
        <v>46.98</v>
      </c>
      <c r="T2" s="3" t="n">
        <v>9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UNK</t>
        </is>
      </c>
      <c r="AA2" s="2" t="inlineStr"/>
      <c r="AB2" s="2" t="inlineStr"/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65040000</t>
        </is>
      </c>
    </row>
    <row r="3">
      <c r="A3" s="4" t="n"/>
      <c r="B3" s="4" t="n"/>
      <c r="C3" s="4" t="n"/>
      <c r="D3" s="4" t="n"/>
      <c r="E3" s="4" t="n"/>
      <c r="F3" s="4" t="inlineStr">
        <is>
          <t>65040000</t>
        </is>
      </c>
      <c r="G3" s="4" t="n"/>
      <c r="H3" s="4" t="n"/>
      <c r="I3" s="4" t="inlineStr">
        <is>
          <t>1215205001003</t>
        </is>
      </c>
      <c r="J3" s="4" t="inlineStr">
        <is>
          <t>Straw Hat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19.99</v>
      </c>
      <c r="P3" s="5" t="n">
        <v>19.99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inlineStr">
        <is>
          <t>65040000</t>
        </is>
      </c>
      <c r="G4" s="4" t="n"/>
      <c r="H4" s="4" t="n"/>
      <c r="I4" s="4" t="inlineStr">
        <is>
          <t>1057731002004</t>
        </is>
      </c>
      <c r="J4" s="4" t="inlineStr">
        <is>
          <t>Straw Hat</t>
        </is>
      </c>
      <c r="K4" s="4" t="n">
        <v>1</v>
      </c>
      <c r="L4" s="4" t="n"/>
      <c r="M4" s="4" t="inlineStr"/>
      <c r="N4" s="4" t="inlineStr">
        <is>
          <t>USD</t>
        </is>
      </c>
      <c r="O4" s="5" t="n">
        <v>17.99</v>
      </c>
      <c r="P4" s="5" t="n">
        <v>17.99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(GROUPED)</t>
        </is>
      </c>
      <c r="K5" s="6" t="n"/>
      <c r="L5" s="6" t="n"/>
      <c r="M5" s="6" t="n"/>
      <c r="N5" s="6" t="n"/>
      <c r="O5" s="6" t="n"/>
      <c r="P5" s="7">
        <f>P2</f>
        <v/>
      </c>
      <c r="Q5" s="7">
        <f>Q2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inlineStr">
        <is>
          <t>SUBTOTAL (DETAILS)</t>
        </is>
      </c>
      <c r="K6" s="6" t="n"/>
      <c r="L6" s="6" t="n"/>
      <c r="M6" s="6" t="n"/>
      <c r="N6" s="6" t="n"/>
      <c r="O6" s="6" t="n"/>
      <c r="P6" s="7">
        <f>SUM(P2:P4)-P5</f>
        <v/>
      </c>
      <c r="Q6" s="7">
        <f>SUM(Q2:Q4)-Q5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inlineStr">
        <is>
          <t>GROUP VERIFICATION</t>
        </is>
      </c>
      <c r="K7" s="8" t="n"/>
      <c r="L7" s="8" t="n"/>
      <c r="M7" s="8" t="n"/>
      <c r="N7" s="8" t="n"/>
      <c r="O7" s="8" t="n"/>
      <c r="P7" s="9">
        <f>P5-P6</f>
        <v/>
      </c>
      <c r="Q7" s="9">
        <f>Q5-Q6</f>
        <v/>
      </c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</row>
    <row r="8"/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INTERNAL FREIGHT</t>
        </is>
      </c>
      <c r="K9" s="6" t="n"/>
      <c r="L9" s="6" t="n"/>
      <c r="M9" s="6" t="n"/>
      <c r="N9" s="6" t="n"/>
      <c r="O9" s="6" t="n"/>
      <c r="P9" s="7" t="n">
        <v>9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INSURANCE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OTHER COST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DEDUCTION</t>
        </is>
      </c>
      <c r="K12" s="6" t="n"/>
      <c r="L12" s="6" t="n"/>
      <c r="M12" s="6" t="n"/>
      <c r="N12" s="6" t="n"/>
      <c r="O12" s="6" t="n"/>
      <c r="P12" s="7" t="n">
        <v>0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ADJUSTMENTS</t>
        </is>
      </c>
      <c r="K13" s="6" t="n"/>
      <c r="L13" s="6" t="n"/>
      <c r="M13" s="6" t="n"/>
      <c r="N13" s="6" t="n"/>
      <c r="O13" s="6" t="n"/>
      <c r="P13" s="7">
        <f>(T2+U2+V2-W2)</f>
        <v/>
      </c>
      <c r="Q13" s="7">
        <f>(T2+U2+V2-W2)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/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NET TOTAL</t>
        </is>
      </c>
      <c r="K15" s="6" t="n"/>
      <c r="L15" s="6" t="n"/>
      <c r="M15" s="6" t="n"/>
      <c r="N15" s="6" t="n"/>
      <c r="O15" s="6" t="n"/>
      <c r="P15" s="7">
        <f>P5+P13</f>
        <v/>
      </c>
      <c r="Q15" s="7">
        <f>Q5+Q13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INVOICE TOTAL</t>
        </is>
      </c>
      <c r="K16" s="6" t="n"/>
      <c r="L16" s="6" t="n"/>
      <c r="M16" s="6" t="n"/>
      <c r="N16" s="6" t="n"/>
      <c r="O16" s="6" t="n"/>
      <c r="P16" s="7">
        <f>S2</f>
        <v/>
      </c>
      <c r="Q16" s="7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/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inlineStr">
        <is>
          <t>VARIANCE CHECK</t>
        </is>
      </c>
      <c r="K18" s="10" t="n"/>
      <c r="L18" s="10" t="n"/>
      <c r="M18" s="10" t="n"/>
      <c r="N18" s="10" t="n"/>
      <c r="O18" s="10" t="n"/>
      <c r="P18" s="11">
        <f>S2-P15</f>
        <v/>
      </c>
      <c r="Q18" s="11">
        <f>S2-Q15</f>
        <v/>
      </c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</row>
    <row r="19"/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inlineStr">
        <is>
          <t>DUTY ESTIMATION (Classification Cross-Check)</t>
        </is>
      </c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(USD) = InvTotal + Freight + Insurance</t>
        </is>
      </c>
      <c r="K21" s="13" t="n"/>
      <c r="L21" s="13" t="n"/>
      <c r="M21" s="13" t="n"/>
      <c r="N21" s="13" t="n"/>
      <c r="O21" s="13" t="n"/>
      <c r="P21" s="15" t="n">
        <v>55.98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CIF (XCD) = CIF × 2.7169</t>
        </is>
      </c>
      <c r="K22" s="13" t="n"/>
      <c r="L22" s="13" t="n"/>
      <c r="M22" s="13" t="n"/>
      <c r="N22" s="13" t="n"/>
      <c r="O22" s="13" t="n"/>
      <c r="P22" s="15" t="n">
        <v>152.09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CET (20%) — Tariff 65040000</t>
        </is>
      </c>
      <c r="K23" s="13" t="n"/>
      <c r="L23" s="13" t="n"/>
      <c r="M23" s="13" t="n"/>
      <c r="N23" s="13" t="n"/>
      <c r="O23" s="13" t="n"/>
      <c r="P23" s="15" t="n">
        <v>30.42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CSC (6%)</t>
        </is>
      </c>
      <c r="K24" s="13" t="n"/>
      <c r="L24" s="13" t="n"/>
      <c r="M24" s="13" t="n"/>
      <c r="N24" s="13" t="n"/>
      <c r="O24" s="13" t="n"/>
      <c r="P24" s="15" t="n">
        <v>9.130000000000001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>VAT (15%) on CIF+CET+CSC</t>
        </is>
      </c>
      <c r="K25" s="13" t="n"/>
      <c r="L25" s="13" t="n"/>
      <c r="M25" s="13" t="n"/>
      <c r="N25" s="13" t="n"/>
      <c r="O25" s="13" t="n"/>
      <c r="P25" s="15" t="n">
        <v>28.75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2" t="inlineStr">
        <is>
          <t>ESTIMATED TOTAL DUTIES</t>
        </is>
      </c>
      <c r="K26" s="16" t="n"/>
      <c r="L26" s="16" t="n"/>
      <c r="M26" s="16" t="n"/>
      <c r="N26" s="16" t="n"/>
      <c r="O26" s="16" t="n"/>
      <c r="P26" s="17" t="n">
        <v>68.3</v>
      </c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Effective Duty Rate</t>
        </is>
      </c>
      <c r="K27" s="13" t="n"/>
      <c r="L27" s="13" t="n"/>
      <c r="M27" s="13" t="n"/>
      <c r="N27" s="13" t="n"/>
      <c r="O27" s="13" t="n"/>
      <c r="P27" s="18" t="n">
        <v>0.4490762048786902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>CLIENT DECLARED DUTIES</t>
        </is>
      </c>
      <c r="K28" s="13" t="n"/>
      <c r="L28" s="13" t="n"/>
      <c r="M28" s="13" t="n"/>
      <c r="N28" s="13" t="n"/>
      <c r="O28" s="13" t="n"/>
      <c r="P28" s="15" t="n">
        <v>8.960000000000001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9" t="inlineStr">
        <is>
          <t>DUTY VARIANCE (Client − Estimated)</t>
        </is>
      </c>
      <c r="K29" s="13" t="n"/>
      <c r="L29" s="13" t="n"/>
      <c r="M29" s="13" t="n"/>
      <c r="N29" s="13" t="n"/>
      <c r="O29" s="13" t="n"/>
      <c r="P29" s="20" t="n">
        <v>-59.34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/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inlineStr">
        <is>
          <t>Items on other declaration(s) (3 items)</t>
        </is>
      </c>
      <c r="K31" s="21" t="n"/>
      <c r="L31" s="21" t="n"/>
      <c r="M31" s="21" t="n"/>
      <c r="N31" s="21" t="n"/>
      <c r="O31" s="21" t="n"/>
      <c r="P31" s="22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</row>
    <row r="32">
      <c r="A32" s="21" t="n"/>
      <c r="B32" s="21" t="n"/>
      <c r="C32" s="21" t="n"/>
      <c r="D32" s="21" t="n"/>
      <c r="E32" s="21" t="inlineStr">
        <is>
          <t>SIGNALING ARTICLES</t>
        </is>
      </c>
      <c r="F32" s="21" t="inlineStr">
        <is>
          <t>36049000</t>
        </is>
      </c>
      <c r="G32" s="21" t="n"/>
      <c r="H32" s="21" t="n"/>
      <c r="I32" s="21" t="n"/>
      <c r="J32" s="21" t="inlineStr">
        <is>
          <t>Flared (+1 more) (2 items)</t>
        </is>
      </c>
      <c r="K32" s="21" t="n">
        <v>2</v>
      </c>
      <c r="L32" s="21" t="n"/>
      <c r="M32" s="21" t="n"/>
      <c r="N32" s="21" t="inlineStr">
        <is>
          <t>USD</t>
        </is>
      </c>
      <c r="O32" s="22" t="n">
        <v>20.99</v>
      </c>
      <c r="P32" s="22" t="n">
        <v>41.98</v>
      </c>
      <c r="Q32" s="22" t="n"/>
      <c r="R32" s="22" t="n"/>
      <c r="S32" s="22" t="n"/>
      <c r="T32" s="22" t="n"/>
      <c r="U32" s="22" t="n"/>
      <c r="V32" s="22" t="n"/>
      <c r="W32" s="22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inlineStr">
        <is>
          <t>1206305006007</t>
        </is>
      </c>
      <c r="J33" s="23" t="inlineStr">
        <is>
          <t>Flared</t>
        </is>
      </c>
      <c r="K33" s="23" t="n">
        <v>1</v>
      </c>
      <c r="L33" s="23" t="n"/>
      <c r="M33" s="23" t="n"/>
      <c r="N33" s="23" t="inlineStr">
        <is>
          <t>USD</t>
        </is>
      </c>
      <c r="O33" s="24" t="n">
        <v>20.99</v>
      </c>
      <c r="P33" s="24" t="n">
        <v>20.99</v>
      </c>
      <c r="Q33" s="24" t="n"/>
      <c r="R33" s="24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3" t="n"/>
      <c r="AH33" s="23" t="n"/>
      <c r="AI33" s="23" t="n"/>
      <c r="AJ33" s="23" t="n"/>
      <c r="AK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inlineStr">
        <is>
          <t>1206305005007</t>
        </is>
      </c>
      <c r="J34" s="23" t="inlineStr">
        <is>
          <t>Flared</t>
        </is>
      </c>
      <c r="K34" s="23" t="n">
        <v>1</v>
      </c>
      <c r="L34" s="23" t="n"/>
      <c r="M34" s="23" t="n"/>
      <c r="N34" s="23" t="inlineStr">
        <is>
          <t>USD</t>
        </is>
      </c>
      <c r="O34" s="24" t="n">
        <v>20.99</v>
      </c>
      <c r="P34" s="24" t="n">
        <v>20.99</v>
      </c>
      <c r="Q34" s="24" t="n"/>
      <c r="R34" s="24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</row>
    <row r="35">
      <c r="A35" s="21" t="n"/>
      <c r="B35" s="21" t="n"/>
      <c r="C35" s="21" t="n"/>
      <c r="D35" s="21" t="n"/>
      <c r="E35" s="21" t="inlineStr">
        <is>
          <t>HATS AND OTHER HEADGEAR, PLAITED OR MADE BY ASSEMBLING STRIPS</t>
        </is>
      </c>
      <c r="F35" s="21" t="inlineStr">
        <is>
          <t>65040000</t>
        </is>
      </c>
      <c r="G35" s="21" t="n"/>
      <c r="H35" s="21" t="n"/>
      <c r="I35" s="21" t="n"/>
      <c r="J35" s="21" t="inlineStr">
        <is>
          <t>Frayed-edge Straw Hat (1 items)</t>
        </is>
      </c>
      <c r="K35" s="21" t="n">
        <v>1</v>
      </c>
      <c r="L35" s="21" t="n"/>
      <c r="M35" s="21" t="n"/>
      <c r="N35" s="21" t="inlineStr">
        <is>
          <t>USD</t>
        </is>
      </c>
      <c r="O35" s="22" t="n">
        <v>12.99</v>
      </c>
      <c r="P35" s="22" t="n">
        <v>12.99</v>
      </c>
      <c r="Q35" s="22" t="n"/>
      <c r="R35" s="22" t="n"/>
      <c r="S35" s="22" t="n"/>
      <c r="T35" s="22" t="n"/>
      <c r="U35" s="22" t="n"/>
      <c r="V35" s="22" t="n"/>
      <c r="W35" s="22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inlineStr">
        <is>
          <t>1229647001004</t>
        </is>
      </c>
      <c r="J36" s="23" t="inlineStr">
        <is>
          <t>Frayed-edge Straw Hat</t>
        </is>
      </c>
      <c r="K36" s="23" t="n">
        <v>1</v>
      </c>
      <c r="L36" s="23" t="n"/>
      <c r="M36" s="23" t="n"/>
      <c r="N36" s="23" t="inlineStr">
        <is>
          <t>USD</t>
        </is>
      </c>
      <c r="O36" s="24" t="n">
        <v>12.99</v>
      </c>
      <c r="P36" s="24" t="n">
        <v>12.99</v>
      </c>
      <c r="Q36" s="24" t="n"/>
      <c r="R36" s="24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inlineStr">
        <is>
          <t>REFERENCE SUBTOTAL</t>
        </is>
      </c>
      <c r="K37" s="25" t="n"/>
      <c r="L37" s="25" t="n"/>
      <c r="M37" s="25" t="n"/>
      <c r="N37" s="25" t="n"/>
      <c r="O37" s="25" t="n"/>
      <c r="P37" s="26" t="n">
        <v>54.97</v>
      </c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25" t="n"/>
      <c r="AE37" s="25" t="n"/>
      <c r="AF37" s="25" t="n"/>
      <c r="AG37" s="25" t="n"/>
      <c r="AH37" s="25" t="n"/>
      <c r="AI37" s="25" t="n"/>
      <c r="AJ37" s="25" t="n"/>
      <c r="AK37" s="25" t="n"/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inlineStr">
        <is>
          <t>REFERENCE FREIGHT</t>
        </is>
      </c>
      <c r="K38" s="25" t="n"/>
      <c r="L38" s="25" t="n"/>
      <c r="M38" s="25" t="n"/>
      <c r="N38" s="25" t="n"/>
      <c r="O38" s="25" t="n"/>
      <c r="P38" s="26" t="n">
        <v>5</v>
      </c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  <c r="AD38" s="25" t="n"/>
      <c r="AE38" s="25" t="n"/>
      <c r="AF38" s="25" t="n"/>
      <c r="AG38" s="25" t="n"/>
      <c r="AH38" s="25" t="n"/>
      <c r="AI38" s="25" t="n"/>
      <c r="AJ38" s="25" t="n"/>
      <c r="AK38" s="25" t="n"/>
    </row>
    <row r="3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inlineStr">
        <is>
          <t>REFERENCE INSURANCE</t>
        </is>
      </c>
      <c r="K39" s="25" t="n"/>
      <c r="L39" s="25" t="n"/>
      <c r="M39" s="25" t="n"/>
      <c r="N39" s="25" t="n"/>
      <c r="O39" s="25" t="n"/>
      <c r="P39" s="26" t="n">
        <v>0</v>
      </c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  <c r="AD39" s="25" t="n"/>
      <c r="AE39" s="25" t="n"/>
      <c r="AF39" s="25" t="n"/>
      <c r="AG39" s="25" t="n"/>
      <c r="AH39" s="25" t="n"/>
      <c r="AI39" s="25" t="n"/>
      <c r="AJ39" s="25" t="n"/>
      <c r="AK39" s="25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inlineStr">
        <is>
          <t>REFERENCE OTHER COST</t>
        </is>
      </c>
      <c r="K40" s="25" t="n"/>
      <c r="L40" s="25" t="n"/>
      <c r="M40" s="25" t="n"/>
      <c r="N40" s="25" t="n"/>
      <c r="O40" s="25" t="n"/>
      <c r="P40" s="26" t="n">
        <v>0</v>
      </c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inlineStr">
        <is>
          <t>REFERENCE DEDUCTION</t>
        </is>
      </c>
      <c r="K41" s="25" t="n"/>
      <c r="L41" s="25" t="n"/>
      <c r="M41" s="25" t="n"/>
      <c r="N41" s="25" t="n"/>
      <c r="O41" s="25" t="n"/>
      <c r="P41" s="26" t="n">
        <v>0</v>
      </c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inlineStr">
        <is>
          <t>REFERENCE ADJUSTMENTS</t>
        </is>
      </c>
      <c r="K42" s="25" t="n"/>
      <c r="L42" s="25" t="n"/>
      <c r="M42" s="25" t="n"/>
      <c r="N42" s="25" t="n"/>
      <c r="O42" s="25" t="n"/>
      <c r="P42" s="26">
        <f>P38+P39+P40-P41</f>
        <v/>
      </c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inlineStr">
        <is>
          <t>REFERENCE NET TOTAL</t>
        </is>
      </c>
      <c r="K43" s="25" t="n"/>
      <c r="L43" s="25" t="n"/>
      <c r="M43" s="25" t="n"/>
      <c r="N43" s="25" t="n"/>
      <c r="O43" s="25" t="n"/>
      <c r="P43" s="26">
        <f>P37+P42</f>
        <v/>
      </c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inlineStr">
        <is>
          <t>COMBINED ITEMS TOTAL</t>
        </is>
      </c>
      <c r="K45" s="25" t="n"/>
      <c r="L45" s="25" t="n"/>
      <c r="M45" s="25" t="n"/>
      <c r="N45" s="25" t="n"/>
      <c r="O45" s="25" t="n"/>
      <c r="P45" s="26">
        <f>P5+P37</f>
        <v/>
      </c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inlineStr">
        <is>
          <t>FULL INVOICE FREIGHT</t>
        </is>
      </c>
      <c r="K46" s="25" t="n"/>
      <c r="L46" s="25" t="n"/>
      <c r="M46" s="25" t="n"/>
      <c r="N46" s="25" t="n"/>
      <c r="O46" s="25" t="n"/>
      <c r="P46" s="26">
        <f>P9+P38</f>
        <v/>
      </c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inlineStr">
        <is>
          <t>FULL INVOICE INSURANCE</t>
        </is>
      </c>
      <c r="K47" s="25" t="n"/>
      <c r="L47" s="25" t="n"/>
      <c r="M47" s="25" t="n"/>
      <c r="N47" s="25" t="n"/>
      <c r="O47" s="25" t="n"/>
      <c r="P47" s="26">
        <f>P10+P39</f>
        <v/>
      </c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  <c r="AD47" s="25" t="n"/>
      <c r="AE47" s="25" t="n"/>
      <c r="AF47" s="25" t="n"/>
      <c r="AG47" s="25" t="n"/>
      <c r="AH47" s="25" t="n"/>
      <c r="AI47" s="25" t="n"/>
      <c r="AJ47" s="25" t="n"/>
      <c r="AK47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inlineStr">
        <is>
          <t>FULL INVOICE OTHER COST</t>
        </is>
      </c>
      <c r="K48" s="25" t="n"/>
      <c r="L48" s="25" t="n"/>
      <c r="M48" s="25" t="n"/>
      <c r="N48" s="25" t="n"/>
      <c r="O48" s="25" t="n"/>
      <c r="P48" s="26">
        <f>P11+P40</f>
        <v/>
      </c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  <c r="AD48" s="25" t="n"/>
      <c r="AE48" s="25" t="n"/>
      <c r="AF48" s="25" t="n"/>
      <c r="AG48" s="25" t="n"/>
      <c r="AH48" s="25" t="n"/>
      <c r="AI48" s="25" t="n"/>
      <c r="AJ48" s="25" t="n"/>
      <c r="AK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inlineStr">
        <is>
          <t>FULL INVOICE DEDUCTION</t>
        </is>
      </c>
      <c r="K49" s="25" t="n"/>
      <c r="L49" s="25" t="n"/>
      <c r="M49" s="25" t="n"/>
      <c r="N49" s="25" t="n"/>
      <c r="O49" s="25" t="n"/>
      <c r="P49" s="26">
        <f>P12+P41</f>
        <v/>
      </c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inlineStr">
        <is>
          <t>FULL ADJUSTMENTS</t>
        </is>
      </c>
      <c r="K50" s="25" t="n"/>
      <c r="L50" s="25" t="n"/>
      <c r="M50" s="25" t="n"/>
      <c r="N50" s="25" t="n"/>
      <c r="O50" s="25" t="n"/>
      <c r="P50" s="26">
        <f>P46+P47+P48-P49</f>
        <v/>
      </c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inlineStr">
        <is>
          <t>COMBINED NET TOTAL</t>
        </is>
      </c>
      <c r="K51" s="25" t="n"/>
      <c r="L51" s="25" t="n"/>
      <c r="M51" s="25" t="n"/>
      <c r="N51" s="25" t="n"/>
      <c r="O51" s="25" t="n"/>
      <c r="P51" s="26">
        <f>P45+P50</f>
        <v/>
      </c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inlineStr">
        <is>
          <t>FULL INVOICE TOTAL</t>
        </is>
      </c>
      <c r="K52" s="25" t="n"/>
      <c r="L52" s="25" t="n"/>
      <c r="M52" s="25" t="n"/>
      <c r="N52" s="25" t="n"/>
      <c r="O52" s="25" t="n"/>
      <c r="P52" s="26" t="n">
        <v>128.93</v>
      </c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inlineStr">
        <is>
          <t>COMBINED VARIANCE CHECK</t>
        </is>
      </c>
      <c r="K53" s="25" t="n"/>
      <c r="L53" s="25" t="n"/>
      <c r="M53" s="25" t="n"/>
      <c r="N53" s="25" t="n"/>
      <c r="O53" s="25" t="n"/>
      <c r="P53" s="26">
        <f>P52-P51</f>
        <v/>
      </c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  <c r="AD53" s="25" t="n"/>
      <c r="AE53" s="25" t="n"/>
      <c r="AF53" s="25" t="n"/>
      <c r="AG53" s="25" t="n"/>
      <c r="AH53" s="25" t="n"/>
      <c r="AI53" s="25" t="n"/>
      <c r="AJ53" s="25" t="n"/>
      <c r="AK53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2026-04-20T12:59:34Z</dcterms:created>
  <dcterms:modified xsi:type="dcterms:W3CDTF">2026-04-20T12:59:34Z</dcterms:modified>
</cp:coreProperties>
</file>