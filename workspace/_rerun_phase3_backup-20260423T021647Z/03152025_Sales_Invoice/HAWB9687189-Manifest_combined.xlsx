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 Invoices" sheetId="1" state="visible" r:id="rId1"/>
    <sheet name="OCR 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0.0%"/>
    <numFmt numFmtId="166" formatCode="&quot;$&quot;#,##0.00"/>
  </numFmts>
  <fonts count="15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1"/>
    </font>
    <font>
      <sz val="10"/>
    </font>
    <font>
      <b val="1"/>
      <color rgb="000000FF"/>
      <sz val="11"/>
    </font>
    <font>
      <b val="1"/>
      <color rgb="00FF0000"/>
      <sz val="11"/>
    </font>
    <font>
      <b val="1"/>
      <color rgb="001F4E79"/>
      <sz val="10"/>
    </font>
    <font>
      <color rgb="001F4E79"/>
      <sz val="10"/>
    </font>
    <font>
      <b val="1"/>
      <color rgb="00FFFFFF"/>
      <sz val="12"/>
    </font>
    <font>
      <b val="1"/>
    </font>
    <font>
      <b val="1"/>
      <color rgb="00FF0000"/>
    </font>
    <font>
      <i val="1"/>
      <color rgb="00666666"/>
    </font>
    <font>
      <b val="1"/>
      <color rgb="00FFFFFF"/>
      <sz val="11"/>
    </font>
    <font>
      <b val="1"/>
      <color rgb="009C0006"/>
    </font>
    <font>
      <b val="1"/>
      <color rgb="00FF0000"/>
      <sz val="12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D6E4F0"/>
        <bgColor rgb="00D6E4F0"/>
      </patternFill>
    </fill>
    <fill>
      <patternFill patternType="solid">
        <fgColor rgb="00E0E0E0"/>
        <bgColor rgb="00E0E0E0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3" borderId="1" pivotButton="0" quotePrefix="0" xfId="0"/>
    <xf numFmtId="4" fontId="2" fillId="3" borderId="1" pivotButton="0" quotePrefix="0" xfId="0"/>
    <xf numFmtId="0" fontId="3" fillId="0" borderId="1" pivotButton="0" quotePrefix="0" xfId="0"/>
    <xf numFmtId="4" fontId="3" fillId="0" borderId="1" pivotButton="0" quotePrefix="0" xfId="0"/>
    <xf numFmtId="0" fontId="2" fillId="0" borderId="1" pivotButton="0" quotePrefix="0" xfId="0"/>
    <xf numFmtId="4" fontId="2" fillId="0" borderId="1" pivotButton="0" quotePrefix="0" xfId="0"/>
    <xf numFmtId="0" fontId="4" fillId="0" borderId="1" pivotButton="0" quotePrefix="0" xfId="0"/>
    <xf numFmtId="4" fontId="4" fillId="0" borderId="1" pivotButton="0" quotePrefix="0" xfId="0"/>
    <xf numFmtId="0" fontId="5" fillId="0" borderId="1" pivotButton="0" quotePrefix="0" xfId="0"/>
    <xf numFmtId="4" fontId="5" fillId="0" borderId="1" pivotButton="0" quotePrefix="0" xfId="0"/>
    <xf numFmtId="0" fontId="6" fillId="4" borderId="1" pivotButton="0" quotePrefix="0" xfId="0"/>
    <xf numFmtId="0" fontId="0" fillId="0" borderId="1" pivotButton="0" quotePrefix="0" xfId="0"/>
    <xf numFmtId="0" fontId="7" fillId="0" borderId="1" pivotButton="0" quotePrefix="0" xfId="0"/>
    <xf numFmtId="164" fontId="6" fillId="0" borderId="1" pivotButton="0" quotePrefix="0" xfId="0"/>
    <xf numFmtId="0" fontId="0" fillId="4" borderId="1" pivotButton="0" quotePrefix="0" xfId="0"/>
    <xf numFmtId="164" fontId="6" fillId="4" borderId="1" pivotButton="0" quotePrefix="0" xfId="0"/>
    <xf numFmtId="165" fontId="6" fillId="0" borderId="1" pivotButton="0" quotePrefix="0" xfId="0"/>
    <xf numFmtId="0" fontId="0" fillId="5" borderId="0" pivotButton="0" quotePrefix="0" xfId="0"/>
    <xf numFmtId="0" fontId="0" fillId="2" borderId="0" pivotButton="0" quotePrefix="0" xfId="0"/>
    <xf numFmtId="0" fontId="8" fillId="2" borderId="0" pivotButton="0" quotePrefix="0" xfId="0"/>
    <xf numFmtId="0" fontId="9" fillId="0" borderId="0" pivotButton="0" quotePrefix="0" xfId="0"/>
    <xf numFmtId="166" fontId="0" fillId="0" borderId="0" pivotButton="0" quotePrefix="0" xfId="0"/>
    <xf numFmtId="166" fontId="10" fillId="0" borderId="0" pivotButton="0" quotePrefix="0" xfId="0"/>
    <xf numFmtId="0" fontId="2" fillId="0" borderId="0" pivotButton="0" quotePrefix="0" xfId="0"/>
    <xf numFmtId="166" fontId="2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2" borderId="0" pivotButton="0" quotePrefix="0" xfId="0"/>
    <xf numFmtId="0" fontId="0" fillId="6" borderId="0" pivotButton="0" quotePrefix="0" xfId="0"/>
    <xf numFmtId="0" fontId="13" fillId="6" borderId="0" pivotButton="0" quotePrefix="0" xfId="0"/>
    <xf numFmtId="0" fontId="0" fillId="6" borderId="0" applyAlignment="1" pivotButton="0" quotePrefix="0" xfId="0">
      <alignment vertical="top" wrapText="1"/>
    </xf>
    <xf numFmtId="0" fontId="1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4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12" customWidth="1" min="4" max="4"/>
    <col width="15" customWidth="1" min="5" max="5"/>
    <col width="12" customWidth="1" min="6" max="6"/>
    <col width="22" customWidth="1" min="7" max="7"/>
    <col width="40" customWidth="1" min="8" max="8"/>
    <col width="18" customWidth="1" min="9" max="9"/>
    <col width="45" customWidth="1" min="10" max="10"/>
    <col width="10" customWidth="1" min="11" max="11"/>
    <col width="12" customWidth="1" min="12" max="12"/>
    <col width="8" customWidth="1" min="13" max="13"/>
    <col width="8" customWidth="1" min="14" max="14"/>
    <col width="12" customWidth="1" min="15" max="15"/>
    <col width="12" customWidth="1" min="16" max="16"/>
    <col width="12" customWidth="1" min="17" max="17"/>
    <col width="14" customWidth="1" min="18" max="18"/>
    <col width="14" customWidth="1" min="19" max="19"/>
    <col width="16" customWidth="1" min="20" max="20"/>
    <col width="14" customWidth="1" min="21" max="21"/>
    <col width="14" customWidth="1" min="22" max="22"/>
    <col width="14" customWidth="1" min="23" max="23"/>
    <col width="10" customWidth="1" min="24" max="24"/>
    <col width="12" customWidth="1" min="25" max="25"/>
    <col width="14" customWidth="1" min="26" max="26"/>
    <col width="28" customWidth="1" min="27" max="27"/>
    <col width="40" customWidth="1" min="28" max="28"/>
    <col width="12" customWidth="1" min="29" max="29"/>
    <col width="12" customWidth="1" min="30" max="30"/>
    <col width="18" customWidth="1" min="31" max="31"/>
    <col width="16" customWidth="1" min="32" max="32"/>
    <col width="10" customWidth="1" min="33" max="33"/>
    <col width="10" customWidth="1" min="34" max="34"/>
    <col width="14" customWidth="1" min="35" max="35"/>
    <col width="14" customWidth="1" min="36" max="36"/>
    <col width="12" customWidth="1" min="37" max="37"/>
  </cols>
  <sheetData>
    <row r="1">
      <c r="A1" s="1" t="inlineStr">
        <is>
          <t>Document Type</t>
        </is>
      </c>
      <c r="B1" s="1" t="inlineStr">
        <is>
          <t>PO Number</t>
        </is>
      </c>
      <c r="C1" s="1" t="inlineStr">
        <is>
          <t>Supplier Invoice#</t>
        </is>
      </c>
      <c r="D1" s="1" t="inlineStr">
        <is>
          <t>Date</t>
        </is>
      </c>
      <c r="E1" s="1" t="inlineStr">
        <is>
          <t>Category</t>
        </is>
      </c>
      <c r="F1" s="1" t="inlineStr">
        <is>
          <t>TariffCode</t>
        </is>
      </c>
      <c r="G1" s="1" t="inlineStr">
        <is>
          <t>PO Item Number</t>
        </is>
      </c>
      <c r="H1" s="1" t="inlineStr">
        <is>
          <t>PO Item Description</t>
        </is>
      </c>
      <c r="I1" s="1" t="inlineStr">
        <is>
          <t>Supplier Item Number</t>
        </is>
      </c>
      <c r="J1" s="1" t="inlineStr">
        <is>
          <t>Supplier Item Description</t>
        </is>
      </c>
      <c r="K1" s="1" t="inlineStr">
        <is>
          <t>Quantity</t>
        </is>
      </c>
      <c r="L1" s="1" t="inlineStr">
        <is>
          <t>Per Unit</t>
        </is>
      </c>
      <c r="M1" s="1" t="inlineStr">
        <is>
          <t>UNITS</t>
        </is>
      </c>
      <c r="N1" s="1" t="inlineStr">
        <is>
          <t>Currency</t>
        </is>
      </c>
      <c r="O1" s="1" t="inlineStr">
        <is>
          <t>Cost</t>
        </is>
      </c>
      <c r="P1" s="1" t="inlineStr">
        <is>
          <t>Total Cost</t>
        </is>
      </c>
      <c r="Q1" s="1" t="inlineStr">
        <is>
          <t>Total</t>
        </is>
      </c>
      <c r="R1" s="1" t="inlineStr">
        <is>
          <t>TotalCost Vs Total</t>
        </is>
      </c>
      <c r="S1" s="1" t="inlineStr">
        <is>
          <t>InvoiceTotal</t>
        </is>
      </c>
      <c r="T1" s="1" t="inlineStr">
        <is>
          <t>Total Internal Freight</t>
        </is>
      </c>
      <c r="U1" s="1" t="inlineStr">
        <is>
          <t>Total Insurance</t>
        </is>
      </c>
      <c r="V1" s="1" t="inlineStr">
        <is>
          <t>Total Other Cost</t>
        </is>
      </c>
      <c r="W1" s="1" t="inlineStr">
        <is>
          <t>Total Deduction</t>
        </is>
      </c>
      <c r="X1" s="1" t="inlineStr">
        <is>
          <t>Packages</t>
        </is>
      </c>
      <c r="Y1" s="1" t="inlineStr">
        <is>
          <t>Warehouse</t>
        </is>
      </c>
      <c r="Z1" s="1" t="inlineStr">
        <is>
          <t>Supplier Code</t>
        </is>
      </c>
      <c r="AA1" s="1" t="inlineStr">
        <is>
          <t>Supplier Name</t>
        </is>
      </c>
      <c r="AB1" s="1" t="inlineStr">
        <is>
          <t>Supplier Address</t>
        </is>
      </c>
      <c r="AC1" s="1" t="inlineStr">
        <is>
          <t>Country Code</t>
        </is>
      </c>
      <c r="AD1" s="1" t="inlineStr">
        <is>
          <t>Instructions</t>
        </is>
      </c>
      <c r="AE1" s="1" t="inlineStr">
        <is>
          <t>Previous Declaration</t>
        </is>
      </c>
      <c r="AF1" s="1" t="inlineStr">
        <is>
          <t>Financial Information</t>
        </is>
      </c>
      <c r="AG1" s="1" t="inlineStr">
        <is>
          <t>Gallons</t>
        </is>
      </c>
      <c r="AH1" s="1" t="inlineStr">
        <is>
          <t>Liters</t>
        </is>
      </c>
      <c r="AI1" s="1" t="inlineStr">
        <is>
          <t>INVTotalCost</t>
        </is>
      </c>
      <c r="AJ1" s="1" t="inlineStr">
        <is>
          <t>POTotalCost</t>
        </is>
      </c>
      <c r="AK1" s="1" t="inlineStr">
        <is>
          <t>GroupBy</t>
        </is>
      </c>
    </row>
    <row r="2">
      <c r="A2" s="2" t="inlineStr">
        <is>
          <t>4000-000</t>
        </is>
      </c>
      <c r="B2" s="2" t="n"/>
      <c r="C2" s="2" t="inlineStr">
        <is>
          <t>SELLER</t>
        </is>
      </c>
      <c r="D2" s="2" t="n"/>
      <c r="E2" s="2" t="inlineStr">
        <is>
          <t>Miscellaneous</t>
        </is>
      </c>
      <c r="F2" s="2" t="inlineStr">
        <is>
          <t>62052000</t>
        </is>
      </c>
      <c r="G2" s="2" t="n"/>
      <c r="H2" s="2" t="n"/>
      <c r="I2" s="2" t="inlineStr">
        <is>
          <t>99999999</t>
        </is>
      </c>
      <c r="J2" s="2" t="inlineStr">
        <is>
          <t>SHEIN US Services, LLC Purchase (1 items)</t>
        </is>
      </c>
      <c r="K2" s="2" t="n">
        <v>1</v>
      </c>
      <c r="L2" s="2" t="n"/>
      <c r="M2" s="2" t="n"/>
      <c r="N2" s="2" t="inlineStr">
        <is>
          <t>USD</t>
        </is>
      </c>
      <c r="O2" s="3" t="n">
        <v>0.01</v>
      </c>
      <c r="P2" s="3" t="n">
        <v>0.01</v>
      </c>
      <c r="Q2" s="3">
        <f>O2*K2</f>
        <v/>
      </c>
      <c r="R2" s="3">
        <f>P2-Q2</f>
        <v/>
      </c>
      <c r="S2" s="3" t="n">
        <v>0.01</v>
      </c>
      <c r="T2" s="3" t="n">
        <v>0</v>
      </c>
      <c r="U2" s="3" t="n">
        <v>0</v>
      </c>
      <c r="V2" s="3" t="n">
        <v>0</v>
      </c>
      <c r="W2" s="3" t="n">
        <v>0</v>
      </c>
      <c r="X2" s="2" t="n">
        <v>1</v>
      </c>
      <c r="Y2" s="2" t="n"/>
      <c r="Z2" s="2" t="inlineStr">
        <is>
          <t>SHEIN</t>
        </is>
      </c>
      <c r="AA2" s="2" t="inlineStr">
        <is>
          <t>SHEIN US Services, LLC</t>
        </is>
      </c>
      <c r="AB2" s="2" t="inlineStr">
        <is>
          <t>777 S. Alameda St., Second Floor, Los Angeles, CA 90021</t>
        </is>
      </c>
      <c r="AC2" s="2" t="inlineStr">
        <is>
          <t>US</t>
        </is>
      </c>
      <c r="AD2" s="2" t="n"/>
      <c r="AE2" s="2" t="n"/>
      <c r="AF2" s="2" t="n"/>
      <c r="AG2" s="2" t="n"/>
      <c r="AH2" s="2" t="n"/>
      <c r="AI2" s="2" t="n"/>
      <c r="AJ2" s="2" t="n"/>
      <c r="AK2" s="2" t="inlineStr">
        <is>
          <t>62052000</t>
        </is>
      </c>
    </row>
    <row r="3">
      <c r="A3" s="4" t="n"/>
      <c r="B3" s="4" t="n"/>
      <c r="C3" s="4" t="n"/>
      <c r="D3" s="4" t="n"/>
      <c r="E3" s="4" t="n"/>
      <c r="F3" s="4" t="inlineStr">
        <is>
          <t>62052000</t>
        </is>
      </c>
      <c r="G3" s="4" t="n"/>
      <c r="H3" s="4" t="n"/>
      <c r="I3" s="4" t="inlineStr">
        <is>
          <t>SHE-1</t>
        </is>
      </c>
      <c r="J3" s="4" t="inlineStr">
        <is>
          <t>SHEIN US Services, LLC Purchase</t>
        </is>
      </c>
      <c r="K3" s="4" t="n">
        <v>1</v>
      </c>
      <c r="L3" s="4" t="n"/>
      <c r="M3" s="4" t="n"/>
      <c r="N3" s="4" t="inlineStr">
        <is>
          <t>USD</t>
        </is>
      </c>
      <c r="O3" s="5" t="n">
        <v>0.01</v>
      </c>
      <c r="P3" s="5" t="n">
        <v>0.01</v>
      </c>
      <c r="Q3" s="5">
        <f>O3*K3</f>
        <v/>
      </c>
      <c r="R3" s="5">
        <f>P3-Q3</f>
        <v/>
      </c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inlineStr">
        <is>
          <t>62052000</t>
        </is>
      </c>
    </row>
    <row r="4">
      <c r="A4" s="6" t="n"/>
      <c r="B4" s="6" t="n"/>
      <c r="C4" s="6" t="n"/>
      <c r="D4" s="6" t="n"/>
      <c r="E4" s="6" t="n"/>
      <c r="F4" s="6" t="n"/>
      <c r="G4" s="6" t="n"/>
      <c r="H4" s="6" t="n"/>
      <c r="I4" s="6" t="n"/>
      <c r="J4" s="6" t="inlineStr">
        <is>
          <t>SUBTOTAL (GROUPED)</t>
        </is>
      </c>
      <c r="K4" s="6" t="n"/>
      <c r="L4" s="6" t="n"/>
      <c r="M4" s="6" t="n"/>
      <c r="N4" s="6" t="n"/>
      <c r="O4" s="6" t="n"/>
      <c r="P4" s="7">
        <f>P2</f>
        <v/>
      </c>
      <c r="Q4" s="7">
        <f>Q2</f>
        <v/>
      </c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inlineStr">
        <is>
          <t>SUBTOTAL (DETAILS)</t>
        </is>
      </c>
      <c r="K5" s="6" t="n"/>
      <c r="L5" s="6" t="n"/>
      <c r="M5" s="6" t="n"/>
      <c r="N5" s="6" t="n"/>
      <c r="O5" s="6" t="n"/>
      <c r="P5" s="7">
        <f>SUM(P2:P3)-P4</f>
        <v/>
      </c>
      <c r="Q5" s="7">
        <f>SUM(Q2:Q3)-Q4</f>
        <v/>
      </c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inlineStr">
        <is>
          <t>GROUP VERIFICATION</t>
        </is>
      </c>
      <c r="K6" s="8" t="n"/>
      <c r="L6" s="8" t="n"/>
      <c r="M6" s="8" t="n"/>
      <c r="N6" s="8" t="n"/>
      <c r="O6" s="8" t="n"/>
      <c r="P6" s="9">
        <f>P4-P5</f>
        <v/>
      </c>
      <c r="Q6" s="9">
        <f>Q4-Q5</f>
        <v/>
      </c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</row>
    <row r="7"/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inlineStr">
        <is>
          <t>TOTAL INTERNAL FREIGHT</t>
        </is>
      </c>
      <c r="K8" s="6" t="n"/>
      <c r="L8" s="6" t="n"/>
      <c r="M8" s="6" t="n"/>
      <c r="N8" s="6" t="n"/>
      <c r="O8" s="6" t="n"/>
      <c r="P8" s="7" t="n">
        <v>0</v>
      </c>
      <c r="Q8" s="7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inlineStr">
        <is>
          <t>TOTAL INSURANCE</t>
        </is>
      </c>
      <c r="K9" s="6" t="n"/>
      <c r="L9" s="6" t="n"/>
      <c r="M9" s="6" t="n"/>
      <c r="N9" s="6" t="n"/>
      <c r="O9" s="6" t="n"/>
      <c r="P9" s="7" t="n">
        <v>0</v>
      </c>
      <c r="Q9" s="7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/>
      <c r="AE9" s="6" t="n"/>
      <c r="AF9" s="6" t="n"/>
      <c r="AG9" s="6" t="n"/>
      <c r="AH9" s="6" t="n"/>
      <c r="AI9" s="6" t="n"/>
      <c r="AJ9" s="6" t="n"/>
      <c r="AK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inlineStr">
        <is>
          <t>TOTAL OTHER COST</t>
        </is>
      </c>
      <c r="K10" s="6" t="n"/>
      <c r="L10" s="6" t="n"/>
      <c r="M10" s="6" t="n"/>
      <c r="N10" s="6" t="n"/>
      <c r="O10" s="6" t="n"/>
      <c r="P10" s="7" t="n">
        <v>0</v>
      </c>
      <c r="Q10" s="7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  <c r="AE10" s="6" t="n"/>
      <c r="AF10" s="6" t="n"/>
      <c r="AG10" s="6" t="n"/>
      <c r="AH10" s="6" t="n"/>
      <c r="AI10" s="6" t="n"/>
      <c r="AJ10" s="6" t="n"/>
      <c r="AK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inlineStr">
        <is>
          <t>TOTAL DEDUCTION</t>
        </is>
      </c>
      <c r="K11" s="6" t="n"/>
      <c r="L11" s="6" t="n"/>
      <c r="M11" s="6" t="n"/>
      <c r="N11" s="6" t="n"/>
      <c r="O11" s="6" t="n"/>
      <c r="P11" s="7" t="n">
        <v>0</v>
      </c>
      <c r="Q11" s="7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inlineStr">
        <is>
          <t>ADJUSTMENTS</t>
        </is>
      </c>
      <c r="K12" s="6" t="n"/>
      <c r="L12" s="6" t="n"/>
      <c r="M12" s="6" t="n"/>
      <c r="N12" s="6" t="n"/>
      <c r="O12" s="6" t="n"/>
      <c r="P12" s="7">
        <f>(T2+U2+V2-W2)</f>
        <v/>
      </c>
      <c r="Q12" s="7">
        <f>(T2+U2+V2-W2)</f>
        <v/>
      </c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  <c r="AF12" s="6" t="n"/>
      <c r="AG12" s="6" t="n"/>
      <c r="AH12" s="6" t="n"/>
      <c r="AI12" s="6" t="n"/>
      <c r="AJ12" s="6" t="n"/>
      <c r="AK12" s="6" t="n"/>
    </row>
    <row r="13"/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inlineStr">
        <is>
          <t>NET TOTAL</t>
        </is>
      </c>
      <c r="K14" s="6" t="n"/>
      <c r="L14" s="6" t="n"/>
      <c r="M14" s="6" t="n"/>
      <c r="N14" s="6" t="n"/>
      <c r="O14" s="6" t="n"/>
      <c r="P14" s="7">
        <f>P4+P12</f>
        <v/>
      </c>
      <c r="Q14" s="7">
        <f>Q4+Q12</f>
        <v/>
      </c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s="6" t="n"/>
      <c r="AE14" s="6" t="n"/>
      <c r="AF14" s="6" t="n"/>
      <c r="AG14" s="6" t="n"/>
      <c r="AH14" s="6" t="n"/>
      <c r="AI14" s="6" t="n"/>
      <c r="AJ14" s="6" t="n"/>
      <c r="AK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inlineStr">
        <is>
          <t>INVOICE TOTAL</t>
        </is>
      </c>
      <c r="K15" s="6" t="n"/>
      <c r="L15" s="6" t="n"/>
      <c r="M15" s="6" t="n"/>
      <c r="N15" s="6" t="n"/>
      <c r="O15" s="6" t="n"/>
      <c r="P15" s="7">
        <f>S2</f>
        <v/>
      </c>
      <c r="Q15" s="7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/>
      <c r="AE15" s="6" t="n"/>
      <c r="AF15" s="6" t="n"/>
      <c r="AG15" s="6" t="n"/>
      <c r="AH15" s="6" t="n"/>
      <c r="AI15" s="6" t="n"/>
      <c r="AJ15" s="6" t="n"/>
      <c r="AK15" s="6" t="n"/>
    </row>
    <row r="16"/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inlineStr">
        <is>
          <t>VARIANCE CHECK</t>
        </is>
      </c>
      <c r="K17" s="10" t="n"/>
      <c r="L17" s="10" t="n"/>
      <c r="M17" s="10" t="n"/>
      <c r="N17" s="10" t="n"/>
      <c r="O17" s="10" t="n"/>
      <c r="P17" s="11">
        <f>S2-P14</f>
        <v/>
      </c>
      <c r="Q17" s="11">
        <f>S2-Q14</f>
        <v/>
      </c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  <c r="AD17" s="10" t="n"/>
      <c r="AE17" s="10" t="n"/>
      <c r="AF17" s="10" t="n"/>
      <c r="AG17" s="10" t="n"/>
      <c r="AH17" s="10" t="n"/>
      <c r="AI17" s="10" t="n"/>
      <c r="AJ17" s="10" t="n"/>
      <c r="AK17" s="10" t="n"/>
    </row>
    <row r="18"/>
    <row r="19">
      <c r="A19" s="12" t="n"/>
      <c r="B19" s="12" t="n"/>
      <c r="C19" s="12" t="n"/>
      <c r="D19" s="12" t="n"/>
      <c r="E19" s="12" t="n"/>
      <c r="F19" s="12" t="n"/>
      <c r="G19" s="12" t="n"/>
      <c r="H19" s="12" t="n"/>
      <c r="I19" s="12" t="n"/>
      <c r="J19" s="12" t="inlineStr">
        <is>
          <t>DUTY ESTIMATION (Classification Cross-Check)</t>
        </is>
      </c>
      <c r="K19" s="12" t="n"/>
      <c r="L19" s="12" t="n"/>
      <c r="M19" s="12" t="n"/>
      <c r="N19" s="12" t="n"/>
      <c r="O19" s="12" t="n"/>
      <c r="P19" s="12" t="n"/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  <c r="Z19" s="12" t="n"/>
      <c r="AA19" s="12" t="n"/>
      <c r="AB19" s="12" t="n"/>
      <c r="AC19" s="12" t="n"/>
      <c r="AD19" s="12" t="n"/>
      <c r="AE19" s="12" t="n"/>
      <c r="AF19" s="12" t="n"/>
      <c r="AG19" s="12" t="n"/>
      <c r="AH19" s="12" t="n"/>
      <c r="AI19" s="12" t="n"/>
      <c r="AJ19" s="12" t="n"/>
      <c r="AK19" s="12" t="n"/>
    </row>
    <row r="20">
      <c r="A20" s="13" t="n"/>
      <c r="B20" s="13" t="n"/>
      <c r="C20" s="13" t="n"/>
      <c r="D20" s="13" t="n"/>
      <c r="E20" s="13" t="n"/>
      <c r="F20" s="13" t="n"/>
      <c r="G20" s="13" t="n"/>
      <c r="H20" s="13" t="n"/>
      <c r="I20" s="13" t="n"/>
      <c r="J20" s="14" t="inlineStr">
        <is>
          <t>CIF (USD) = InvTotal + Freight + Insurance</t>
        </is>
      </c>
      <c r="K20" s="13" t="n"/>
      <c r="L20" s="13" t="n"/>
      <c r="M20" s="13" t="n"/>
      <c r="N20" s="13" t="n"/>
      <c r="O20" s="13" t="n"/>
      <c r="P20" s="15" t="n">
        <v>0.01</v>
      </c>
      <c r="Q20" s="13" t="n"/>
      <c r="R20" s="13" t="n"/>
      <c r="S20" s="13" t="n"/>
      <c r="T20" s="13" t="n"/>
      <c r="U20" s="13" t="n"/>
      <c r="V20" s="13" t="n"/>
      <c r="W20" s="13" t="n"/>
      <c r="X20" s="13" t="n"/>
      <c r="Y20" s="13" t="n"/>
      <c r="Z20" s="13" t="n"/>
      <c r="AA20" s="13" t="n"/>
      <c r="AB20" s="13" t="n"/>
      <c r="AC20" s="13" t="n"/>
      <c r="AD20" s="13" t="n"/>
      <c r="AE20" s="13" t="n"/>
      <c r="AF20" s="13" t="n"/>
      <c r="AG20" s="13" t="n"/>
      <c r="AH20" s="13" t="n"/>
      <c r="AI20" s="13" t="n"/>
      <c r="AJ20" s="13" t="n"/>
      <c r="AK20" s="13" t="n"/>
    </row>
    <row r="21">
      <c r="A21" s="13" t="n"/>
      <c r="B21" s="13" t="n"/>
      <c r="C21" s="13" t="n"/>
      <c r="D21" s="13" t="n"/>
      <c r="E21" s="13" t="n"/>
      <c r="F21" s="13" t="n"/>
      <c r="G21" s="13" t="n"/>
      <c r="H21" s="13" t="n"/>
      <c r="I21" s="13" t="n"/>
      <c r="J21" s="14" t="inlineStr">
        <is>
          <t>CIF (XCD) = CIF × 2.7169</t>
        </is>
      </c>
      <c r="K21" s="13" t="n"/>
      <c r="L21" s="13" t="n"/>
      <c r="M21" s="13" t="n"/>
      <c r="N21" s="13" t="n"/>
      <c r="O21" s="13" t="n"/>
      <c r="P21" s="15" t="n">
        <v>0.03</v>
      </c>
      <c r="Q21" s="13" t="n"/>
      <c r="R21" s="13" t="n"/>
      <c r="S21" s="13" t="n"/>
      <c r="T21" s="13" t="n"/>
      <c r="U21" s="13" t="n"/>
      <c r="V21" s="13" t="n"/>
      <c r="W21" s="13" t="n"/>
      <c r="X21" s="13" t="n"/>
      <c r="Y21" s="13" t="n"/>
      <c r="Z21" s="13" t="n"/>
      <c r="AA21" s="13" t="n"/>
      <c r="AB21" s="13" t="n"/>
      <c r="AC21" s="13" t="n"/>
      <c r="AD21" s="13" t="n"/>
      <c r="AE21" s="13" t="n"/>
      <c r="AF21" s="13" t="n"/>
      <c r="AG21" s="13" t="n"/>
      <c r="AH21" s="13" t="n"/>
      <c r="AI21" s="13" t="n"/>
      <c r="AJ21" s="13" t="n"/>
      <c r="AK21" s="13" t="n"/>
    </row>
    <row r="22">
      <c r="A22" s="13" t="n"/>
      <c r="B22" s="13" t="n"/>
      <c r="C22" s="13" t="n"/>
      <c r="D22" s="13" t="n"/>
      <c r="E22" s="13" t="n"/>
      <c r="F22" s="13" t="n"/>
      <c r="G22" s="13" t="n"/>
      <c r="H22" s="13" t="n"/>
      <c r="I22" s="13" t="n"/>
      <c r="J22" s="14" t="inlineStr">
        <is>
          <t>CET (20%) — Tariff 99999999</t>
        </is>
      </c>
      <c r="K22" s="13" t="n"/>
      <c r="L22" s="13" t="n"/>
      <c r="M22" s="13" t="n"/>
      <c r="N22" s="13" t="n"/>
      <c r="O22" s="13" t="n"/>
      <c r="P22" s="15" t="n">
        <v>0.01</v>
      </c>
      <c r="Q22" s="13" t="n"/>
      <c r="R22" s="13" t="n"/>
      <c r="S22" s="13" t="n"/>
      <c r="T22" s="13" t="n"/>
      <c r="U22" s="13" t="n"/>
      <c r="V22" s="13" t="n"/>
      <c r="W22" s="13" t="n"/>
      <c r="X22" s="13" t="n"/>
      <c r="Y22" s="13" t="n"/>
      <c r="Z22" s="13" t="n"/>
      <c r="AA22" s="13" t="n"/>
      <c r="AB22" s="13" t="n"/>
      <c r="AC22" s="13" t="n"/>
      <c r="AD22" s="13" t="n"/>
      <c r="AE22" s="13" t="n"/>
      <c r="AF22" s="13" t="n"/>
      <c r="AG22" s="13" t="n"/>
      <c r="AH22" s="13" t="n"/>
      <c r="AI22" s="13" t="n"/>
      <c r="AJ22" s="13" t="n"/>
      <c r="AK22" s="13" t="n"/>
    </row>
    <row r="23">
      <c r="A23" s="13" t="n"/>
      <c r="B23" s="13" t="n"/>
      <c r="C23" s="13" t="n"/>
      <c r="D23" s="13" t="n"/>
      <c r="E23" s="13" t="n"/>
      <c r="F23" s="13" t="n"/>
      <c r="G23" s="13" t="n"/>
      <c r="H23" s="13" t="n"/>
      <c r="I23" s="13" t="n"/>
      <c r="J23" s="14" t="inlineStr">
        <is>
          <t>CSC (6%)</t>
        </is>
      </c>
      <c r="K23" s="13" t="n"/>
      <c r="L23" s="13" t="n"/>
      <c r="M23" s="13" t="n"/>
      <c r="N23" s="13" t="n"/>
      <c r="O23" s="13" t="n"/>
      <c r="P23" s="15" t="n">
        <v>0</v>
      </c>
      <c r="Q23" s="13" t="n"/>
      <c r="R23" s="13" t="n"/>
      <c r="S23" s="13" t="n"/>
      <c r="T23" s="13" t="n"/>
      <c r="U23" s="13" t="n"/>
      <c r="V23" s="13" t="n"/>
      <c r="W23" s="13" t="n"/>
      <c r="X23" s="13" t="n"/>
      <c r="Y23" s="13" t="n"/>
      <c r="Z23" s="13" t="n"/>
      <c r="AA23" s="13" t="n"/>
      <c r="AB23" s="13" t="n"/>
      <c r="AC23" s="13" t="n"/>
      <c r="AD23" s="13" t="n"/>
      <c r="AE23" s="13" t="n"/>
      <c r="AF23" s="13" t="n"/>
      <c r="AG23" s="13" t="n"/>
      <c r="AH23" s="13" t="n"/>
      <c r="AI23" s="13" t="n"/>
      <c r="AJ23" s="13" t="n"/>
      <c r="AK23" s="13" t="n"/>
    </row>
    <row r="24">
      <c r="A24" s="13" t="n"/>
      <c r="B24" s="13" t="n"/>
      <c r="C24" s="13" t="n"/>
      <c r="D24" s="13" t="n"/>
      <c r="E24" s="13" t="n"/>
      <c r="F24" s="13" t="n"/>
      <c r="G24" s="13" t="n"/>
      <c r="H24" s="13" t="n"/>
      <c r="I24" s="13" t="n"/>
      <c r="J24" s="14" t="inlineStr">
        <is>
          <t>VAT (15%) on CIF+CET+CSC</t>
        </is>
      </c>
      <c r="K24" s="13" t="n"/>
      <c r="L24" s="13" t="n"/>
      <c r="M24" s="13" t="n"/>
      <c r="N24" s="13" t="n"/>
      <c r="O24" s="13" t="n"/>
      <c r="P24" s="15" t="n">
        <v>0.01</v>
      </c>
      <c r="Q24" s="13" t="n"/>
      <c r="R24" s="13" t="n"/>
      <c r="S24" s="13" t="n"/>
      <c r="T24" s="13" t="n"/>
      <c r="U24" s="13" t="n"/>
      <c r="V24" s="13" t="n"/>
      <c r="W24" s="13" t="n"/>
      <c r="X24" s="13" t="n"/>
      <c r="Y24" s="13" t="n"/>
      <c r="Z24" s="13" t="n"/>
      <c r="AA24" s="13" t="n"/>
      <c r="AB24" s="13" t="n"/>
      <c r="AC24" s="13" t="n"/>
      <c r="AD24" s="13" t="n"/>
      <c r="AE24" s="13" t="n"/>
      <c r="AF24" s="13" t="n"/>
      <c r="AG24" s="13" t="n"/>
      <c r="AH24" s="13" t="n"/>
      <c r="AI24" s="13" t="n"/>
      <c r="AJ24" s="13" t="n"/>
      <c r="AK24" s="13" t="n"/>
    </row>
    <row r="25">
      <c r="A25" s="16" t="n"/>
      <c r="B25" s="16" t="n"/>
      <c r="C25" s="16" t="n"/>
      <c r="D25" s="16" t="n"/>
      <c r="E25" s="16" t="n"/>
      <c r="F25" s="16" t="n"/>
      <c r="G25" s="16" t="n"/>
      <c r="H25" s="16" t="n"/>
      <c r="I25" s="16" t="n"/>
      <c r="J25" s="12" t="inlineStr">
        <is>
          <t>ESTIMATED TOTAL DUTIES</t>
        </is>
      </c>
      <c r="K25" s="16" t="n"/>
      <c r="L25" s="16" t="n"/>
      <c r="M25" s="16" t="n"/>
      <c r="N25" s="16" t="n"/>
      <c r="O25" s="16" t="n"/>
      <c r="P25" s="17" t="n">
        <v>0.02</v>
      </c>
      <c r="Q25" s="16" t="n"/>
      <c r="R25" s="16" t="n"/>
      <c r="S25" s="16" t="n"/>
      <c r="T25" s="16" t="n"/>
      <c r="U25" s="16" t="n"/>
      <c r="V25" s="16" t="n"/>
      <c r="W25" s="16" t="n"/>
      <c r="X25" s="16" t="n"/>
      <c r="Y25" s="16" t="n"/>
      <c r="Z25" s="16" t="n"/>
      <c r="AA25" s="16" t="n"/>
      <c r="AB25" s="16" t="n"/>
      <c r="AC25" s="16" t="n"/>
      <c r="AD25" s="16" t="n"/>
      <c r="AE25" s="16" t="n"/>
      <c r="AF25" s="16" t="n"/>
      <c r="AG25" s="16" t="n"/>
      <c r="AH25" s="16" t="n"/>
      <c r="AI25" s="16" t="n"/>
      <c r="AJ25" s="16" t="n"/>
      <c r="AK25" s="16" t="n"/>
    </row>
    <row r="26">
      <c r="A26" s="13" t="n"/>
      <c r="B26" s="13" t="n"/>
      <c r="C26" s="13" t="n"/>
      <c r="D26" s="13" t="n"/>
      <c r="E26" s="13" t="n"/>
      <c r="F26" s="13" t="n"/>
      <c r="G26" s="13" t="n"/>
      <c r="H26" s="13" t="n"/>
      <c r="I26" s="13" t="n"/>
      <c r="J26" s="14" t="inlineStr">
        <is>
          <t>Effective Duty Rate</t>
        </is>
      </c>
      <c r="K26" s="13" t="n"/>
      <c r="L26" s="13" t="n"/>
      <c r="M26" s="13" t="n"/>
      <c r="N26" s="13" t="n"/>
      <c r="O26" s="13" t="n"/>
      <c r="P26" s="18" t="n">
        <v>0.6666666666666667</v>
      </c>
      <c r="Q26" s="13" t="n"/>
      <c r="R26" s="13" t="n"/>
      <c r="S26" s="13" t="n"/>
      <c r="T26" s="13" t="n"/>
      <c r="U26" s="13" t="n"/>
      <c r="V26" s="13" t="n"/>
      <c r="W26" s="13" t="n"/>
      <c r="X26" s="13" t="n"/>
      <c r="Y26" s="13" t="n"/>
      <c r="Z26" s="13" t="n"/>
      <c r="AA26" s="13" t="n"/>
      <c r="AB26" s="13" t="n"/>
      <c r="AC26" s="13" t="n"/>
      <c r="AD26" s="13" t="n"/>
      <c r="AE26" s="13" t="n"/>
      <c r="AF26" s="13" t="n"/>
      <c r="AG26" s="13" t="n"/>
      <c r="AH26" s="13" t="n"/>
      <c r="AI26" s="13" t="n"/>
      <c r="AJ26" s="13" t="n"/>
      <c r="AK26" s="13" t="n"/>
    </row>
    <row r="27">
      <c r="A27" s="19" t="n"/>
      <c r="B27" s="19" t="n"/>
      <c r="C27" s="19" t="n"/>
      <c r="D27" s="19" t="n"/>
      <c r="E27" s="19" t="n"/>
      <c r="F27" s="19" t="n"/>
      <c r="G27" s="19" t="n"/>
      <c r="H27" s="19" t="n"/>
      <c r="I27" s="19" t="n"/>
      <c r="J27" s="19" t="n"/>
      <c r="K27" s="19" t="n"/>
      <c r="L27" s="19" t="n"/>
      <c r="M27" s="19" t="n"/>
      <c r="N27" s="19" t="n"/>
      <c r="O27" s="19" t="n"/>
      <c r="P27" s="19" t="n"/>
      <c r="Q27" s="19" t="n"/>
      <c r="R27" s="19" t="n"/>
      <c r="S27" s="19" t="n"/>
      <c r="T27" s="19" t="n"/>
      <c r="U27" s="19" t="n"/>
      <c r="V27" s="19" t="n"/>
      <c r="W27" s="19" t="n"/>
      <c r="X27" s="19" t="n"/>
      <c r="Y27" s="19" t="n"/>
      <c r="Z27" s="19" t="n"/>
      <c r="AA27" s="19" t="n"/>
      <c r="AB27" s="19" t="n"/>
      <c r="AC27" s="19" t="n"/>
      <c r="AD27" s="19" t="n"/>
      <c r="AE27" s="19" t="n"/>
      <c r="AF27" s="19" t="n"/>
      <c r="AG27" s="19" t="n"/>
      <c r="AH27" s="19" t="n"/>
      <c r="AI27" s="19" t="n"/>
      <c r="AJ27" s="19" t="n"/>
      <c r="AK27" s="19" t="n"/>
    </row>
    <row r="28">
      <c r="A28" s="2" t="inlineStr">
        <is>
          <t>4000-000</t>
        </is>
      </c>
      <c r="B28" s="2" t="n"/>
      <c r="C28" s="2" t="inlineStr">
        <is>
          <t>GSUNJE</t>
        </is>
      </c>
      <c r="D28" s="2" t="n"/>
      <c r="E28" s="2" t="inlineStr">
        <is>
          <t>Miscellaneous</t>
        </is>
      </c>
      <c r="F28" s="2" t="inlineStr">
        <is>
          <t>62052000</t>
        </is>
      </c>
      <c r="G28" s="2" t="n"/>
      <c r="H28" s="2" t="n"/>
      <c r="I28" s="2" t="inlineStr">
        <is>
          <t>99999999</t>
        </is>
      </c>
      <c r="J28" s="2" t="inlineStr">
        <is>
          <t>SHEIN US Services, LLC Purchase (1 items)</t>
        </is>
      </c>
      <c r="K28" s="2" t="n">
        <v>1</v>
      </c>
      <c r="L28" s="2" t="n"/>
      <c r="M28" s="2" t="n"/>
      <c r="N28" s="2" t="inlineStr">
        <is>
          <t>USD</t>
        </is>
      </c>
      <c r="O28" s="3" t="n">
        <v>0.01</v>
      </c>
      <c r="P28" s="3" t="n">
        <v>0.01</v>
      </c>
      <c r="Q28" s="3">
        <f>O28*K28</f>
        <v/>
      </c>
      <c r="R28" s="3">
        <f>P28-Q28</f>
        <v/>
      </c>
      <c r="S28" s="3" t="n">
        <v>0.01</v>
      </c>
      <c r="T28" s="3" t="n">
        <v>0</v>
      </c>
      <c r="U28" s="3" t="n">
        <v>0</v>
      </c>
      <c r="V28" s="3" t="n">
        <v>0</v>
      </c>
      <c r="W28" s="3" t="n">
        <v>0</v>
      </c>
      <c r="X28" s="2" t="n"/>
      <c r="Y28" s="2" t="n"/>
      <c r="Z28" s="2" t="inlineStr">
        <is>
          <t>SHEIN</t>
        </is>
      </c>
      <c r="AA28" s="2" t="inlineStr">
        <is>
          <t>SHEIN US Services, LLC</t>
        </is>
      </c>
      <c r="AB28" s="2" t="inlineStr">
        <is>
          <t>777 S. Alameda St., Second Floor, Los Angeles, CA 90021</t>
        </is>
      </c>
      <c r="AC28" s="2" t="inlineStr">
        <is>
          <t>US</t>
        </is>
      </c>
      <c r="AD28" s="2" t="n"/>
      <c r="AE28" s="2" t="n"/>
      <c r="AF28" s="2" t="n"/>
      <c r="AG28" s="2" t="n"/>
      <c r="AH28" s="2" t="n"/>
      <c r="AI28" s="2" t="n"/>
      <c r="AJ28" s="2" t="n"/>
      <c r="AK28" s="2" t="inlineStr">
        <is>
          <t>62052000</t>
        </is>
      </c>
    </row>
    <row r="29">
      <c r="A29" s="4" t="n"/>
      <c r="B29" s="4" t="n"/>
      <c r="C29" s="4" t="n"/>
      <c r="D29" s="4" t="n"/>
      <c r="E29" s="4" t="n"/>
      <c r="F29" s="4" t="inlineStr">
        <is>
          <t>62052000</t>
        </is>
      </c>
      <c r="G29" s="4" t="n"/>
      <c r="H29" s="4" t="n"/>
      <c r="I29" s="4" t="inlineStr">
        <is>
          <t>SHE-1</t>
        </is>
      </c>
      <c r="J29" s="4" t="inlineStr">
        <is>
          <t>SHEIN US Services, LLC Purchase</t>
        </is>
      </c>
      <c r="K29" s="4" t="n">
        <v>1</v>
      </c>
      <c r="L29" s="4" t="n"/>
      <c r="M29" s="4" t="n"/>
      <c r="N29" s="4" t="inlineStr">
        <is>
          <t>USD</t>
        </is>
      </c>
      <c r="O29" s="5" t="n">
        <v>0.01</v>
      </c>
      <c r="P29" s="5" t="n">
        <v>0.01</v>
      </c>
      <c r="Q29" s="5">
        <f>O29*K29</f>
        <v/>
      </c>
      <c r="R29" s="5">
        <f>P29-Q29</f>
        <v/>
      </c>
      <c r="S29" s="4" t="n"/>
      <c r="T29" s="4" t="n"/>
      <c r="U29" s="4" t="n"/>
      <c r="V29" s="4" t="n"/>
      <c r="W29" s="4" t="n"/>
      <c r="X29" s="4" t="n"/>
      <c r="Y29" s="4" t="n"/>
      <c r="Z29" s="4" t="n"/>
      <c r="AA29" s="4" t="n"/>
      <c r="AB29" s="4" t="n"/>
      <c r="AC29" s="4" t="n"/>
      <c r="AD29" s="4" t="n"/>
      <c r="AE29" s="4" t="n"/>
      <c r="AF29" s="4" t="n"/>
      <c r="AG29" s="4" t="n"/>
      <c r="AH29" s="4" t="n"/>
      <c r="AI29" s="4" t="n"/>
      <c r="AJ29" s="4" t="n"/>
      <c r="AK29" s="4" t="inlineStr">
        <is>
          <t>62052000</t>
        </is>
      </c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inlineStr">
        <is>
          <t>SUBTOTAL (GROUPED)</t>
        </is>
      </c>
      <c r="K30" s="6" t="n"/>
      <c r="L30" s="6" t="n"/>
      <c r="M30" s="6" t="n"/>
      <c r="N30" s="6" t="n"/>
      <c r="O30" s="6" t="n"/>
      <c r="P30" s="7">
        <f>P28</f>
        <v/>
      </c>
      <c r="Q30" s="7">
        <f>Q28</f>
        <v/>
      </c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6" t="n"/>
      <c r="AH30" s="6" t="n"/>
      <c r="AI30" s="6" t="n"/>
      <c r="AJ30" s="6" t="n"/>
      <c r="AK30" s="6" t="n"/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inlineStr">
        <is>
          <t>SUBTOTAL (DETAILS)</t>
        </is>
      </c>
      <c r="K31" s="6" t="n"/>
      <c r="L31" s="6" t="n"/>
      <c r="M31" s="6" t="n"/>
      <c r="N31" s="6" t="n"/>
      <c r="O31" s="6" t="n"/>
      <c r="P31" s="7">
        <f>SUM(P28:P29)-P30</f>
        <v/>
      </c>
      <c r="Q31" s="7">
        <f>SUM(Q28:Q29)-Q30</f>
        <v/>
      </c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6" t="n"/>
      <c r="AH31" s="6" t="n"/>
      <c r="AI31" s="6" t="n"/>
      <c r="AJ31" s="6" t="n"/>
      <c r="AK31" s="6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inlineStr">
        <is>
          <t>GROUP VERIFICATION</t>
        </is>
      </c>
      <c r="K32" s="8" t="n"/>
      <c r="L32" s="8" t="n"/>
      <c r="M32" s="8" t="n"/>
      <c r="N32" s="8" t="n"/>
      <c r="O32" s="8" t="n"/>
      <c r="P32" s="9">
        <f>P30-P31</f>
        <v/>
      </c>
      <c r="Q32" s="9">
        <f>Q30-Q31</f>
        <v/>
      </c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I32" s="8" t="n"/>
      <c r="AJ32" s="8" t="n"/>
      <c r="AK32" s="8" t="n"/>
    </row>
    <row r="33"/>
    <row r="34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inlineStr">
        <is>
          <t>TOTAL INTERNAL FREIGHT</t>
        </is>
      </c>
      <c r="K34" s="6" t="n"/>
      <c r="L34" s="6" t="n"/>
      <c r="M34" s="6" t="n"/>
      <c r="N34" s="6" t="n"/>
      <c r="O34" s="6" t="n"/>
      <c r="P34" s="7" t="n">
        <v>0</v>
      </c>
      <c r="Q34" s="7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6" t="n"/>
      <c r="AH34" s="6" t="n"/>
      <c r="AI34" s="6" t="n"/>
      <c r="AJ34" s="6" t="n"/>
      <c r="AK34" s="6" t="n"/>
    </row>
    <row r="35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inlineStr">
        <is>
          <t>TOTAL INSURANCE</t>
        </is>
      </c>
      <c r="K35" s="6" t="n"/>
      <c r="L35" s="6" t="n"/>
      <c r="M35" s="6" t="n"/>
      <c r="N35" s="6" t="n"/>
      <c r="O35" s="6" t="n"/>
      <c r="P35" s="7" t="n">
        <v>0</v>
      </c>
      <c r="Q35" s="7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6" t="n"/>
      <c r="AH35" s="6" t="n"/>
      <c r="AI35" s="6" t="n"/>
      <c r="AJ35" s="6" t="n"/>
      <c r="AK35" s="6" t="n"/>
    </row>
    <row r="36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inlineStr">
        <is>
          <t>TOTAL OTHER COST</t>
        </is>
      </c>
      <c r="K36" s="6" t="n"/>
      <c r="L36" s="6" t="n"/>
      <c r="M36" s="6" t="n"/>
      <c r="N36" s="6" t="n"/>
      <c r="O36" s="6" t="n"/>
      <c r="P36" s="7" t="n">
        <v>0</v>
      </c>
      <c r="Q36" s="7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6" t="n"/>
      <c r="AI36" s="6" t="n"/>
      <c r="AJ36" s="6" t="n"/>
      <c r="AK36" s="6" t="n"/>
    </row>
    <row r="37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inlineStr">
        <is>
          <t>TOTAL DEDUCTION</t>
        </is>
      </c>
      <c r="K37" s="6" t="n"/>
      <c r="L37" s="6" t="n"/>
      <c r="M37" s="6" t="n"/>
      <c r="N37" s="6" t="n"/>
      <c r="O37" s="6" t="n"/>
      <c r="P37" s="7" t="n">
        <v>0</v>
      </c>
      <c r="Q37" s="7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6" t="n"/>
      <c r="AI37" s="6" t="n"/>
      <c r="AJ37" s="6" t="n"/>
      <c r="AK37" s="6" t="n"/>
    </row>
    <row r="38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inlineStr">
        <is>
          <t>ADJUSTMENTS</t>
        </is>
      </c>
      <c r="K38" s="6" t="n"/>
      <c r="L38" s="6" t="n"/>
      <c r="M38" s="6" t="n"/>
      <c r="N38" s="6" t="n"/>
      <c r="O38" s="6" t="n"/>
      <c r="P38" s="7">
        <f>(T28+U28+V28-W28)</f>
        <v/>
      </c>
      <c r="Q38" s="7">
        <f>(T28+U28+V28-W28)</f>
        <v/>
      </c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6" t="n"/>
      <c r="AI38" s="6" t="n"/>
      <c r="AJ38" s="6" t="n"/>
      <c r="AK38" s="6" t="n"/>
    </row>
    <row r="39"/>
    <row r="40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inlineStr">
        <is>
          <t>NET TOTAL</t>
        </is>
      </c>
      <c r="K40" s="6" t="n"/>
      <c r="L40" s="6" t="n"/>
      <c r="M40" s="6" t="n"/>
      <c r="N40" s="6" t="n"/>
      <c r="O40" s="6" t="n"/>
      <c r="P40" s="7">
        <f>P30+P38</f>
        <v/>
      </c>
      <c r="Q40" s="7">
        <f>Q30+Q38</f>
        <v/>
      </c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  <c r="AB40" s="6" t="n"/>
      <c r="AC40" s="6" t="n"/>
      <c r="AD40" s="6" t="n"/>
      <c r="AE40" s="6" t="n"/>
      <c r="AF40" s="6" t="n"/>
      <c r="AG40" s="6" t="n"/>
      <c r="AH40" s="6" t="n"/>
      <c r="AI40" s="6" t="n"/>
      <c r="AJ40" s="6" t="n"/>
      <c r="AK40" s="6" t="n"/>
    </row>
    <row r="4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inlineStr">
        <is>
          <t>INVOICE TOTAL</t>
        </is>
      </c>
      <c r="K41" s="6" t="n"/>
      <c r="L41" s="6" t="n"/>
      <c r="M41" s="6" t="n"/>
      <c r="N41" s="6" t="n"/>
      <c r="O41" s="6" t="n"/>
      <c r="P41" s="7">
        <f>S28</f>
        <v/>
      </c>
      <c r="Q41" s="7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  <c r="AB41" s="6" t="n"/>
      <c r="AC41" s="6" t="n"/>
      <c r="AD41" s="6" t="n"/>
      <c r="AE41" s="6" t="n"/>
      <c r="AF41" s="6" t="n"/>
      <c r="AG41" s="6" t="n"/>
      <c r="AH41" s="6" t="n"/>
      <c r="AI41" s="6" t="n"/>
      <c r="AJ41" s="6" t="n"/>
      <c r="AK41" s="6" t="n"/>
    </row>
    <row r="42"/>
    <row r="43">
      <c r="A43" s="10" t="n"/>
      <c r="B43" s="10" t="n"/>
      <c r="C43" s="10" t="n"/>
      <c r="D43" s="10" t="n"/>
      <c r="E43" s="10" t="n"/>
      <c r="F43" s="10" t="n"/>
      <c r="G43" s="10" t="n"/>
      <c r="H43" s="10" t="n"/>
      <c r="I43" s="10" t="n"/>
      <c r="J43" s="10" t="inlineStr">
        <is>
          <t>VARIANCE CHECK</t>
        </is>
      </c>
      <c r="K43" s="10" t="n"/>
      <c r="L43" s="10" t="n"/>
      <c r="M43" s="10" t="n"/>
      <c r="N43" s="10" t="n"/>
      <c r="O43" s="10" t="n"/>
      <c r="P43" s="11">
        <f>S28-P40</f>
        <v/>
      </c>
      <c r="Q43" s="11">
        <f>S28-Q40</f>
        <v/>
      </c>
      <c r="R43" s="10" t="n"/>
      <c r="S43" s="10" t="n"/>
      <c r="T43" s="10" t="n"/>
      <c r="U43" s="10" t="n"/>
      <c r="V43" s="10" t="n"/>
      <c r="W43" s="10" t="n"/>
      <c r="X43" s="10" t="n"/>
      <c r="Y43" s="10" t="n"/>
      <c r="Z43" s="10" t="n"/>
      <c r="AA43" s="10" t="n"/>
      <c r="AB43" s="10" t="n"/>
      <c r="AC43" s="10" t="n"/>
      <c r="AD43" s="10" t="n"/>
      <c r="AE43" s="10" t="n"/>
      <c r="AF43" s="10" t="n"/>
      <c r="AG43" s="10" t="n"/>
      <c r="AH43" s="10" t="n"/>
      <c r="AI43" s="10" t="n"/>
      <c r="AJ43" s="10" t="n"/>
      <c r="AK43" s="10" t="n"/>
    </row>
    <row r="44"/>
    <row r="45">
      <c r="A45" s="12" t="n"/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inlineStr">
        <is>
          <t>DUTY ESTIMATION (Classification Cross-Check)</t>
        </is>
      </c>
      <c r="K45" s="12" t="n"/>
      <c r="L45" s="12" t="n"/>
      <c r="M45" s="12" t="n"/>
      <c r="N45" s="12" t="n"/>
      <c r="O45" s="12" t="n"/>
      <c r="P45" s="12" t="n"/>
      <c r="Q45" s="12" t="n"/>
      <c r="R45" s="12" t="n"/>
      <c r="S45" s="12" t="n"/>
      <c r="T45" s="12" t="n"/>
      <c r="U45" s="12" t="n"/>
      <c r="V45" s="12" t="n"/>
      <c r="W45" s="12" t="n"/>
      <c r="X45" s="12" t="n"/>
      <c r="Y45" s="12" t="n"/>
      <c r="Z45" s="12" t="n"/>
      <c r="AA45" s="12" t="n"/>
      <c r="AB45" s="12" t="n"/>
      <c r="AC45" s="12" t="n"/>
      <c r="AD45" s="12" t="n"/>
      <c r="AE45" s="12" t="n"/>
      <c r="AF45" s="12" t="n"/>
      <c r="AG45" s="12" t="n"/>
      <c r="AH45" s="12" t="n"/>
      <c r="AI45" s="12" t="n"/>
      <c r="AJ45" s="12" t="n"/>
      <c r="AK45" s="12" t="n"/>
    </row>
    <row r="46">
      <c r="A46" s="13" t="n"/>
      <c r="B46" s="13" t="n"/>
      <c r="C46" s="13" t="n"/>
      <c r="D46" s="13" t="n"/>
      <c r="E46" s="13" t="n"/>
      <c r="F46" s="13" t="n"/>
      <c r="G46" s="13" t="n"/>
      <c r="H46" s="13" t="n"/>
      <c r="I46" s="13" t="n"/>
      <c r="J46" s="14" t="inlineStr">
        <is>
          <t>CIF (USD) = InvTotal + Freight + Insurance</t>
        </is>
      </c>
      <c r="K46" s="13" t="n"/>
      <c r="L46" s="13" t="n"/>
      <c r="M46" s="13" t="n"/>
      <c r="N46" s="13" t="n"/>
      <c r="O46" s="13" t="n"/>
      <c r="P46" s="15" t="n">
        <v>0.01</v>
      </c>
      <c r="Q46" s="13" t="n"/>
      <c r="R46" s="13" t="n"/>
      <c r="S46" s="13" t="n"/>
      <c r="T46" s="13" t="n"/>
      <c r="U46" s="13" t="n"/>
      <c r="V46" s="13" t="n"/>
      <c r="W46" s="13" t="n"/>
      <c r="X46" s="13" t="n"/>
      <c r="Y46" s="13" t="n"/>
      <c r="Z46" s="13" t="n"/>
      <c r="AA46" s="13" t="n"/>
      <c r="AB46" s="13" t="n"/>
      <c r="AC46" s="13" t="n"/>
      <c r="AD46" s="13" t="n"/>
      <c r="AE46" s="13" t="n"/>
      <c r="AF46" s="13" t="n"/>
      <c r="AG46" s="13" t="n"/>
      <c r="AH46" s="13" t="n"/>
      <c r="AI46" s="13" t="n"/>
      <c r="AJ46" s="13" t="n"/>
      <c r="AK46" s="13" t="n"/>
    </row>
    <row r="47">
      <c r="A47" s="13" t="n"/>
      <c r="B47" s="13" t="n"/>
      <c r="C47" s="13" t="n"/>
      <c r="D47" s="13" t="n"/>
      <c r="E47" s="13" t="n"/>
      <c r="F47" s="13" t="n"/>
      <c r="G47" s="13" t="n"/>
      <c r="H47" s="13" t="n"/>
      <c r="I47" s="13" t="n"/>
      <c r="J47" s="14" t="inlineStr">
        <is>
          <t>CIF (XCD) = CIF × 2.7169</t>
        </is>
      </c>
      <c r="K47" s="13" t="n"/>
      <c r="L47" s="13" t="n"/>
      <c r="M47" s="13" t="n"/>
      <c r="N47" s="13" t="n"/>
      <c r="O47" s="13" t="n"/>
      <c r="P47" s="15" t="n">
        <v>0.03</v>
      </c>
      <c r="Q47" s="13" t="n"/>
      <c r="R47" s="13" t="n"/>
      <c r="S47" s="13" t="n"/>
      <c r="T47" s="13" t="n"/>
      <c r="U47" s="13" t="n"/>
      <c r="V47" s="13" t="n"/>
      <c r="W47" s="13" t="n"/>
      <c r="X47" s="13" t="n"/>
      <c r="Y47" s="13" t="n"/>
      <c r="Z47" s="13" t="n"/>
      <c r="AA47" s="13" t="n"/>
      <c r="AB47" s="13" t="n"/>
      <c r="AC47" s="13" t="n"/>
      <c r="AD47" s="13" t="n"/>
      <c r="AE47" s="13" t="n"/>
      <c r="AF47" s="13" t="n"/>
      <c r="AG47" s="13" t="n"/>
      <c r="AH47" s="13" t="n"/>
      <c r="AI47" s="13" t="n"/>
      <c r="AJ47" s="13" t="n"/>
      <c r="AK47" s="13" t="n"/>
    </row>
    <row r="48">
      <c r="A48" s="13" t="n"/>
      <c r="B48" s="13" t="n"/>
      <c r="C48" s="13" t="n"/>
      <c r="D48" s="13" t="n"/>
      <c r="E48" s="13" t="n"/>
      <c r="F48" s="13" t="n"/>
      <c r="G48" s="13" t="n"/>
      <c r="H48" s="13" t="n"/>
      <c r="I48" s="13" t="n"/>
      <c r="J48" s="14" t="inlineStr">
        <is>
          <t>CET (20%) — Tariff 99999999</t>
        </is>
      </c>
      <c r="K48" s="13" t="n"/>
      <c r="L48" s="13" t="n"/>
      <c r="M48" s="13" t="n"/>
      <c r="N48" s="13" t="n"/>
      <c r="O48" s="13" t="n"/>
      <c r="P48" s="15" t="n">
        <v>0.01</v>
      </c>
      <c r="Q48" s="13" t="n"/>
      <c r="R48" s="13" t="n"/>
      <c r="S48" s="13" t="n"/>
      <c r="T48" s="13" t="n"/>
      <c r="U48" s="13" t="n"/>
      <c r="V48" s="13" t="n"/>
      <c r="W48" s="13" t="n"/>
      <c r="X48" s="13" t="n"/>
      <c r="Y48" s="13" t="n"/>
      <c r="Z48" s="13" t="n"/>
      <c r="AA48" s="13" t="n"/>
      <c r="AB48" s="13" t="n"/>
      <c r="AC48" s="13" t="n"/>
      <c r="AD48" s="13" t="n"/>
      <c r="AE48" s="13" t="n"/>
      <c r="AF48" s="13" t="n"/>
      <c r="AG48" s="13" t="n"/>
      <c r="AH48" s="13" t="n"/>
      <c r="AI48" s="13" t="n"/>
      <c r="AJ48" s="13" t="n"/>
      <c r="AK48" s="13" t="n"/>
    </row>
    <row r="49">
      <c r="A49" s="13" t="n"/>
      <c r="B49" s="13" t="n"/>
      <c r="C49" s="13" t="n"/>
      <c r="D49" s="13" t="n"/>
      <c r="E49" s="13" t="n"/>
      <c r="F49" s="13" t="n"/>
      <c r="G49" s="13" t="n"/>
      <c r="H49" s="13" t="n"/>
      <c r="I49" s="13" t="n"/>
      <c r="J49" s="14" t="inlineStr">
        <is>
          <t>CSC (6%)</t>
        </is>
      </c>
      <c r="K49" s="13" t="n"/>
      <c r="L49" s="13" t="n"/>
      <c r="M49" s="13" t="n"/>
      <c r="N49" s="13" t="n"/>
      <c r="O49" s="13" t="n"/>
      <c r="P49" s="15" t="n">
        <v>0</v>
      </c>
      <c r="Q49" s="13" t="n"/>
      <c r="R49" s="13" t="n"/>
      <c r="S49" s="13" t="n"/>
      <c r="T49" s="13" t="n"/>
      <c r="U49" s="13" t="n"/>
      <c r="V49" s="13" t="n"/>
      <c r="W49" s="13" t="n"/>
      <c r="X49" s="13" t="n"/>
      <c r="Y49" s="13" t="n"/>
      <c r="Z49" s="13" t="n"/>
      <c r="AA49" s="13" t="n"/>
      <c r="AB49" s="13" t="n"/>
      <c r="AC49" s="13" t="n"/>
      <c r="AD49" s="13" t="n"/>
      <c r="AE49" s="13" t="n"/>
      <c r="AF49" s="13" t="n"/>
      <c r="AG49" s="13" t="n"/>
      <c r="AH49" s="13" t="n"/>
      <c r="AI49" s="13" t="n"/>
      <c r="AJ49" s="13" t="n"/>
      <c r="AK49" s="13" t="n"/>
    </row>
    <row r="50">
      <c r="A50" s="13" t="n"/>
      <c r="B50" s="13" t="n"/>
      <c r="C50" s="13" t="n"/>
      <c r="D50" s="13" t="n"/>
      <c r="E50" s="13" t="n"/>
      <c r="F50" s="13" t="n"/>
      <c r="G50" s="13" t="n"/>
      <c r="H50" s="13" t="n"/>
      <c r="I50" s="13" t="n"/>
      <c r="J50" s="14" t="inlineStr">
        <is>
          <t>VAT (15%) on CIF+CET+CSC</t>
        </is>
      </c>
      <c r="K50" s="13" t="n"/>
      <c r="L50" s="13" t="n"/>
      <c r="M50" s="13" t="n"/>
      <c r="N50" s="13" t="n"/>
      <c r="O50" s="13" t="n"/>
      <c r="P50" s="15" t="n">
        <v>0.01</v>
      </c>
      <c r="Q50" s="13" t="n"/>
      <c r="R50" s="13" t="n"/>
      <c r="S50" s="13" t="n"/>
      <c r="T50" s="13" t="n"/>
      <c r="U50" s="13" t="n"/>
      <c r="V50" s="13" t="n"/>
      <c r="W50" s="13" t="n"/>
      <c r="X50" s="13" t="n"/>
      <c r="Y50" s="13" t="n"/>
      <c r="Z50" s="13" t="n"/>
      <c r="AA50" s="13" t="n"/>
      <c r="AB50" s="13" t="n"/>
      <c r="AC50" s="13" t="n"/>
      <c r="AD50" s="13" t="n"/>
      <c r="AE50" s="13" t="n"/>
      <c r="AF50" s="13" t="n"/>
      <c r="AG50" s="13" t="n"/>
      <c r="AH50" s="13" t="n"/>
      <c r="AI50" s="13" t="n"/>
      <c r="AJ50" s="13" t="n"/>
      <c r="AK50" s="13" t="n"/>
    </row>
    <row r="51">
      <c r="A51" s="16" t="n"/>
      <c r="B51" s="16" t="n"/>
      <c r="C51" s="16" t="n"/>
      <c r="D51" s="16" t="n"/>
      <c r="E51" s="16" t="n"/>
      <c r="F51" s="16" t="n"/>
      <c r="G51" s="16" t="n"/>
      <c r="H51" s="16" t="n"/>
      <c r="I51" s="16" t="n"/>
      <c r="J51" s="12" t="inlineStr">
        <is>
          <t>ESTIMATED TOTAL DUTIES</t>
        </is>
      </c>
      <c r="K51" s="16" t="n"/>
      <c r="L51" s="16" t="n"/>
      <c r="M51" s="16" t="n"/>
      <c r="N51" s="16" t="n"/>
      <c r="O51" s="16" t="n"/>
      <c r="P51" s="17" t="n">
        <v>0.02</v>
      </c>
      <c r="Q51" s="16" t="n"/>
      <c r="R51" s="16" t="n"/>
      <c r="S51" s="16" t="n"/>
      <c r="T51" s="16" t="n"/>
      <c r="U51" s="16" t="n"/>
      <c r="V51" s="16" t="n"/>
      <c r="W51" s="16" t="n"/>
      <c r="X51" s="16" t="n"/>
      <c r="Y51" s="16" t="n"/>
      <c r="Z51" s="16" t="n"/>
      <c r="AA51" s="16" t="n"/>
      <c r="AB51" s="16" t="n"/>
      <c r="AC51" s="16" t="n"/>
      <c r="AD51" s="16" t="n"/>
      <c r="AE51" s="16" t="n"/>
      <c r="AF51" s="16" t="n"/>
      <c r="AG51" s="16" t="n"/>
      <c r="AH51" s="16" t="n"/>
      <c r="AI51" s="16" t="n"/>
      <c r="AJ51" s="16" t="n"/>
      <c r="AK51" s="16" t="n"/>
    </row>
    <row r="52">
      <c r="A52" s="13" t="n"/>
      <c r="B52" s="13" t="n"/>
      <c r="C52" s="13" t="n"/>
      <c r="D52" s="13" t="n"/>
      <c r="E52" s="13" t="n"/>
      <c r="F52" s="13" t="n"/>
      <c r="G52" s="13" t="n"/>
      <c r="H52" s="13" t="n"/>
      <c r="I52" s="13" t="n"/>
      <c r="J52" s="14" t="inlineStr">
        <is>
          <t>Effective Duty Rate</t>
        </is>
      </c>
      <c r="K52" s="13" t="n"/>
      <c r="L52" s="13" t="n"/>
      <c r="M52" s="13" t="n"/>
      <c r="N52" s="13" t="n"/>
      <c r="O52" s="13" t="n"/>
      <c r="P52" s="18" t="n">
        <v>0.6666666666666667</v>
      </c>
      <c r="Q52" s="13" t="n"/>
      <c r="R52" s="13" t="n"/>
      <c r="S52" s="13" t="n"/>
      <c r="T52" s="13" t="n"/>
      <c r="U52" s="13" t="n"/>
      <c r="V52" s="13" t="n"/>
      <c r="W52" s="13" t="n"/>
      <c r="X52" s="13" t="n"/>
      <c r="Y52" s="13" t="n"/>
      <c r="Z52" s="13" t="n"/>
      <c r="AA52" s="13" t="n"/>
      <c r="AB52" s="13" t="n"/>
      <c r="AC52" s="13" t="n"/>
      <c r="AD52" s="13" t="n"/>
      <c r="AE52" s="13" t="n"/>
      <c r="AF52" s="13" t="n"/>
      <c r="AG52" s="13" t="n"/>
      <c r="AH52" s="13" t="n"/>
      <c r="AI52" s="13" t="n"/>
      <c r="AJ52" s="13" t="n"/>
      <c r="AK52" s="13" t="n"/>
    </row>
    <row r="53">
      <c r="A53" s="19" t="n"/>
      <c r="B53" s="19" t="n"/>
      <c r="C53" s="19" t="n"/>
      <c r="D53" s="19" t="n"/>
      <c r="E53" s="19" t="n"/>
      <c r="F53" s="19" t="n"/>
      <c r="G53" s="19" t="n"/>
      <c r="H53" s="19" t="n"/>
      <c r="I53" s="19" t="n"/>
      <c r="J53" s="19" t="n"/>
      <c r="K53" s="19" t="n"/>
      <c r="L53" s="19" t="n"/>
      <c r="M53" s="19" t="n"/>
      <c r="N53" s="19" t="n"/>
      <c r="O53" s="19" t="n"/>
      <c r="P53" s="19" t="n"/>
      <c r="Q53" s="19" t="n"/>
      <c r="R53" s="19" t="n"/>
      <c r="S53" s="19" t="n"/>
      <c r="T53" s="19" t="n"/>
      <c r="U53" s="19" t="n"/>
      <c r="V53" s="19" t="n"/>
      <c r="W53" s="19" t="n"/>
      <c r="X53" s="19" t="n"/>
      <c r="Y53" s="19" t="n"/>
      <c r="Z53" s="19" t="n"/>
      <c r="AA53" s="19" t="n"/>
      <c r="AB53" s="19" t="n"/>
      <c r="AC53" s="19" t="n"/>
      <c r="AD53" s="19" t="n"/>
      <c r="AE53" s="19" t="n"/>
      <c r="AF53" s="19" t="n"/>
      <c r="AG53" s="19" t="n"/>
      <c r="AH53" s="19" t="n"/>
      <c r="AI53" s="19" t="n"/>
      <c r="AJ53" s="19" t="n"/>
      <c r="AK53" s="19" t="n"/>
    </row>
    <row r="54">
      <c r="A54" s="2" t="inlineStr">
        <is>
          <t>4000-000</t>
        </is>
      </c>
      <c r="B54" s="2" t="n"/>
      <c r="C54" s="2" t="inlineStr">
        <is>
          <t>SELLER</t>
        </is>
      </c>
      <c r="D54" s="2" t="n"/>
      <c r="E54" s="2" t="inlineStr">
        <is>
          <t>Miscellaneous</t>
        </is>
      </c>
      <c r="F54" s="2" t="inlineStr">
        <is>
          <t>62052000</t>
        </is>
      </c>
      <c r="G54" s="2" t="n"/>
      <c r="H54" s="2" t="n"/>
      <c r="I54" s="2" t="inlineStr">
        <is>
          <t>99999999</t>
        </is>
      </c>
      <c r="J54" s="2" t="inlineStr">
        <is>
          <t>SHEIN US Services, LLC Purchase (1 items)</t>
        </is>
      </c>
      <c r="K54" s="2" t="n">
        <v>1</v>
      </c>
      <c r="L54" s="2" t="n"/>
      <c r="M54" s="2" t="n"/>
      <c r="N54" s="2" t="inlineStr">
        <is>
          <t>USD</t>
        </is>
      </c>
      <c r="O54" s="3" t="n">
        <v>0.01</v>
      </c>
      <c r="P54" s="3" t="n">
        <v>0.01</v>
      </c>
      <c r="Q54" s="3">
        <f>O54*K54</f>
        <v/>
      </c>
      <c r="R54" s="3">
        <f>P54-Q54</f>
        <v/>
      </c>
      <c r="S54" s="3" t="n">
        <v>0.01</v>
      </c>
      <c r="T54" s="3" t="n">
        <v>0</v>
      </c>
      <c r="U54" s="3" t="n">
        <v>0</v>
      </c>
      <c r="V54" s="3" t="n">
        <v>0</v>
      </c>
      <c r="W54" s="3" t="n">
        <v>0</v>
      </c>
      <c r="X54" s="2" t="n"/>
      <c r="Y54" s="2" t="n"/>
      <c r="Z54" s="2" t="inlineStr">
        <is>
          <t>SHEIN</t>
        </is>
      </c>
      <c r="AA54" s="2" t="inlineStr">
        <is>
          <t>SHEIN US Services, LLC</t>
        </is>
      </c>
      <c r="AB54" s="2" t="inlineStr">
        <is>
          <t>777 S. Alameda St., Second Floor, Los Angeles, CA 90021</t>
        </is>
      </c>
      <c r="AC54" s="2" t="inlineStr">
        <is>
          <t>US</t>
        </is>
      </c>
      <c r="AD54" s="2" t="n"/>
      <c r="AE54" s="2" t="n"/>
      <c r="AF54" s="2" t="n"/>
      <c r="AG54" s="2" t="n"/>
      <c r="AH54" s="2" t="n"/>
      <c r="AI54" s="2" t="n"/>
      <c r="AJ54" s="2" t="n"/>
      <c r="AK54" s="2" t="inlineStr">
        <is>
          <t>62052000</t>
        </is>
      </c>
    </row>
    <row r="55">
      <c r="A55" s="4" t="n"/>
      <c r="B55" s="4" t="n"/>
      <c r="C55" s="4" t="n"/>
      <c r="D55" s="4" t="n"/>
      <c r="E55" s="4" t="n"/>
      <c r="F55" s="4" t="inlineStr">
        <is>
          <t>62052000</t>
        </is>
      </c>
      <c r="G55" s="4" t="n"/>
      <c r="H55" s="4" t="n"/>
      <c r="I55" s="4" t="inlineStr">
        <is>
          <t>SHE-1</t>
        </is>
      </c>
      <c r="J55" s="4" t="inlineStr">
        <is>
          <t>SHEIN US Services, LLC Purchase</t>
        </is>
      </c>
      <c r="K55" s="4" t="n">
        <v>1</v>
      </c>
      <c r="L55" s="4" t="n"/>
      <c r="M55" s="4" t="n"/>
      <c r="N55" s="4" t="inlineStr">
        <is>
          <t>USD</t>
        </is>
      </c>
      <c r="O55" s="5" t="n">
        <v>0.01</v>
      </c>
      <c r="P55" s="5" t="n">
        <v>0.01</v>
      </c>
      <c r="Q55" s="5">
        <f>O55*K55</f>
        <v/>
      </c>
      <c r="R55" s="5">
        <f>P55-Q55</f>
        <v/>
      </c>
      <c r="S55" s="4" t="n"/>
      <c r="T55" s="4" t="n"/>
      <c r="U55" s="4" t="n"/>
      <c r="V55" s="4" t="n"/>
      <c r="W55" s="4" t="n"/>
      <c r="X55" s="4" t="n"/>
      <c r="Y55" s="4" t="n"/>
      <c r="Z55" s="4" t="n"/>
      <c r="AA55" s="4" t="n"/>
      <c r="AB55" s="4" t="n"/>
      <c r="AC55" s="4" t="n"/>
      <c r="AD55" s="4" t="n"/>
      <c r="AE55" s="4" t="n"/>
      <c r="AF55" s="4" t="n"/>
      <c r="AG55" s="4" t="n"/>
      <c r="AH55" s="4" t="n"/>
      <c r="AI55" s="4" t="n"/>
      <c r="AJ55" s="4" t="n"/>
      <c r="AK55" s="4" t="inlineStr">
        <is>
          <t>62052000</t>
        </is>
      </c>
    </row>
    <row r="56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inlineStr">
        <is>
          <t>SUBTOTAL (GROUPED)</t>
        </is>
      </c>
      <c r="K56" s="6" t="n"/>
      <c r="L56" s="6" t="n"/>
      <c r="M56" s="6" t="n"/>
      <c r="N56" s="6" t="n"/>
      <c r="O56" s="6" t="n"/>
      <c r="P56" s="7">
        <f>P54</f>
        <v/>
      </c>
      <c r="Q56" s="7">
        <f>Q54</f>
        <v/>
      </c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  <c r="AB56" s="6" t="n"/>
      <c r="AC56" s="6" t="n"/>
      <c r="AD56" s="6" t="n"/>
      <c r="AE56" s="6" t="n"/>
      <c r="AF56" s="6" t="n"/>
      <c r="AG56" s="6" t="n"/>
      <c r="AH56" s="6" t="n"/>
      <c r="AI56" s="6" t="n"/>
      <c r="AJ56" s="6" t="n"/>
      <c r="AK56" s="6" t="n"/>
    </row>
    <row r="57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inlineStr">
        <is>
          <t>SUBTOTAL (DETAILS)</t>
        </is>
      </c>
      <c r="K57" s="6" t="n"/>
      <c r="L57" s="6" t="n"/>
      <c r="M57" s="6" t="n"/>
      <c r="N57" s="6" t="n"/>
      <c r="O57" s="6" t="n"/>
      <c r="P57" s="7">
        <f>SUM(P54:P55)-P56</f>
        <v/>
      </c>
      <c r="Q57" s="7">
        <f>SUM(Q54:Q55)-Q56</f>
        <v/>
      </c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  <c r="AB57" s="6" t="n"/>
      <c r="AC57" s="6" t="n"/>
      <c r="AD57" s="6" t="n"/>
      <c r="AE57" s="6" t="n"/>
      <c r="AF57" s="6" t="n"/>
      <c r="AG57" s="6" t="n"/>
      <c r="AH57" s="6" t="n"/>
      <c r="AI57" s="6" t="n"/>
      <c r="AJ57" s="6" t="n"/>
      <c r="AK57" s="6" t="n"/>
    </row>
    <row r="58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inlineStr">
        <is>
          <t>GROUP VERIFICATION</t>
        </is>
      </c>
      <c r="K58" s="8" t="n"/>
      <c r="L58" s="8" t="n"/>
      <c r="M58" s="8" t="n"/>
      <c r="N58" s="8" t="n"/>
      <c r="O58" s="8" t="n"/>
      <c r="P58" s="9">
        <f>P56-P57</f>
        <v/>
      </c>
      <c r="Q58" s="9">
        <f>Q56-Q57</f>
        <v/>
      </c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  <c r="AC58" s="8" t="n"/>
      <c r="AD58" s="8" t="n"/>
      <c r="AE58" s="8" t="n"/>
      <c r="AF58" s="8" t="n"/>
      <c r="AG58" s="8" t="n"/>
      <c r="AH58" s="8" t="n"/>
      <c r="AI58" s="8" t="n"/>
      <c r="AJ58" s="8" t="n"/>
      <c r="AK58" s="8" t="n"/>
    </row>
    <row r="59"/>
    <row r="60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inlineStr">
        <is>
          <t>TOTAL INTERNAL FREIGHT</t>
        </is>
      </c>
      <c r="K60" s="6" t="n"/>
      <c r="L60" s="6" t="n"/>
      <c r="M60" s="6" t="n"/>
      <c r="N60" s="6" t="n"/>
      <c r="O60" s="6" t="n"/>
      <c r="P60" s="7" t="n">
        <v>0</v>
      </c>
      <c r="Q60" s="7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  <c r="AB60" s="6" t="n"/>
      <c r="AC60" s="6" t="n"/>
      <c r="AD60" s="6" t="n"/>
      <c r="AE60" s="6" t="n"/>
      <c r="AF60" s="6" t="n"/>
      <c r="AG60" s="6" t="n"/>
      <c r="AH60" s="6" t="n"/>
      <c r="AI60" s="6" t="n"/>
      <c r="AJ60" s="6" t="n"/>
      <c r="AK60" s="6" t="n"/>
    </row>
    <row r="6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inlineStr">
        <is>
          <t>TOTAL INSURANCE</t>
        </is>
      </c>
      <c r="K61" s="6" t="n"/>
      <c r="L61" s="6" t="n"/>
      <c r="M61" s="6" t="n"/>
      <c r="N61" s="6" t="n"/>
      <c r="O61" s="6" t="n"/>
      <c r="P61" s="7" t="n">
        <v>0</v>
      </c>
      <c r="Q61" s="7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  <c r="AB61" s="6" t="n"/>
      <c r="AC61" s="6" t="n"/>
      <c r="AD61" s="6" t="n"/>
      <c r="AE61" s="6" t="n"/>
      <c r="AF61" s="6" t="n"/>
      <c r="AG61" s="6" t="n"/>
      <c r="AH61" s="6" t="n"/>
      <c r="AI61" s="6" t="n"/>
      <c r="AJ61" s="6" t="n"/>
      <c r="AK61" s="6" t="n"/>
    </row>
    <row r="62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inlineStr">
        <is>
          <t>TOTAL OTHER COST</t>
        </is>
      </c>
      <c r="K62" s="6" t="n"/>
      <c r="L62" s="6" t="n"/>
      <c r="M62" s="6" t="n"/>
      <c r="N62" s="6" t="n"/>
      <c r="O62" s="6" t="n"/>
      <c r="P62" s="7" t="n">
        <v>0</v>
      </c>
      <c r="Q62" s="7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  <c r="AB62" s="6" t="n"/>
      <c r="AC62" s="6" t="n"/>
      <c r="AD62" s="6" t="n"/>
      <c r="AE62" s="6" t="n"/>
      <c r="AF62" s="6" t="n"/>
      <c r="AG62" s="6" t="n"/>
      <c r="AH62" s="6" t="n"/>
      <c r="AI62" s="6" t="n"/>
      <c r="AJ62" s="6" t="n"/>
      <c r="AK62" s="6" t="n"/>
    </row>
    <row r="63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inlineStr">
        <is>
          <t>TOTAL DEDUCTION</t>
        </is>
      </c>
      <c r="K63" s="6" t="n"/>
      <c r="L63" s="6" t="n"/>
      <c r="M63" s="6" t="n"/>
      <c r="N63" s="6" t="n"/>
      <c r="O63" s="6" t="n"/>
      <c r="P63" s="7" t="n">
        <v>0</v>
      </c>
      <c r="Q63" s="7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  <c r="AB63" s="6" t="n"/>
      <c r="AC63" s="6" t="n"/>
      <c r="AD63" s="6" t="n"/>
      <c r="AE63" s="6" t="n"/>
      <c r="AF63" s="6" t="n"/>
      <c r="AG63" s="6" t="n"/>
      <c r="AH63" s="6" t="n"/>
      <c r="AI63" s="6" t="n"/>
      <c r="AJ63" s="6" t="n"/>
      <c r="AK63" s="6" t="n"/>
    </row>
    <row r="64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inlineStr">
        <is>
          <t>ADJUSTMENTS</t>
        </is>
      </c>
      <c r="K64" s="6" t="n"/>
      <c r="L64" s="6" t="n"/>
      <c r="M64" s="6" t="n"/>
      <c r="N64" s="6" t="n"/>
      <c r="O64" s="6" t="n"/>
      <c r="P64" s="7">
        <f>(T54+U54+V54-W54)</f>
        <v/>
      </c>
      <c r="Q64" s="7">
        <f>(T54+U54+V54-W54)</f>
        <v/>
      </c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  <c r="AB64" s="6" t="n"/>
      <c r="AC64" s="6" t="n"/>
      <c r="AD64" s="6" t="n"/>
      <c r="AE64" s="6" t="n"/>
      <c r="AF64" s="6" t="n"/>
      <c r="AG64" s="6" t="n"/>
      <c r="AH64" s="6" t="n"/>
      <c r="AI64" s="6" t="n"/>
      <c r="AJ64" s="6" t="n"/>
      <c r="AK64" s="6" t="n"/>
    </row>
    <row r="65"/>
    <row r="66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inlineStr">
        <is>
          <t>NET TOTAL</t>
        </is>
      </c>
      <c r="K66" s="6" t="n"/>
      <c r="L66" s="6" t="n"/>
      <c r="M66" s="6" t="n"/>
      <c r="N66" s="6" t="n"/>
      <c r="O66" s="6" t="n"/>
      <c r="P66" s="7">
        <f>P56+P64</f>
        <v/>
      </c>
      <c r="Q66" s="7">
        <f>Q56+Q64</f>
        <v/>
      </c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  <c r="AB66" s="6" t="n"/>
      <c r="AC66" s="6" t="n"/>
      <c r="AD66" s="6" t="n"/>
      <c r="AE66" s="6" t="n"/>
      <c r="AF66" s="6" t="n"/>
      <c r="AG66" s="6" t="n"/>
      <c r="AH66" s="6" t="n"/>
      <c r="AI66" s="6" t="n"/>
      <c r="AJ66" s="6" t="n"/>
      <c r="AK66" s="6" t="n"/>
    </row>
    <row r="67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inlineStr">
        <is>
          <t>INVOICE TOTAL</t>
        </is>
      </c>
      <c r="K67" s="6" t="n"/>
      <c r="L67" s="6" t="n"/>
      <c r="M67" s="6" t="n"/>
      <c r="N67" s="6" t="n"/>
      <c r="O67" s="6" t="n"/>
      <c r="P67" s="7">
        <f>S54</f>
        <v/>
      </c>
      <c r="Q67" s="7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  <c r="AB67" s="6" t="n"/>
      <c r="AC67" s="6" t="n"/>
      <c r="AD67" s="6" t="n"/>
      <c r="AE67" s="6" t="n"/>
      <c r="AF67" s="6" t="n"/>
      <c r="AG67" s="6" t="n"/>
      <c r="AH67" s="6" t="n"/>
      <c r="AI67" s="6" t="n"/>
      <c r="AJ67" s="6" t="n"/>
      <c r="AK67" s="6" t="n"/>
    </row>
    <row r="68"/>
    <row r="69">
      <c r="A69" s="10" t="n"/>
      <c r="B69" s="10" t="n"/>
      <c r="C69" s="10" t="n"/>
      <c r="D69" s="10" t="n"/>
      <c r="E69" s="10" t="n"/>
      <c r="F69" s="10" t="n"/>
      <c r="G69" s="10" t="n"/>
      <c r="H69" s="10" t="n"/>
      <c r="I69" s="10" t="n"/>
      <c r="J69" s="10" t="inlineStr">
        <is>
          <t>VARIANCE CHECK</t>
        </is>
      </c>
      <c r="K69" s="10" t="n"/>
      <c r="L69" s="10" t="n"/>
      <c r="M69" s="10" t="n"/>
      <c r="N69" s="10" t="n"/>
      <c r="O69" s="10" t="n"/>
      <c r="P69" s="11">
        <f>S54-P66</f>
        <v/>
      </c>
      <c r="Q69" s="11">
        <f>S54-Q66</f>
        <v/>
      </c>
      <c r="R69" s="10" t="n"/>
      <c r="S69" s="10" t="n"/>
      <c r="T69" s="10" t="n"/>
      <c r="U69" s="10" t="n"/>
      <c r="V69" s="10" t="n"/>
      <c r="W69" s="10" t="n"/>
      <c r="X69" s="10" t="n"/>
      <c r="Y69" s="10" t="n"/>
      <c r="Z69" s="10" t="n"/>
      <c r="AA69" s="10" t="n"/>
      <c r="AB69" s="10" t="n"/>
      <c r="AC69" s="10" t="n"/>
      <c r="AD69" s="10" t="n"/>
      <c r="AE69" s="10" t="n"/>
      <c r="AF69" s="10" t="n"/>
      <c r="AG69" s="10" t="n"/>
      <c r="AH69" s="10" t="n"/>
      <c r="AI69" s="10" t="n"/>
      <c r="AJ69" s="10" t="n"/>
      <c r="AK69" s="10" t="n"/>
    </row>
    <row r="70"/>
    <row r="71">
      <c r="A71" s="12" t="n"/>
      <c r="B71" s="12" t="n"/>
      <c r="C71" s="12" t="n"/>
      <c r="D71" s="12" t="n"/>
      <c r="E71" s="12" t="n"/>
      <c r="F71" s="12" t="n"/>
      <c r="G71" s="12" t="n"/>
      <c r="H71" s="12" t="n"/>
      <c r="I71" s="12" t="n"/>
      <c r="J71" s="12" t="inlineStr">
        <is>
          <t>DUTY ESTIMATION (Classification Cross-Check)</t>
        </is>
      </c>
      <c r="K71" s="12" t="n"/>
      <c r="L71" s="12" t="n"/>
      <c r="M71" s="12" t="n"/>
      <c r="N71" s="12" t="n"/>
      <c r="O71" s="12" t="n"/>
      <c r="P71" s="12" t="n"/>
      <c r="Q71" s="12" t="n"/>
      <c r="R71" s="12" t="n"/>
      <c r="S71" s="12" t="n"/>
      <c r="T71" s="12" t="n"/>
      <c r="U71" s="12" t="n"/>
      <c r="V71" s="12" t="n"/>
      <c r="W71" s="12" t="n"/>
      <c r="X71" s="12" t="n"/>
      <c r="Y71" s="12" t="n"/>
      <c r="Z71" s="12" t="n"/>
      <c r="AA71" s="12" t="n"/>
      <c r="AB71" s="12" t="n"/>
      <c r="AC71" s="12" t="n"/>
      <c r="AD71" s="12" t="n"/>
      <c r="AE71" s="12" t="n"/>
      <c r="AF71" s="12" t="n"/>
      <c r="AG71" s="12" t="n"/>
      <c r="AH71" s="12" t="n"/>
      <c r="AI71" s="12" t="n"/>
      <c r="AJ71" s="12" t="n"/>
      <c r="AK71" s="12" t="n"/>
    </row>
    <row r="72">
      <c r="A72" s="13" t="n"/>
      <c r="B72" s="13" t="n"/>
      <c r="C72" s="13" t="n"/>
      <c r="D72" s="13" t="n"/>
      <c r="E72" s="13" t="n"/>
      <c r="F72" s="13" t="n"/>
      <c r="G72" s="13" t="n"/>
      <c r="H72" s="13" t="n"/>
      <c r="I72" s="13" t="n"/>
      <c r="J72" s="14" t="inlineStr">
        <is>
          <t>CIF (USD) = InvTotal + Freight + Insurance</t>
        </is>
      </c>
      <c r="K72" s="13" t="n"/>
      <c r="L72" s="13" t="n"/>
      <c r="M72" s="13" t="n"/>
      <c r="N72" s="13" t="n"/>
      <c r="O72" s="13" t="n"/>
      <c r="P72" s="15" t="n">
        <v>0.01</v>
      </c>
      <c r="Q72" s="13" t="n"/>
      <c r="R72" s="13" t="n"/>
      <c r="S72" s="13" t="n"/>
      <c r="T72" s="13" t="n"/>
      <c r="U72" s="13" t="n"/>
      <c r="V72" s="13" t="n"/>
      <c r="W72" s="13" t="n"/>
      <c r="X72" s="13" t="n"/>
      <c r="Y72" s="13" t="n"/>
      <c r="Z72" s="13" t="n"/>
      <c r="AA72" s="13" t="n"/>
      <c r="AB72" s="13" t="n"/>
      <c r="AC72" s="13" t="n"/>
      <c r="AD72" s="13" t="n"/>
      <c r="AE72" s="13" t="n"/>
      <c r="AF72" s="13" t="n"/>
      <c r="AG72" s="13" t="n"/>
      <c r="AH72" s="13" t="n"/>
      <c r="AI72" s="13" t="n"/>
      <c r="AJ72" s="13" t="n"/>
      <c r="AK72" s="13" t="n"/>
    </row>
    <row r="73">
      <c r="A73" s="13" t="n"/>
      <c r="B73" s="13" t="n"/>
      <c r="C73" s="13" t="n"/>
      <c r="D73" s="13" t="n"/>
      <c r="E73" s="13" t="n"/>
      <c r="F73" s="13" t="n"/>
      <c r="G73" s="13" t="n"/>
      <c r="H73" s="13" t="n"/>
      <c r="I73" s="13" t="n"/>
      <c r="J73" s="14" t="inlineStr">
        <is>
          <t>CIF (XCD) = CIF × 2.7169</t>
        </is>
      </c>
      <c r="K73" s="13" t="n"/>
      <c r="L73" s="13" t="n"/>
      <c r="M73" s="13" t="n"/>
      <c r="N73" s="13" t="n"/>
      <c r="O73" s="13" t="n"/>
      <c r="P73" s="15" t="n">
        <v>0.03</v>
      </c>
      <c r="Q73" s="13" t="n"/>
      <c r="R73" s="13" t="n"/>
      <c r="S73" s="13" t="n"/>
      <c r="T73" s="13" t="n"/>
      <c r="U73" s="13" t="n"/>
      <c r="V73" s="13" t="n"/>
      <c r="W73" s="13" t="n"/>
      <c r="X73" s="13" t="n"/>
      <c r="Y73" s="13" t="n"/>
      <c r="Z73" s="13" t="n"/>
      <c r="AA73" s="13" t="n"/>
      <c r="AB73" s="13" t="n"/>
      <c r="AC73" s="13" t="n"/>
      <c r="AD73" s="13" t="n"/>
      <c r="AE73" s="13" t="n"/>
      <c r="AF73" s="13" t="n"/>
      <c r="AG73" s="13" t="n"/>
      <c r="AH73" s="13" t="n"/>
      <c r="AI73" s="13" t="n"/>
      <c r="AJ73" s="13" t="n"/>
      <c r="AK73" s="13" t="n"/>
    </row>
    <row r="74">
      <c r="A74" s="13" t="n"/>
      <c r="B74" s="13" t="n"/>
      <c r="C74" s="13" t="n"/>
      <c r="D74" s="13" t="n"/>
      <c r="E74" s="13" t="n"/>
      <c r="F74" s="13" t="n"/>
      <c r="G74" s="13" t="n"/>
      <c r="H74" s="13" t="n"/>
      <c r="I74" s="13" t="n"/>
      <c r="J74" s="14" t="inlineStr">
        <is>
          <t>CET (20%) — Tariff 99999999</t>
        </is>
      </c>
      <c r="K74" s="13" t="n"/>
      <c r="L74" s="13" t="n"/>
      <c r="M74" s="13" t="n"/>
      <c r="N74" s="13" t="n"/>
      <c r="O74" s="13" t="n"/>
      <c r="P74" s="15" t="n">
        <v>0.01</v>
      </c>
      <c r="Q74" s="13" t="n"/>
      <c r="R74" s="13" t="n"/>
      <c r="S74" s="13" t="n"/>
      <c r="T74" s="13" t="n"/>
      <c r="U74" s="13" t="n"/>
      <c r="V74" s="13" t="n"/>
      <c r="W74" s="13" t="n"/>
      <c r="X74" s="13" t="n"/>
      <c r="Y74" s="13" t="n"/>
      <c r="Z74" s="13" t="n"/>
      <c r="AA74" s="13" t="n"/>
      <c r="AB74" s="13" t="n"/>
      <c r="AC74" s="13" t="n"/>
      <c r="AD74" s="13" t="n"/>
      <c r="AE74" s="13" t="n"/>
      <c r="AF74" s="13" t="n"/>
      <c r="AG74" s="13" t="n"/>
      <c r="AH74" s="13" t="n"/>
      <c r="AI74" s="13" t="n"/>
      <c r="AJ74" s="13" t="n"/>
      <c r="AK74" s="13" t="n"/>
    </row>
    <row r="75">
      <c r="A75" s="13" t="n"/>
      <c r="B75" s="13" t="n"/>
      <c r="C75" s="13" t="n"/>
      <c r="D75" s="13" t="n"/>
      <c r="E75" s="13" t="n"/>
      <c r="F75" s="13" t="n"/>
      <c r="G75" s="13" t="n"/>
      <c r="H75" s="13" t="n"/>
      <c r="I75" s="13" t="n"/>
      <c r="J75" s="14" t="inlineStr">
        <is>
          <t>CSC (6%)</t>
        </is>
      </c>
      <c r="K75" s="13" t="n"/>
      <c r="L75" s="13" t="n"/>
      <c r="M75" s="13" t="n"/>
      <c r="N75" s="13" t="n"/>
      <c r="O75" s="13" t="n"/>
      <c r="P75" s="15" t="n">
        <v>0</v>
      </c>
      <c r="Q75" s="13" t="n"/>
      <c r="R75" s="13" t="n"/>
      <c r="S75" s="13" t="n"/>
      <c r="T75" s="13" t="n"/>
      <c r="U75" s="13" t="n"/>
      <c r="V75" s="13" t="n"/>
      <c r="W75" s="13" t="n"/>
      <c r="X75" s="13" t="n"/>
      <c r="Y75" s="13" t="n"/>
      <c r="Z75" s="13" t="n"/>
      <c r="AA75" s="13" t="n"/>
      <c r="AB75" s="13" t="n"/>
      <c r="AC75" s="13" t="n"/>
      <c r="AD75" s="13" t="n"/>
      <c r="AE75" s="13" t="n"/>
      <c r="AF75" s="13" t="n"/>
      <c r="AG75" s="13" t="n"/>
      <c r="AH75" s="13" t="n"/>
      <c r="AI75" s="13" t="n"/>
      <c r="AJ75" s="13" t="n"/>
      <c r="AK75" s="13" t="n"/>
    </row>
    <row r="76">
      <c r="A76" s="13" t="n"/>
      <c r="B76" s="13" t="n"/>
      <c r="C76" s="13" t="n"/>
      <c r="D76" s="13" t="n"/>
      <c r="E76" s="13" t="n"/>
      <c r="F76" s="13" t="n"/>
      <c r="G76" s="13" t="n"/>
      <c r="H76" s="13" t="n"/>
      <c r="I76" s="13" t="n"/>
      <c r="J76" s="14" t="inlineStr">
        <is>
          <t>VAT (15%) on CIF+CET+CSC</t>
        </is>
      </c>
      <c r="K76" s="13" t="n"/>
      <c r="L76" s="13" t="n"/>
      <c r="M76" s="13" t="n"/>
      <c r="N76" s="13" t="n"/>
      <c r="O76" s="13" t="n"/>
      <c r="P76" s="15" t="n">
        <v>0.01</v>
      </c>
      <c r="Q76" s="13" t="n"/>
      <c r="R76" s="13" t="n"/>
      <c r="S76" s="13" t="n"/>
      <c r="T76" s="13" t="n"/>
      <c r="U76" s="13" t="n"/>
      <c r="V76" s="13" t="n"/>
      <c r="W76" s="13" t="n"/>
      <c r="X76" s="13" t="n"/>
      <c r="Y76" s="13" t="n"/>
      <c r="Z76" s="13" t="n"/>
      <c r="AA76" s="13" t="n"/>
      <c r="AB76" s="13" t="n"/>
      <c r="AC76" s="13" t="n"/>
      <c r="AD76" s="13" t="n"/>
      <c r="AE76" s="13" t="n"/>
      <c r="AF76" s="13" t="n"/>
      <c r="AG76" s="13" t="n"/>
      <c r="AH76" s="13" t="n"/>
      <c r="AI76" s="13" t="n"/>
      <c r="AJ76" s="13" t="n"/>
      <c r="AK76" s="13" t="n"/>
    </row>
    <row r="77">
      <c r="A77" s="16" t="n"/>
      <c r="B77" s="16" t="n"/>
      <c r="C77" s="16" t="n"/>
      <c r="D77" s="16" t="n"/>
      <c r="E77" s="16" t="n"/>
      <c r="F77" s="16" t="n"/>
      <c r="G77" s="16" t="n"/>
      <c r="H77" s="16" t="n"/>
      <c r="I77" s="16" t="n"/>
      <c r="J77" s="12" t="inlineStr">
        <is>
          <t>ESTIMATED TOTAL DUTIES</t>
        </is>
      </c>
      <c r="K77" s="16" t="n"/>
      <c r="L77" s="16" t="n"/>
      <c r="M77" s="16" t="n"/>
      <c r="N77" s="16" t="n"/>
      <c r="O77" s="16" t="n"/>
      <c r="P77" s="17" t="n">
        <v>0.02</v>
      </c>
      <c r="Q77" s="16" t="n"/>
      <c r="R77" s="16" t="n"/>
      <c r="S77" s="16" t="n"/>
      <c r="T77" s="16" t="n"/>
      <c r="U77" s="16" t="n"/>
      <c r="V77" s="16" t="n"/>
      <c r="W77" s="16" t="n"/>
      <c r="X77" s="16" t="n"/>
      <c r="Y77" s="16" t="n"/>
      <c r="Z77" s="16" t="n"/>
      <c r="AA77" s="16" t="n"/>
      <c r="AB77" s="16" t="n"/>
      <c r="AC77" s="16" t="n"/>
      <c r="AD77" s="16" t="n"/>
      <c r="AE77" s="16" t="n"/>
      <c r="AF77" s="16" t="n"/>
      <c r="AG77" s="16" t="n"/>
      <c r="AH77" s="16" t="n"/>
      <c r="AI77" s="16" t="n"/>
      <c r="AJ77" s="16" t="n"/>
      <c r="AK77" s="16" t="n"/>
    </row>
    <row r="78">
      <c r="A78" s="13" t="n"/>
      <c r="B78" s="13" t="n"/>
      <c r="C78" s="13" t="n"/>
      <c r="D78" s="13" t="n"/>
      <c r="E78" s="13" t="n"/>
      <c r="F78" s="13" t="n"/>
      <c r="G78" s="13" t="n"/>
      <c r="H78" s="13" t="n"/>
      <c r="I78" s="13" t="n"/>
      <c r="J78" s="14" t="inlineStr">
        <is>
          <t>Effective Duty Rate</t>
        </is>
      </c>
      <c r="K78" s="13" t="n"/>
      <c r="L78" s="13" t="n"/>
      <c r="M78" s="13" t="n"/>
      <c r="N78" s="13" t="n"/>
      <c r="O78" s="13" t="n"/>
      <c r="P78" s="18" t="n">
        <v>0.6666666666666667</v>
      </c>
      <c r="Q78" s="13" t="n"/>
      <c r="R78" s="13" t="n"/>
      <c r="S78" s="13" t="n"/>
      <c r="T78" s="13" t="n"/>
      <c r="U78" s="13" t="n"/>
      <c r="V78" s="13" t="n"/>
      <c r="W78" s="13" t="n"/>
      <c r="X78" s="13" t="n"/>
      <c r="Y78" s="13" t="n"/>
      <c r="Z78" s="13" t="n"/>
      <c r="AA78" s="13" t="n"/>
      <c r="AB78" s="13" t="n"/>
      <c r="AC78" s="13" t="n"/>
      <c r="AD78" s="13" t="n"/>
      <c r="AE78" s="13" t="n"/>
      <c r="AF78" s="13" t="n"/>
      <c r="AG78" s="13" t="n"/>
      <c r="AH78" s="13" t="n"/>
      <c r="AI78" s="13" t="n"/>
      <c r="AJ78" s="13" t="n"/>
      <c r="AK78" s="13" t="n"/>
    </row>
    <row r="79">
      <c r="A79" s="19" t="n"/>
      <c r="B79" s="19" t="n"/>
      <c r="C79" s="19" t="n"/>
      <c r="D79" s="19" t="n"/>
      <c r="E79" s="19" t="n"/>
      <c r="F79" s="19" t="n"/>
      <c r="G79" s="19" t="n"/>
      <c r="H79" s="19" t="n"/>
      <c r="I79" s="19" t="n"/>
      <c r="J79" s="19" t="n"/>
      <c r="K79" s="19" t="n"/>
      <c r="L79" s="19" t="n"/>
      <c r="M79" s="19" t="n"/>
      <c r="N79" s="19" t="n"/>
      <c r="O79" s="19" t="n"/>
      <c r="P79" s="19" t="n"/>
      <c r="Q79" s="19" t="n"/>
      <c r="R79" s="19" t="n"/>
      <c r="S79" s="19" t="n"/>
      <c r="T79" s="19" t="n"/>
      <c r="U79" s="19" t="n"/>
      <c r="V79" s="19" t="n"/>
      <c r="W79" s="19" t="n"/>
      <c r="X79" s="19" t="n"/>
      <c r="Y79" s="19" t="n"/>
      <c r="Z79" s="19" t="n"/>
      <c r="AA79" s="19" t="n"/>
      <c r="AB79" s="19" t="n"/>
      <c r="AC79" s="19" t="n"/>
      <c r="AD79" s="19" t="n"/>
      <c r="AE79" s="19" t="n"/>
      <c r="AF79" s="19" t="n"/>
      <c r="AG79" s="19" t="n"/>
      <c r="AH79" s="19" t="n"/>
      <c r="AI79" s="19" t="n"/>
      <c r="AJ79" s="19" t="n"/>
      <c r="AK79" s="19" t="n"/>
    </row>
    <row r="80">
      <c r="A80" s="2" t="inlineStr">
        <is>
          <t>4000-000</t>
        </is>
      </c>
      <c r="B80" s="2" t="n"/>
      <c r="C80" s="2" t="inlineStr">
        <is>
          <t>GSUNJE</t>
        </is>
      </c>
      <c r="D80" s="2" t="n"/>
      <c r="E80" s="2" t="inlineStr">
        <is>
          <t>Miscellaneous</t>
        </is>
      </c>
      <c r="F80" s="2" t="inlineStr">
        <is>
          <t>62052000</t>
        </is>
      </c>
      <c r="G80" s="2" t="n"/>
      <c r="H80" s="2" t="n"/>
      <c r="I80" s="2" t="inlineStr">
        <is>
          <t>99999999</t>
        </is>
      </c>
      <c r="J80" s="2" t="inlineStr">
        <is>
          <t>SHEIN US Services, LLC Purchase (1 items)</t>
        </is>
      </c>
      <c r="K80" s="2" t="n">
        <v>1</v>
      </c>
      <c r="L80" s="2" t="n"/>
      <c r="M80" s="2" t="n"/>
      <c r="N80" s="2" t="inlineStr">
        <is>
          <t>USD</t>
        </is>
      </c>
      <c r="O80" s="3" t="n">
        <v>0.01</v>
      </c>
      <c r="P80" s="3" t="n">
        <v>0.01</v>
      </c>
      <c r="Q80" s="3">
        <f>O80*K80</f>
        <v/>
      </c>
      <c r="R80" s="3">
        <f>P80-Q80</f>
        <v/>
      </c>
      <c r="S80" s="3" t="n">
        <v>0.01</v>
      </c>
      <c r="T80" s="3" t="n">
        <v>0</v>
      </c>
      <c r="U80" s="3" t="n">
        <v>0</v>
      </c>
      <c r="V80" s="3" t="n">
        <v>0</v>
      </c>
      <c r="W80" s="3" t="n">
        <v>0</v>
      </c>
      <c r="X80" s="2" t="n"/>
      <c r="Y80" s="2" t="n"/>
      <c r="Z80" s="2" t="inlineStr">
        <is>
          <t>SHEIN</t>
        </is>
      </c>
      <c r="AA80" s="2" t="inlineStr">
        <is>
          <t>SHEIN US Services, LLC</t>
        </is>
      </c>
      <c r="AB80" s="2" t="inlineStr">
        <is>
          <t>777 S. Alameda St., Second Floor, Los Angeles, CA 90021</t>
        </is>
      </c>
      <c r="AC80" s="2" t="inlineStr">
        <is>
          <t>US</t>
        </is>
      </c>
      <c r="AD80" s="2" t="n"/>
      <c r="AE80" s="2" t="n"/>
      <c r="AF80" s="2" t="n"/>
      <c r="AG80" s="2" t="n"/>
      <c r="AH80" s="2" t="n"/>
      <c r="AI80" s="2" t="n"/>
      <c r="AJ80" s="2" t="n"/>
      <c r="AK80" s="2" t="inlineStr">
        <is>
          <t>62052000</t>
        </is>
      </c>
    </row>
    <row r="81">
      <c r="A81" s="4" t="n"/>
      <c r="B81" s="4" t="n"/>
      <c r="C81" s="4" t="n"/>
      <c r="D81" s="4" t="n"/>
      <c r="E81" s="4" t="n"/>
      <c r="F81" s="4" t="inlineStr">
        <is>
          <t>62052000</t>
        </is>
      </c>
      <c r="G81" s="4" t="n"/>
      <c r="H81" s="4" t="n"/>
      <c r="I81" s="4" t="inlineStr">
        <is>
          <t>SHE-1</t>
        </is>
      </c>
      <c r="J81" s="4" t="inlineStr">
        <is>
          <t>SHEIN US Services, LLC Purchase</t>
        </is>
      </c>
      <c r="K81" s="4" t="n">
        <v>1</v>
      </c>
      <c r="L81" s="4" t="n"/>
      <c r="M81" s="4" t="n"/>
      <c r="N81" s="4" t="inlineStr">
        <is>
          <t>USD</t>
        </is>
      </c>
      <c r="O81" s="5" t="n">
        <v>0.01</v>
      </c>
      <c r="P81" s="5" t="n">
        <v>0.01</v>
      </c>
      <c r="Q81" s="5">
        <f>O81*K81</f>
        <v/>
      </c>
      <c r="R81" s="5">
        <f>P81-Q81</f>
        <v/>
      </c>
      <c r="S81" s="4" t="n"/>
      <c r="T81" s="4" t="n"/>
      <c r="U81" s="4" t="n"/>
      <c r="V81" s="4" t="n"/>
      <c r="W81" s="4" t="n"/>
      <c r="X81" s="4" t="n"/>
      <c r="Y81" s="4" t="n"/>
      <c r="Z81" s="4" t="n"/>
      <c r="AA81" s="4" t="n"/>
      <c r="AB81" s="4" t="n"/>
      <c r="AC81" s="4" t="n"/>
      <c r="AD81" s="4" t="n"/>
      <c r="AE81" s="4" t="n"/>
      <c r="AF81" s="4" t="n"/>
      <c r="AG81" s="4" t="n"/>
      <c r="AH81" s="4" t="n"/>
      <c r="AI81" s="4" t="n"/>
      <c r="AJ81" s="4" t="n"/>
      <c r="AK81" s="4" t="inlineStr">
        <is>
          <t>62052000</t>
        </is>
      </c>
    </row>
    <row r="82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inlineStr">
        <is>
          <t>SUBTOTAL (GROUPED)</t>
        </is>
      </c>
      <c r="K82" s="6" t="n"/>
      <c r="L82" s="6" t="n"/>
      <c r="M82" s="6" t="n"/>
      <c r="N82" s="6" t="n"/>
      <c r="O82" s="6" t="n"/>
      <c r="P82" s="7">
        <f>P80</f>
        <v/>
      </c>
      <c r="Q82" s="7">
        <f>Q80</f>
        <v/>
      </c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  <c r="AB82" s="6" t="n"/>
      <c r="AC82" s="6" t="n"/>
      <c r="AD82" s="6" t="n"/>
      <c r="AE82" s="6" t="n"/>
      <c r="AF82" s="6" t="n"/>
      <c r="AG82" s="6" t="n"/>
      <c r="AH82" s="6" t="n"/>
      <c r="AI82" s="6" t="n"/>
      <c r="AJ82" s="6" t="n"/>
      <c r="AK82" s="6" t="n"/>
    </row>
    <row r="83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inlineStr">
        <is>
          <t>SUBTOTAL (DETAILS)</t>
        </is>
      </c>
      <c r="K83" s="6" t="n"/>
      <c r="L83" s="6" t="n"/>
      <c r="M83" s="6" t="n"/>
      <c r="N83" s="6" t="n"/>
      <c r="O83" s="6" t="n"/>
      <c r="P83" s="7">
        <f>SUM(P80:P81)-P82</f>
        <v/>
      </c>
      <c r="Q83" s="7">
        <f>SUM(Q80:Q81)-Q82</f>
        <v/>
      </c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  <c r="AB83" s="6" t="n"/>
      <c r="AC83" s="6" t="n"/>
      <c r="AD83" s="6" t="n"/>
      <c r="AE83" s="6" t="n"/>
      <c r="AF83" s="6" t="n"/>
      <c r="AG83" s="6" t="n"/>
      <c r="AH83" s="6" t="n"/>
      <c r="AI83" s="6" t="n"/>
      <c r="AJ83" s="6" t="n"/>
      <c r="AK83" s="6" t="n"/>
    </row>
    <row r="84">
      <c r="A84" s="8" t="n"/>
      <c r="B84" s="8" t="n"/>
      <c r="C84" s="8" t="n"/>
      <c r="D84" s="8" t="n"/>
      <c r="E84" s="8" t="n"/>
      <c r="F84" s="8" t="n"/>
      <c r="G84" s="8" t="n"/>
      <c r="H84" s="8" t="n"/>
      <c r="I84" s="8" t="n"/>
      <c r="J84" s="8" t="inlineStr">
        <is>
          <t>GROUP VERIFICATION</t>
        </is>
      </c>
      <c r="K84" s="8" t="n"/>
      <c r="L84" s="8" t="n"/>
      <c r="M84" s="8" t="n"/>
      <c r="N84" s="8" t="n"/>
      <c r="O84" s="8" t="n"/>
      <c r="P84" s="9">
        <f>P82-P83</f>
        <v/>
      </c>
      <c r="Q84" s="9">
        <f>Q82-Q83</f>
        <v/>
      </c>
      <c r="R84" s="8" t="n"/>
      <c r="S84" s="8" t="n"/>
      <c r="T84" s="8" t="n"/>
      <c r="U84" s="8" t="n"/>
      <c r="V84" s="8" t="n"/>
      <c r="W84" s="8" t="n"/>
      <c r="X84" s="8" t="n"/>
      <c r="Y84" s="8" t="n"/>
      <c r="Z84" s="8" t="n"/>
      <c r="AA84" s="8" t="n"/>
      <c r="AB84" s="8" t="n"/>
      <c r="AC84" s="8" t="n"/>
      <c r="AD84" s="8" t="n"/>
      <c r="AE84" s="8" t="n"/>
      <c r="AF84" s="8" t="n"/>
      <c r="AG84" s="8" t="n"/>
      <c r="AH84" s="8" t="n"/>
      <c r="AI84" s="8" t="n"/>
      <c r="AJ84" s="8" t="n"/>
      <c r="AK84" s="8" t="n"/>
    </row>
    <row r="85"/>
    <row r="86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inlineStr">
        <is>
          <t>TOTAL INTERNAL FREIGHT</t>
        </is>
      </c>
      <c r="K86" s="6" t="n"/>
      <c r="L86" s="6" t="n"/>
      <c r="M86" s="6" t="n"/>
      <c r="N86" s="6" t="n"/>
      <c r="O86" s="6" t="n"/>
      <c r="P86" s="7" t="n">
        <v>0</v>
      </c>
      <c r="Q86" s="7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  <c r="AB86" s="6" t="n"/>
      <c r="AC86" s="6" t="n"/>
      <c r="AD86" s="6" t="n"/>
      <c r="AE86" s="6" t="n"/>
      <c r="AF86" s="6" t="n"/>
      <c r="AG86" s="6" t="n"/>
      <c r="AH86" s="6" t="n"/>
      <c r="AI86" s="6" t="n"/>
      <c r="AJ86" s="6" t="n"/>
      <c r="AK86" s="6" t="n"/>
    </row>
    <row r="87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inlineStr">
        <is>
          <t>TOTAL INSURANCE</t>
        </is>
      </c>
      <c r="K87" s="6" t="n"/>
      <c r="L87" s="6" t="n"/>
      <c r="M87" s="6" t="n"/>
      <c r="N87" s="6" t="n"/>
      <c r="O87" s="6" t="n"/>
      <c r="P87" s="7" t="n">
        <v>0</v>
      </c>
      <c r="Q87" s="7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  <c r="AB87" s="6" t="n"/>
      <c r="AC87" s="6" t="n"/>
      <c r="AD87" s="6" t="n"/>
      <c r="AE87" s="6" t="n"/>
      <c r="AF87" s="6" t="n"/>
      <c r="AG87" s="6" t="n"/>
      <c r="AH87" s="6" t="n"/>
      <c r="AI87" s="6" t="n"/>
      <c r="AJ87" s="6" t="n"/>
      <c r="AK87" s="6" t="n"/>
    </row>
    <row r="88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inlineStr">
        <is>
          <t>TOTAL OTHER COST</t>
        </is>
      </c>
      <c r="K88" s="6" t="n"/>
      <c r="L88" s="6" t="n"/>
      <c r="M88" s="6" t="n"/>
      <c r="N88" s="6" t="n"/>
      <c r="O88" s="6" t="n"/>
      <c r="P88" s="7" t="n">
        <v>0</v>
      </c>
      <c r="Q88" s="7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  <c r="AB88" s="6" t="n"/>
      <c r="AC88" s="6" t="n"/>
      <c r="AD88" s="6" t="n"/>
      <c r="AE88" s="6" t="n"/>
      <c r="AF88" s="6" t="n"/>
      <c r="AG88" s="6" t="n"/>
      <c r="AH88" s="6" t="n"/>
      <c r="AI88" s="6" t="n"/>
      <c r="AJ88" s="6" t="n"/>
      <c r="AK88" s="6" t="n"/>
    </row>
    <row r="89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inlineStr">
        <is>
          <t>TOTAL DEDUCTION</t>
        </is>
      </c>
      <c r="K89" s="6" t="n"/>
      <c r="L89" s="6" t="n"/>
      <c r="M89" s="6" t="n"/>
      <c r="N89" s="6" t="n"/>
      <c r="O89" s="6" t="n"/>
      <c r="P89" s="7" t="n">
        <v>0</v>
      </c>
      <c r="Q89" s="7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  <c r="AB89" s="6" t="n"/>
      <c r="AC89" s="6" t="n"/>
      <c r="AD89" s="6" t="n"/>
      <c r="AE89" s="6" t="n"/>
      <c r="AF89" s="6" t="n"/>
      <c r="AG89" s="6" t="n"/>
      <c r="AH89" s="6" t="n"/>
      <c r="AI89" s="6" t="n"/>
      <c r="AJ89" s="6" t="n"/>
      <c r="AK89" s="6" t="n"/>
    </row>
    <row r="90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inlineStr">
        <is>
          <t>ADJUSTMENTS</t>
        </is>
      </c>
      <c r="K90" s="6" t="n"/>
      <c r="L90" s="6" t="n"/>
      <c r="M90" s="6" t="n"/>
      <c r="N90" s="6" t="n"/>
      <c r="O90" s="6" t="n"/>
      <c r="P90" s="7">
        <f>(T80+U80+V80-W80)</f>
        <v/>
      </c>
      <c r="Q90" s="7">
        <f>(T80+U80+V80-W80)</f>
        <v/>
      </c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  <c r="AB90" s="6" t="n"/>
      <c r="AC90" s="6" t="n"/>
      <c r="AD90" s="6" t="n"/>
      <c r="AE90" s="6" t="n"/>
      <c r="AF90" s="6" t="n"/>
      <c r="AG90" s="6" t="n"/>
      <c r="AH90" s="6" t="n"/>
      <c r="AI90" s="6" t="n"/>
      <c r="AJ90" s="6" t="n"/>
      <c r="AK90" s="6" t="n"/>
    </row>
    <row r="91"/>
    <row r="92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inlineStr">
        <is>
          <t>NET TOTAL</t>
        </is>
      </c>
      <c r="K92" s="6" t="n"/>
      <c r="L92" s="6" t="n"/>
      <c r="M92" s="6" t="n"/>
      <c r="N92" s="6" t="n"/>
      <c r="O92" s="6" t="n"/>
      <c r="P92" s="7">
        <f>P82+P90</f>
        <v/>
      </c>
      <c r="Q92" s="7">
        <f>Q82+Q90</f>
        <v/>
      </c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  <c r="AB92" s="6" t="n"/>
      <c r="AC92" s="6" t="n"/>
      <c r="AD92" s="6" t="n"/>
      <c r="AE92" s="6" t="n"/>
      <c r="AF92" s="6" t="n"/>
      <c r="AG92" s="6" t="n"/>
      <c r="AH92" s="6" t="n"/>
      <c r="AI92" s="6" t="n"/>
      <c r="AJ92" s="6" t="n"/>
      <c r="AK92" s="6" t="n"/>
    </row>
    <row r="93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inlineStr">
        <is>
          <t>INVOICE TOTAL</t>
        </is>
      </c>
      <c r="K93" s="6" t="n"/>
      <c r="L93" s="6" t="n"/>
      <c r="M93" s="6" t="n"/>
      <c r="N93" s="6" t="n"/>
      <c r="O93" s="6" t="n"/>
      <c r="P93" s="7">
        <f>S80</f>
        <v/>
      </c>
      <c r="Q93" s="7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  <c r="AB93" s="6" t="n"/>
      <c r="AC93" s="6" t="n"/>
      <c r="AD93" s="6" t="n"/>
      <c r="AE93" s="6" t="n"/>
      <c r="AF93" s="6" t="n"/>
      <c r="AG93" s="6" t="n"/>
      <c r="AH93" s="6" t="n"/>
      <c r="AI93" s="6" t="n"/>
      <c r="AJ93" s="6" t="n"/>
      <c r="AK93" s="6" t="n"/>
    </row>
    <row r="94"/>
    <row r="95">
      <c r="A95" s="10" t="n"/>
      <c r="B95" s="10" t="n"/>
      <c r="C95" s="10" t="n"/>
      <c r="D95" s="10" t="n"/>
      <c r="E95" s="10" t="n"/>
      <c r="F95" s="10" t="n"/>
      <c r="G95" s="10" t="n"/>
      <c r="H95" s="10" t="n"/>
      <c r="I95" s="10" t="n"/>
      <c r="J95" s="10" t="inlineStr">
        <is>
          <t>VARIANCE CHECK</t>
        </is>
      </c>
      <c r="K95" s="10" t="n"/>
      <c r="L95" s="10" t="n"/>
      <c r="M95" s="10" t="n"/>
      <c r="N95" s="10" t="n"/>
      <c r="O95" s="10" t="n"/>
      <c r="P95" s="11">
        <f>S80-P92</f>
        <v/>
      </c>
      <c r="Q95" s="11">
        <f>S80-Q92</f>
        <v/>
      </c>
      <c r="R95" s="10" t="n"/>
      <c r="S95" s="10" t="n"/>
      <c r="T95" s="10" t="n"/>
      <c r="U95" s="10" t="n"/>
      <c r="V95" s="10" t="n"/>
      <c r="W95" s="10" t="n"/>
      <c r="X95" s="10" t="n"/>
      <c r="Y95" s="10" t="n"/>
      <c r="Z95" s="10" t="n"/>
      <c r="AA95" s="10" t="n"/>
      <c r="AB95" s="10" t="n"/>
      <c r="AC95" s="10" t="n"/>
      <c r="AD95" s="10" t="n"/>
      <c r="AE95" s="10" t="n"/>
      <c r="AF95" s="10" t="n"/>
      <c r="AG95" s="10" t="n"/>
      <c r="AH95" s="10" t="n"/>
      <c r="AI95" s="10" t="n"/>
      <c r="AJ95" s="10" t="n"/>
      <c r="AK95" s="10" t="n"/>
    </row>
    <row r="96"/>
    <row r="97">
      <c r="A97" s="12" t="n"/>
      <c r="B97" s="12" t="n"/>
      <c r="C97" s="12" t="n"/>
      <c r="D97" s="12" t="n"/>
      <c r="E97" s="12" t="n"/>
      <c r="F97" s="12" t="n"/>
      <c r="G97" s="12" t="n"/>
      <c r="H97" s="12" t="n"/>
      <c r="I97" s="12" t="n"/>
      <c r="J97" s="12" t="inlineStr">
        <is>
          <t>DUTY ESTIMATION (Classification Cross-Check)</t>
        </is>
      </c>
      <c r="K97" s="12" t="n"/>
      <c r="L97" s="12" t="n"/>
      <c r="M97" s="12" t="n"/>
      <c r="N97" s="12" t="n"/>
      <c r="O97" s="12" t="n"/>
      <c r="P97" s="12" t="n"/>
      <c r="Q97" s="12" t="n"/>
      <c r="R97" s="12" t="n"/>
      <c r="S97" s="12" t="n"/>
      <c r="T97" s="12" t="n"/>
      <c r="U97" s="12" t="n"/>
      <c r="V97" s="12" t="n"/>
      <c r="W97" s="12" t="n"/>
      <c r="X97" s="12" t="n"/>
      <c r="Y97" s="12" t="n"/>
      <c r="Z97" s="12" t="n"/>
      <c r="AA97" s="12" t="n"/>
      <c r="AB97" s="12" t="n"/>
      <c r="AC97" s="12" t="n"/>
      <c r="AD97" s="12" t="n"/>
      <c r="AE97" s="12" t="n"/>
      <c r="AF97" s="12" t="n"/>
      <c r="AG97" s="12" t="n"/>
      <c r="AH97" s="12" t="n"/>
      <c r="AI97" s="12" t="n"/>
      <c r="AJ97" s="12" t="n"/>
      <c r="AK97" s="12" t="n"/>
    </row>
    <row r="98">
      <c r="A98" s="13" t="n"/>
      <c r="B98" s="13" t="n"/>
      <c r="C98" s="13" t="n"/>
      <c r="D98" s="13" t="n"/>
      <c r="E98" s="13" t="n"/>
      <c r="F98" s="13" t="n"/>
      <c r="G98" s="13" t="n"/>
      <c r="H98" s="13" t="n"/>
      <c r="I98" s="13" t="n"/>
      <c r="J98" s="14" t="inlineStr">
        <is>
          <t>CIF (USD) = InvTotal + Freight + Insurance</t>
        </is>
      </c>
      <c r="K98" s="13" t="n"/>
      <c r="L98" s="13" t="n"/>
      <c r="M98" s="13" t="n"/>
      <c r="N98" s="13" t="n"/>
      <c r="O98" s="13" t="n"/>
      <c r="P98" s="15" t="n">
        <v>0.01</v>
      </c>
      <c r="Q98" s="13" t="n"/>
      <c r="R98" s="13" t="n"/>
      <c r="S98" s="13" t="n"/>
      <c r="T98" s="13" t="n"/>
      <c r="U98" s="13" t="n"/>
      <c r="V98" s="13" t="n"/>
      <c r="W98" s="13" t="n"/>
      <c r="X98" s="13" t="n"/>
      <c r="Y98" s="13" t="n"/>
      <c r="Z98" s="13" t="n"/>
      <c r="AA98" s="13" t="n"/>
      <c r="AB98" s="13" t="n"/>
      <c r="AC98" s="13" t="n"/>
      <c r="AD98" s="13" t="n"/>
      <c r="AE98" s="13" t="n"/>
      <c r="AF98" s="13" t="n"/>
      <c r="AG98" s="13" t="n"/>
      <c r="AH98" s="13" t="n"/>
      <c r="AI98" s="13" t="n"/>
      <c r="AJ98" s="13" t="n"/>
      <c r="AK98" s="13" t="n"/>
    </row>
    <row r="99">
      <c r="A99" s="13" t="n"/>
      <c r="B99" s="13" t="n"/>
      <c r="C99" s="13" t="n"/>
      <c r="D99" s="13" t="n"/>
      <c r="E99" s="13" t="n"/>
      <c r="F99" s="13" t="n"/>
      <c r="G99" s="13" t="n"/>
      <c r="H99" s="13" t="n"/>
      <c r="I99" s="13" t="n"/>
      <c r="J99" s="14" t="inlineStr">
        <is>
          <t>CIF (XCD) = CIF × 2.7169</t>
        </is>
      </c>
      <c r="K99" s="13" t="n"/>
      <c r="L99" s="13" t="n"/>
      <c r="M99" s="13" t="n"/>
      <c r="N99" s="13" t="n"/>
      <c r="O99" s="13" t="n"/>
      <c r="P99" s="15" t="n">
        <v>0.03</v>
      </c>
      <c r="Q99" s="13" t="n"/>
      <c r="R99" s="13" t="n"/>
      <c r="S99" s="13" t="n"/>
      <c r="T99" s="13" t="n"/>
      <c r="U99" s="13" t="n"/>
      <c r="V99" s="13" t="n"/>
      <c r="W99" s="13" t="n"/>
      <c r="X99" s="13" t="n"/>
      <c r="Y99" s="13" t="n"/>
      <c r="Z99" s="13" t="n"/>
      <c r="AA99" s="13" t="n"/>
      <c r="AB99" s="13" t="n"/>
      <c r="AC99" s="13" t="n"/>
      <c r="AD99" s="13" t="n"/>
      <c r="AE99" s="13" t="n"/>
      <c r="AF99" s="13" t="n"/>
      <c r="AG99" s="13" t="n"/>
      <c r="AH99" s="13" t="n"/>
      <c r="AI99" s="13" t="n"/>
      <c r="AJ99" s="13" t="n"/>
      <c r="AK99" s="13" t="n"/>
    </row>
    <row r="100">
      <c r="A100" s="13" t="n"/>
      <c r="B100" s="13" t="n"/>
      <c r="C100" s="13" t="n"/>
      <c r="D100" s="13" t="n"/>
      <c r="E100" s="13" t="n"/>
      <c r="F100" s="13" t="n"/>
      <c r="G100" s="13" t="n"/>
      <c r="H100" s="13" t="n"/>
      <c r="I100" s="13" t="n"/>
      <c r="J100" s="14" t="inlineStr">
        <is>
          <t>CET (20%) — Tariff 99999999</t>
        </is>
      </c>
      <c r="K100" s="13" t="n"/>
      <c r="L100" s="13" t="n"/>
      <c r="M100" s="13" t="n"/>
      <c r="N100" s="13" t="n"/>
      <c r="O100" s="13" t="n"/>
      <c r="P100" s="15" t="n">
        <v>0.01</v>
      </c>
      <c r="Q100" s="13" t="n"/>
      <c r="R100" s="13" t="n"/>
      <c r="S100" s="13" t="n"/>
      <c r="T100" s="13" t="n"/>
      <c r="U100" s="13" t="n"/>
      <c r="V100" s="13" t="n"/>
      <c r="W100" s="13" t="n"/>
      <c r="X100" s="13" t="n"/>
      <c r="Y100" s="13" t="n"/>
      <c r="Z100" s="13" t="n"/>
      <c r="AA100" s="13" t="n"/>
      <c r="AB100" s="13" t="n"/>
      <c r="AC100" s="13" t="n"/>
      <c r="AD100" s="13" t="n"/>
      <c r="AE100" s="13" t="n"/>
      <c r="AF100" s="13" t="n"/>
      <c r="AG100" s="13" t="n"/>
      <c r="AH100" s="13" t="n"/>
      <c r="AI100" s="13" t="n"/>
      <c r="AJ100" s="13" t="n"/>
      <c r="AK100" s="13" t="n"/>
    </row>
    <row r="101">
      <c r="A101" s="13" t="n"/>
      <c r="B101" s="13" t="n"/>
      <c r="C101" s="13" t="n"/>
      <c r="D101" s="13" t="n"/>
      <c r="E101" s="13" t="n"/>
      <c r="F101" s="13" t="n"/>
      <c r="G101" s="13" t="n"/>
      <c r="H101" s="13" t="n"/>
      <c r="I101" s="13" t="n"/>
      <c r="J101" s="14" t="inlineStr">
        <is>
          <t>CSC (6%)</t>
        </is>
      </c>
      <c r="K101" s="13" t="n"/>
      <c r="L101" s="13" t="n"/>
      <c r="M101" s="13" t="n"/>
      <c r="N101" s="13" t="n"/>
      <c r="O101" s="13" t="n"/>
      <c r="P101" s="15" t="n">
        <v>0</v>
      </c>
      <c r="Q101" s="13" t="n"/>
      <c r="R101" s="13" t="n"/>
      <c r="S101" s="13" t="n"/>
      <c r="T101" s="13" t="n"/>
      <c r="U101" s="13" t="n"/>
      <c r="V101" s="13" t="n"/>
      <c r="W101" s="13" t="n"/>
      <c r="X101" s="13" t="n"/>
      <c r="Y101" s="13" t="n"/>
      <c r="Z101" s="13" t="n"/>
      <c r="AA101" s="13" t="n"/>
      <c r="AB101" s="13" t="n"/>
      <c r="AC101" s="13" t="n"/>
      <c r="AD101" s="13" t="n"/>
      <c r="AE101" s="13" t="n"/>
      <c r="AF101" s="13" t="n"/>
      <c r="AG101" s="13" t="n"/>
      <c r="AH101" s="13" t="n"/>
      <c r="AI101" s="13" t="n"/>
      <c r="AJ101" s="13" t="n"/>
      <c r="AK101" s="13" t="n"/>
    </row>
    <row r="102">
      <c r="A102" s="13" t="n"/>
      <c r="B102" s="13" t="n"/>
      <c r="C102" s="13" t="n"/>
      <c r="D102" s="13" t="n"/>
      <c r="E102" s="13" t="n"/>
      <c r="F102" s="13" t="n"/>
      <c r="G102" s="13" t="n"/>
      <c r="H102" s="13" t="n"/>
      <c r="I102" s="13" t="n"/>
      <c r="J102" s="14" t="inlineStr">
        <is>
          <t>VAT (15%) on CIF+CET+CSC</t>
        </is>
      </c>
      <c r="K102" s="13" t="n"/>
      <c r="L102" s="13" t="n"/>
      <c r="M102" s="13" t="n"/>
      <c r="N102" s="13" t="n"/>
      <c r="O102" s="13" t="n"/>
      <c r="P102" s="15" t="n">
        <v>0.01</v>
      </c>
      <c r="Q102" s="13" t="n"/>
      <c r="R102" s="13" t="n"/>
      <c r="S102" s="13" t="n"/>
      <c r="T102" s="13" t="n"/>
      <c r="U102" s="13" t="n"/>
      <c r="V102" s="13" t="n"/>
      <c r="W102" s="13" t="n"/>
      <c r="X102" s="13" t="n"/>
      <c r="Y102" s="13" t="n"/>
      <c r="Z102" s="13" t="n"/>
      <c r="AA102" s="13" t="n"/>
      <c r="AB102" s="13" t="n"/>
      <c r="AC102" s="13" t="n"/>
      <c r="AD102" s="13" t="n"/>
      <c r="AE102" s="13" t="n"/>
      <c r="AF102" s="13" t="n"/>
      <c r="AG102" s="13" t="n"/>
      <c r="AH102" s="13" t="n"/>
      <c r="AI102" s="13" t="n"/>
      <c r="AJ102" s="13" t="n"/>
      <c r="AK102" s="13" t="n"/>
    </row>
    <row r="103">
      <c r="A103" s="16" t="n"/>
      <c r="B103" s="16" t="n"/>
      <c r="C103" s="16" t="n"/>
      <c r="D103" s="16" t="n"/>
      <c r="E103" s="16" t="n"/>
      <c r="F103" s="16" t="n"/>
      <c r="G103" s="16" t="n"/>
      <c r="H103" s="16" t="n"/>
      <c r="I103" s="16" t="n"/>
      <c r="J103" s="12" t="inlineStr">
        <is>
          <t>ESTIMATED TOTAL DUTIES</t>
        </is>
      </c>
      <c r="K103" s="16" t="n"/>
      <c r="L103" s="16" t="n"/>
      <c r="M103" s="16" t="n"/>
      <c r="N103" s="16" t="n"/>
      <c r="O103" s="16" t="n"/>
      <c r="P103" s="17" t="n">
        <v>0.02</v>
      </c>
      <c r="Q103" s="16" t="n"/>
      <c r="R103" s="16" t="n"/>
      <c r="S103" s="16" t="n"/>
      <c r="T103" s="16" t="n"/>
      <c r="U103" s="16" t="n"/>
      <c r="V103" s="16" t="n"/>
      <c r="W103" s="16" t="n"/>
      <c r="X103" s="16" t="n"/>
      <c r="Y103" s="16" t="n"/>
      <c r="Z103" s="16" t="n"/>
      <c r="AA103" s="16" t="n"/>
      <c r="AB103" s="16" t="n"/>
      <c r="AC103" s="16" t="n"/>
      <c r="AD103" s="16" t="n"/>
      <c r="AE103" s="16" t="n"/>
      <c r="AF103" s="16" t="n"/>
      <c r="AG103" s="16" t="n"/>
      <c r="AH103" s="16" t="n"/>
      <c r="AI103" s="16" t="n"/>
      <c r="AJ103" s="16" t="n"/>
      <c r="AK103" s="16" t="n"/>
    </row>
    <row r="104">
      <c r="A104" s="13" t="n"/>
      <c r="B104" s="13" t="n"/>
      <c r="C104" s="13" t="n"/>
      <c r="D104" s="13" t="n"/>
      <c r="E104" s="13" t="n"/>
      <c r="F104" s="13" t="n"/>
      <c r="G104" s="13" t="n"/>
      <c r="H104" s="13" t="n"/>
      <c r="I104" s="13" t="n"/>
      <c r="J104" s="14" t="inlineStr">
        <is>
          <t>Effective Duty Rate</t>
        </is>
      </c>
      <c r="K104" s="13" t="n"/>
      <c r="L104" s="13" t="n"/>
      <c r="M104" s="13" t="n"/>
      <c r="N104" s="13" t="n"/>
      <c r="O104" s="13" t="n"/>
      <c r="P104" s="18" t="n">
        <v>0.6666666666666667</v>
      </c>
      <c r="Q104" s="13" t="n"/>
      <c r="R104" s="13" t="n"/>
      <c r="S104" s="13" t="n"/>
      <c r="T104" s="13" t="n"/>
      <c r="U104" s="13" t="n"/>
      <c r="V104" s="13" t="n"/>
      <c r="W104" s="13" t="n"/>
      <c r="X104" s="13" t="n"/>
      <c r="Y104" s="13" t="n"/>
      <c r="Z104" s="13" t="n"/>
      <c r="AA104" s="13" t="n"/>
      <c r="AB104" s="13" t="n"/>
      <c r="AC104" s="13" t="n"/>
      <c r="AD104" s="13" t="n"/>
      <c r="AE104" s="13" t="n"/>
      <c r="AF104" s="13" t="n"/>
      <c r="AG104" s="13" t="n"/>
      <c r="AH104" s="13" t="n"/>
      <c r="AI104" s="13" t="n"/>
      <c r="AJ104" s="13" t="n"/>
      <c r="AK104" s="13" t="n"/>
    </row>
    <row r="105">
      <c r="A105" s="19" t="n"/>
      <c r="B105" s="19" t="n"/>
      <c r="C105" s="19" t="n"/>
      <c r="D105" s="19" t="n"/>
      <c r="E105" s="19" t="n"/>
      <c r="F105" s="19" t="n"/>
      <c r="G105" s="19" t="n"/>
      <c r="H105" s="19" t="n"/>
      <c r="I105" s="19" t="n"/>
      <c r="J105" s="19" t="n"/>
      <c r="K105" s="19" t="n"/>
      <c r="L105" s="19" t="n"/>
      <c r="M105" s="19" t="n"/>
      <c r="N105" s="19" t="n"/>
      <c r="O105" s="19" t="n"/>
      <c r="P105" s="19" t="n"/>
      <c r="Q105" s="19" t="n"/>
      <c r="R105" s="19" t="n"/>
      <c r="S105" s="19" t="n"/>
      <c r="T105" s="19" t="n"/>
      <c r="U105" s="19" t="n"/>
      <c r="V105" s="19" t="n"/>
      <c r="W105" s="19" t="n"/>
      <c r="X105" s="19" t="n"/>
      <c r="Y105" s="19" t="n"/>
      <c r="Z105" s="19" t="n"/>
      <c r="AA105" s="19" t="n"/>
      <c r="AB105" s="19" t="n"/>
      <c r="AC105" s="19" t="n"/>
      <c r="AD105" s="19" t="n"/>
      <c r="AE105" s="19" t="n"/>
      <c r="AF105" s="19" t="n"/>
      <c r="AG105" s="19" t="n"/>
      <c r="AH105" s="19" t="n"/>
      <c r="AI105" s="19" t="n"/>
      <c r="AJ105" s="19" t="n"/>
      <c r="AK105" s="19" t="n"/>
    </row>
    <row r="106">
      <c r="A106" s="2" t="inlineStr">
        <is>
          <t>4000-000</t>
        </is>
      </c>
      <c r="B106" s="2" t="n"/>
      <c r="C106" s="2" t="inlineStr">
        <is>
          <t>SELLER</t>
        </is>
      </c>
      <c r="D106" s="2" t="n"/>
      <c r="E106" s="2" t="inlineStr">
        <is>
          <t>Miscellaneous</t>
        </is>
      </c>
      <c r="F106" s="2" t="inlineStr">
        <is>
          <t>62052000</t>
        </is>
      </c>
      <c r="G106" s="2" t="n"/>
      <c r="H106" s="2" t="n"/>
      <c r="I106" s="2" t="inlineStr">
        <is>
          <t>99999999</t>
        </is>
      </c>
      <c r="J106" s="2" t="inlineStr">
        <is>
          <t>SHEIN US Services, LLC Purchase (1 items)</t>
        </is>
      </c>
      <c r="K106" s="2" t="n">
        <v>1</v>
      </c>
      <c r="L106" s="2" t="n"/>
      <c r="M106" s="2" t="n"/>
      <c r="N106" s="2" t="inlineStr">
        <is>
          <t>USD</t>
        </is>
      </c>
      <c r="O106" s="3" t="n">
        <v>0.01</v>
      </c>
      <c r="P106" s="3" t="n">
        <v>0.01</v>
      </c>
      <c r="Q106" s="3">
        <f>O106*K106</f>
        <v/>
      </c>
      <c r="R106" s="3">
        <f>P106-Q106</f>
        <v/>
      </c>
      <c r="S106" s="3" t="n">
        <v>0.01</v>
      </c>
      <c r="T106" s="3" t="n">
        <v>0</v>
      </c>
      <c r="U106" s="3" t="n">
        <v>0</v>
      </c>
      <c r="V106" s="3" t="n">
        <v>0</v>
      </c>
      <c r="W106" s="3" t="n">
        <v>0</v>
      </c>
      <c r="X106" s="2" t="n"/>
      <c r="Y106" s="2" t="n"/>
      <c r="Z106" s="2" t="inlineStr">
        <is>
          <t>SHEIN</t>
        </is>
      </c>
      <c r="AA106" s="2" t="inlineStr">
        <is>
          <t>SHEIN US Services, LLC</t>
        </is>
      </c>
      <c r="AB106" s="2" t="inlineStr">
        <is>
          <t>777 S. Alameda St., Second Floor, Los Angeles, CA 90021</t>
        </is>
      </c>
      <c r="AC106" s="2" t="inlineStr">
        <is>
          <t>US</t>
        </is>
      </c>
      <c r="AD106" s="2" t="n"/>
      <c r="AE106" s="2" t="n"/>
      <c r="AF106" s="2" t="n"/>
      <c r="AG106" s="2" t="n"/>
      <c r="AH106" s="2" t="n"/>
      <c r="AI106" s="2" t="n"/>
      <c r="AJ106" s="2" t="n"/>
      <c r="AK106" s="2" t="inlineStr">
        <is>
          <t>62052000</t>
        </is>
      </c>
    </row>
    <row r="107">
      <c r="A107" s="4" t="n"/>
      <c r="B107" s="4" t="n"/>
      <c r="C107" s="4" t="n"/>
      <c r="D107" s="4" t="n"/>
      <c r="E107" s="4" t="n"/>
      <c r="F107" s="4" t="inlineStr">
        <is>
          <t>62052000</t>
        </is>
      </c>
      <c r="G107" s="4" t="n"/>
      <c r="H107" s="4" t="n"/>
      <c r="I107" s="4" t="inlineStr">
        <is>
          <t>SHE-1</t>
        </is>
      </c>
      <c r="J107" s="4" t="inlineStr">
        <is>
          <t>SHEIN US Services, LLC Purchase</t>
        </is>
      </c>
      <c r="K107" s="4" t="n">
        <v>1</v>
      </c>
      <c r="L107" s="4" t="n"/>
      <c r="M107" s="4" t="n"/>
      <c r="N107" s="4" t="inlineStr">
        <is>
          <t>USD</t>
        </is>
      </c>
      <c r="O107" s="5" t="n">
        <v>0.01</v>
      </c>
      <c r="P107" s="5" t="n">
        <v>0.01</v>
      </c>
      <c r="Q107" s="5">
        <f>O107*K107</f>
        <v/>
      </c>
      <c r="R107" s="5">
        <f>P107-Q107</f>
        <v/>
      </c>
      <c r="S107" s="4" t="n"/>
      <c r="T107" s="4" t="n"/>
      <c r="U107" s="4" t="n"/>
      <c r="V107" s="4" t="n"/>
      <c r="W107" s="4" t="n"/>
      <c r="X107" s="4" t="n"/>
      <c r="Y107" s="4" t="n"/>
      <c r="Z107" s="4" t="n"/>
      <c r="AA107" s="4" t="n"/>
      <c r="AB107" s="4" t="n"/>
      <c r="AC107" s="4" t="n"/>
      <c r="AD107" s="4" t="n"/>
      <c r="AE107" s="4" t="n"/>
      <c r="AF107" s="4" t="n"/>
      <c r="AG107" s="4" t="n"/>
      <c r="AH107" s="4" t="n"/>
      <c r="AI107" s="4" t="n"/>
      <c r="AJ107" s="4" t="n"/>
      <c r="AK107" s="4" t="inlineStr">
        <is>
          <t>62052000</t>
        </is>
      </c>
    </row>
    <row r="108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inlineStr">
        <is>
          <t>SUBTOTAL (GROUPED)</t>
        </is>
      </c>
      <c r="K108" s="6" t="n"/>
      <c r="L108" s="6" t="n"/>
      <c r="M108" s="6" t="n"/>
      <c r="N108" s="6" t="n"/>
      <c r="O108" s="6" t="n"/>
      <c r="P108" s="7">
        <f>P106</f>
        <v/>
      </c>
      <c r="Q108" s="7">
        <f>Q106</f>
        <v/>
      </c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  <c r="AB108" s="6" t="n"/>
      <c r="AC108" s="6" t="n"/>
      <c r="AD108" s="6" t="n"/>
      <c r="AE108" s="6" t="n"/>
      <c r="AF108" s="6" t="n"/>
      <c r="AG108" s="6" t="n"/>
      <c r="AH108" s="6" t="n"/>
      <c r="AI108" s="6" t="n"/>
      <c r="AJ108" s="6" t="n"/>
      <c r="AK108" s="6" t="n"/>
    </row>
    <row r="109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inlineStr">
        <is>
          <t>SUBTOTAL (DETAILS)</t>
        </is>
      </c>
      <c r="K109" s="6" t="n"/>
      <c r="L109" s="6" t="n"/>
      <c r="M109" s="6" t="n"/>
      <c r="N109" s="6" t="n"/>
      <c r="O109" s="6" t="n"/>
      <c r="P109" s="7">
        <f>SUM(P106:P107)-P108</f>
        <v/>
      </c>
      <c r="Q109" s="7">
        <f>SUM(Q106:Q107)-Q108</f>
        <v/>
      </c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  <c r="AB109" s="6" t="n"/>
      <c r="AC109" s="6" t="n"/>
      <c r="AD109" s="6" t="n"/>
      <c r="AE109" s="6" t="n"/>
      <c r="AF109" s="6" t="n"/>
      <c r="AG109" s="6" t="n"/>
      <c r="AH109" s="6" t="n"/>
      <c r="AI109" s="6" t="n"/>
      <c r="AJ109" s="6" t="n"/>
      <c r="AK109" s="6" t="n"/>
    </row>
    <row r="110">
      <c r="A110" s="8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inlineStr">
        <is>
          <t>GROUP VERIFICATION</t>
        </is>
      </c>
      <c r="K110" s="8" t="n"/>
      <c r="L110" s="8" t="n"/>
      <c r="M110" s="8" t="n"/>
      <c r="N110" s="8" t="n"/>
      <c r="O110" s="8" t="n"/>
      <c r="P110" s="9">
        <f>P108-P109</f>
        <v/>
      </c>
      <c r="Q110" s="9">
        <f>Q108-Q109</f>
        <v/>
      </c>
      <c r="R110" s="8" t="n"/>
      <c r="S110" s="8" t="n"/>
      <c r="T110" s="8" t="n"/>
      <c r="U110" s="8" t="n"/>
      <c r="V110" s="8" t="n"/>
      <c r="W110" s="8" t="n"/>
      <c r="X110" s="8" t="n"/>
      <c r="Y110" s="8" t="n"/>
      <c r="Z110" s="8" t="n"/>
      <c r="AA110" s="8" t="n"/>
      <c r="AB110" s="8" t="n"/>
      <c r="AC110" s="8" t="n"/>
      <c r="AD110" s="8" t="n"/>
      <c r="AE110" s="8" t="n"/>
      <c r="AF110" s="8" t="n"/>
      <c r="AG110" s="8" t="n"/>
      <c r="AH110" s="8" t="n"/>
      <c r="AI110" s="8" t="n"/>
      <c r="AJ110" s="8" t="n"/>
      <c r="AK110" s="8" t="n"/>
    </row>
    <row r="111"/>
    <row r="112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inlineStr">
        <is>
          <t>TOTAL INTERNAL FREIGHT</t>
        </is>
      </c>
      <c r="K112" s="6" t="n"/>
      <c r="L112" s="6" t="n"/>
      <c r="M112" s="6" t="n"/>
      <c r="N112" s="6" t="n"/>
      <c r="O112" s="6" t="n"/>
      <c r="P112" s="7" t="n">
        <v>0</v>
      </c>
      <c r="Q112" s="7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  <c r="AB112" s="6" t="n"/>
      <c r="AC112" s="6" t="n"/>
      <c r="AD112" s="6" t="n"/>
      <c r="AE112" s="6" t="n"/>
      <c r="AF112" s="6" t="n"/>
      <c r="AG112" s="6" t="n"/>
      <c r="AH112" s="6" t="n"/>
      <c r="AI112" s="6" t="n"/>
      <c r="AJ112" s="6" t="n"/>
      <c r="AK112" s="6" t="n"/>
    </row>
    <row r="113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inlineStr">
        <is>
          <t>TOTAL INSURANCE</t>
        </is>
      </c>
      <c r="K113" s="6" t="n"/>
      <c r="L113" s="6" t="n"/>
      <c r="M113" s="6" t="n"/>
      <c r="N113" s="6" t="n"/>
      <c r="O113" s="6" t="n"/>
      <c r="P113" s="7" t="n">
        <v>0</v>
      </c>
      <c r="Q113" s="7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  <c r="AB113" s="6" t="n"/>
      <c r="AC113" s="6" t="n"/>
      <c r="AD113" s="6" t="n"/>
      <c r="AE113" s="6" t="n"/>
      <c r="AF113" s="6" t="n"/>
      <c r="AG113" s="6" t="n"/>
      <c r="AH113" s="6" t="n"/>
      <c r="AI113" s="6" t="n"/>
      <c r="AJ113" s="6" t="n"/>
      <c r="AK113" s="6" t="n"/>
    </row>
    <row r="114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inlineStr">
        <is>
          <t>TOTAL OTHER COST</t>
        </is>
      </c>
      <c r="K114" s="6" t="n"/>
      <c r="L114" s="6" t="n"/>
      <c r="M114" s="6" t="n"/>
      <c r="N114" s="6" t="n"/>
      <c r="O114" s="6" t="n"/>
      <c r="P114" s="7" t="n">
        <v>0</v>
      </c>
      <c r="Q114" s="7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  <c r="AB114" s="6" t="n"/>
      <c r="AC114" s="6" t="n"/>
      <c r="AD114" s="6" t="n"/>
      <c r="AE114" s="6" t="n"/>
      <c r="AF114" s="6" t="n"/>
      <c r="AG114" s="6" t="n"/>
      <c r="AH114" s="6" t="n"/>
      <c r="AI114" s="6" t="n"/>
      <c r="AJ114" s="6" t="n"/>
      <c r="AK114" s="6" t="n"/>
    </row>
    <row r="115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inlineStr">
        <is>
          <t>TOTAL DEDUCTION</t>
        </is>
      </c>
      <c r="K115" s="6" t="n"/>
      <c r="L115" s="6" t="n"/>
      <c r="M115" s="6" t="n"/>
      <c r="N115" s="6" t="n"/>
      <c r="O115" s="6" t="n"/>
      <c r="P115" s="7" t="n">
        <v>0</v>
      </c>
      <c r="Q115" s="7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  <c r="AB115" s="6" t="n"/>
      <c r="AC115" s="6" t="n"/>
      <c r="AD115" s="6" t="n"/>
      <c r="AE115" s="6" t="n"/>
      <c r="AF115" s="6" t="n"/>
      <c r="AG115" s="6" t="n"/>
      <c r="AH115" s="6" t="n"/>
      <c r="AI115" s="6" t="n"/>
      <c r="AJ115" s="6" t="n"/>
      <c r="AK115" s="6" t="n"/>
    </row>
    <row r="116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inlineStr">
        <is>
          <t>ADJUSTMENTS</t>
        </is>
      </c>
      <c r="K116" s="6" t="n"/>
      <c r="L116" s="6" t="n"/>
      <c r="M116" s="6" t="n"/>
      <c r="N116" s="6" t="n"/>
      <c r="O116" s="6" t="n"/>
      <c r="P116" s="7">
        <f>(T106+U106+V106-W106)</f>
        <v/>
      </c>
      <c r="Q116" s="7">
        <f>(T106+U106+V106-W106)</f>
        <v/>
      </c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  <c r="AB116" s="6" t="n"/>
      <c r="AC116" s="6" t="n"/>
      <c r="AD116" s="6" t="n"/>
      <c r="AE116" s="6" t="n"/>
      <c r="AF116" s="6" t="n"/>
      <c r="AG116" s="6" t="n"/>
      <c r="AH116" s="6" t="n"/>
      <c r="AI116" s="6" t="n"/>
      <c r="AJ116" s="6" t="n"/>
      <c r="AK116" s="6" t="n"/>
    </row>
    <row r="117"/>
    <row r="118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inlineStr">
        <is>
          <t>NET TOTAL</t>
        </is>
      </c>
      <c r="K118" s="6" t="n"/>
      <c r="L118" s="6" t="n"/>
      <c r="M118" s="6" t="n"/>
      <c r="N118" s="6" t="n"/>
      <c r="O118" s="6" t="n"/>
      <c r="P118" s="7">
        <f>P108+P116</f>
        <v/>
      </c>
      <c r="Q118" s="7">
        <f>Q108+Q116</f>
        <v/>
      </c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  <c r="AB118" s="6" t="n"/>
      <c r="AC118" s="6" t="n"/>
      <c r="AD118" s="6" t="n"/>
      <c r="AE118" s="6" t="n"/>
      <c r="AF118" s="6" t="n"/>
      <c r="AG118" s="6" t="n"/>
      <c r="AH118" s="6" t="n"/>
      <c r="AI118" s="6" t="n"/>
      <c r="AJ118" s="6" t="n"/>
      <c r="AK118" s="6" t="n"/>
    </row>
    <row r="119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inlineStr">
        <is>
          <t>INVOICE TOTAL</t>
        </is>
      </c>
      <c r="K119" s="6" t="n"/>
      <c r="L119" s="6" t="n"/>
      <c r="M119" s="6" t="n"/>
      <c r="N119" s="6" t="n"/>
      <c r="O119" s="6" t="n"/>
      <c r="P119" s="7">
        <f>S106</f>
        <v/>
      </c>
      <c r="Q119" s="7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  <c r="AB119" s="6" t="n"/>
      <c r="AC119" s="6" t="n"/>
      <c r="AD119" s="6" t="n"/>
      <c r="AE119" s="6" t="n"/>
      <c r="AF119" s="6" t="n"/>
      <c r="AG119" s="6" t="n"/>
      <c r="AH119" s="6" t="n"/>
      <c r="AI119" s="6" t="n"/>
      <c r="AJ119" s="6" t="n"/>
      <c r="AK119" s="6" t="n"/>
    </row>
    <row r="120"/>
    <row r="121">
      <c r="A121" s="10" t="n"/>
      <c r="B121" s="10" t="n"/>
      <c r="C121" s="10" t="n"/>
      <c r="D121" s="10" t="n"/>
      <c r="E121" s="10" t="n"/>
      <c r="F121" s="10" t="n"/>
      <c r="G121" s="10" t="n"/>
      <c r="H121" s="10" t="n"/>
      <c r="I121" s="10" t="n"/>
      <c r="J121" s="10" t="inlineStr">
        <is>
          <t>VARIANCE CHECK</t>
        </is>
      </c>
      <c r="K121" s="10" t="n"/>
      <c r="L121" s="10" t="n"/>
      <c r="M121" s="10" t="n"/>
      <c r="N121" s="10" t="n"/>
      <c r="O121" s="10" t="n"/>
      <c r="P121" s="11">
        <f>S106-P118</f>
        <v/>
      </c>
      <c r="Q121" s="11">
        <f>S106-Q118</f>
        <v/>
      </c>
      <c r="R121" s="10" t="n"/>
      <c r="S121" s="10" t="n"/>
      <c r="T121" s="10" t="n"/>
      <c r="U121" s="10" t="n"/>
      <c r="V121" s="10" t="n"/>
      <c r="W121" s="10" t="n"/>
      <c r="X121" s="10" t="n"/>
      <c r="Y121" s="10" t="n"/>
      <c r="Z121" s="10" t="n"/>
      <c r="AA121" s="10" t="n"/>
      <c r="AB121" s="10" t="n"/>
      <c r="AC121" s="10" t="n"/>
      <c r="AD121" s="10" t="n"/>
      <c r="AE121" s="10" t="n"/>
      <c r="AF121" s="10" t="n"/>
      <c r="AG121" s="10" t="n"/>
      <c r="AH121" s="10" t="n"/>
      <c r="AI121" s="10" t="n"/>
      <c r="AJ121" s="10" t="n"/>
      <c r="AK121" s="10" t="n"/>
    </row>
    <row r="122"/>
    <row r="123">
      <c r="A123" s="12" t="n"/>
      <c r="B123" s="12" t="n"/>
      <c r="C123" s="12" t="n"/>
      <c r="D123" s="12" t="n"/>
      <c r="E123" s="12" t="n"/>
      <c r="F123" s="12" t="n"/>
      <c r="G123" s="12" t="n"/>
      <c r="H123" s="12" t="n"/>
      <c r="I123" s="12" t="n"/>
      <c r="J123" s="12" t="inlineStr">
        <is>
          <t>DUTY ESTIMATION (Classification Cross-Check)</t>
        </is>
      </c>
      <c r="K123" s="12" t="n"/>
      <c r="L123" s="12" t="n"/>
      <c r="M123" s="12" t="n"/>
      <c r="N123" s="12" t="n"/>
      <c r="O123" s="12" t="n"/>
      <c r="P123" s="12" t="n"/>
      <c r="Q123" s="12" t="n"/>
      <c r="R123" s="12" t="n"/>
      <c r="S123" s="12" t="n"/>
      <c r="T123" s="12" t="n"/>
      <c r="U123" s="12" t="n"/>
      <c r="V123" s="12" t="n"/>
      <c r="W123" s="12" t="n"/>
      <c r="X123" s="12" t="n"/>
      <c r="Y123" s="12" t="n"/>
      <c r="Z123" s="12" t="n"/>
      <c r="AA123" s="12" t="n"/>
      <c r="AB123" s="12" t="n"/>
      <c r="AC123" s="12" t="n"/>
      <c r="AD123" s="12" t="n"/>
      <c r="AE123" s="12" t="n"/>
      <c r="AF123" s="12" t="n"/>
      <c r="AG123" s="12" t="n"/>
      <c r="AH123" s="12" t="n"/>
      <c r="AI123" s="12" t="n"/>
      <c r="AJ123" s="12" t="n"/>
      <c r="AK123" s="12" t="n"/>
    </row>
    <row r="124">
      <c r="A124" s="13" t="n"/>
      <c r="B124" s="13" t="n"/>
      <c r="C124" s="13" t="n"/>
      <c r="D124" s="13" t="n"/>
      <c r="E124" s="13" t="n"/>
      <c r="F124" s="13" t="n"/>
      <c r="G124" s="13" t="n"/>
      <c r="H124" s="13" t="n"/>
      <c r="I124" s="13" t="n"/>
      <c r="J124" s="14" t="inlineStr">
        <is>
          <t>CIF (USD) = InvTotal + Freight + Insurance</t>
        </is>
      </c>
      <c r="K124" s="13" t="n"/>
      <c r="L124" s="13" t="n"/>
      <c r="M124" s="13" t="n"/>
      <c r="N124" s="13" t="n"/>
      <c r="O124" s="13" t="n"/>
      <c r="P124" s="15" t="n">
        <v>0.01</v>
      </c>
      <c r="Q124" s="13" t="n"/>
      <c r="R124" s="13" t="n"/>
      <c r="S124" s="13" t="n"/>
      <c r="T124" s="13" t="n"/>
      <c r="U124" s="13" t="n"/>
      <c r="V124" s="13" t="n"/>
      <c r="W124" s="13" t="n"/>
      <c r="X124" s="13" t="n"/>
      <c r="Y124" s="13" t="n"/>
      <c r="Z124" s="13" t="n"/>
      <c r="AA124" s="13" t="n"/>
      <c r="AB124" s="13" t="n"/>
      <c r="AC124" s="13" t="n"/>
      <c r="AD124" s="13" t="n"/>
      <c r="AE124" s="13" t="n"/>
      <c r="AF124" s="13" t="n"/>
      <c r="AG124" s="13" t="n"/>
      <c r="AH124" s="13" t="n"/>
      <c r="AI124" s="13" t="n"/>
      <c r="AJ124" s="13" t="n"/>
      <c r="AK124" s="13" t="n"/>
    </row>
    <row r="125">
      <c r="A125" s="13" t="n"/>
      <c r="B125" s="13" t="n"/>
      <c r="C125" s="13" t="n"/>
      <c r="D125" s="13" t="n"/>
      <c r="E125" s="13" t="n"/>
      <c r="F125" s="13" t="n"/>
      <c r="G125" s="13" t="n"/>
      <c r="H125" s="13" t="n"/>
      <c r="I125" s="13" t="n"/>
      <c r="J125" s="14" t="inlineStr">
        <is>
          <t>CIF (XCD) = CIF × 2.7169</t>
        </is>
      </c>
      <c r="K125" s="13" t="n"/>
      <c r="L125" s="13" t="n"/>
      <c r="M125" s="13" t="n"/>
      <c r="N125" s="13" t="n"/>
      <c r="O125" s="13" t="n"/>
      <c r="P125" s="15" t="n">
        <v>0.03</v>
      </c>
      <c r="Q125" s="13" t="n"/>
      <c r="R125" s="13" t="n"/>
      <c r="S125" s="13" t="n"/>
      <c r="T125" s="13" t="n"/>
      <c r="U125" s="13" t="n"/>
      <c r="V125" s="13" t="n"/>
      <c r="W125" s="13" t="n"/>
      <c r="X125" s="13" t="n"/>
      <c r="Y125" s="13" t="n"/>
      <c r="Z125" s="13" t="n"/>
      <c r="AA125" s="13" t="n"/>
      <c r="AB125" s="13" t="n"/>
      <c r="AC125" s="13" t="n"/>
      <c r="AD125" s="13" t="n"/>
      <c r="AE125" s="13" t="n"/>
      <c r="AF125" s="13" t="n"/>
      <c r="AG125" s="13" t="n"/>
      <c r="AH125" s="13" t="n"/>
      <c r="AI125" s="13" t="n"/>
      <c r="AJ125" s="13" t="n"/>
      <c r="AK125" s="13" t="n"/>
    </row>
    <row r="126">
      <c r="A126" s="13" t="n"/>
      <c r="B126" s="13" t="n"/>
      <c r="C126" s="13" t="n"/>
      <c r="D126" s="13" t="n"/>
      <c r="E126" s="13" t="n"/>
      <c r="F126" s="13" t="n"/>
      <c r="G126" s="13" t="n"/>
      <c r="H126" s="13" t="n"/>
      <c r="I126" s="13" t="n"/>
      <c r="J126" s="14" t="inlineStr">
        <is>
          <t>CET (20%) — Tariff 99999999</t>
        </is>
      </c>
      <c r="K126" s="13" t="n"/>
      <c r="L126" s="13" t="n"/>
      <c r="M126" s="13" t="n"/>
      <c r="N126" s="13" t="n"/>
      <c r="O126" s="13" t="n"/>
      <c r="P126" s="15" t="n">
        <v>0.01</v>
      </c>
      <c r="Q126" s="13" t="n"/>
      <c r="R126" s="13" t="n"/>
      <c r="S126" s="13" t="n"/>
      <c r="T126" s="13" t="n"/>
      <c r="U126" s="13" t="n"/>
      <c r="V126" s="13" t="n"/>
      <c r="W126" s="13" t="n"/>
      <c r="X126" s="13" t="n"/>
      <c r="Y126" s="13" t="n"/>
      <c r="Z126" s="13" t="n"/>
      <c r="AA126" s="13" t="n"/>
      <c r="AB126" s="13" t="n"/>
      <c r="AC126" s="13" t="n"/>
      <c r="AD126" s="13" t="n"/>
      <c r="AE126" s="13" t="n"/>
      <c r="AF126" s="13" t="n"/>
      <c r="AG126" s="13" t="n"/>
      <c r="AH126" s="13" t="n"/>
      <c r="AI126" s="13" t="n"/>
      <c r="AJ126" s="13" t="n"/>
      <c r="AK126" s="13" t="n"/>
    </row>
    <row r="127">
      <c r="A127" s="13" t="n"/>
      <c r="B127" s="13" t="n"/>
      <c r="C127" s="13" t="n"/>
      <c r="D127" s="13" t="n"/>
      <c r="E127" s="13" t="n"/>
      <c r="F127" s="13" t="n"/>
      <c r="G127" s="13" t="n"/>
      <c r="H127" s="13" t="n"/>
      <c r="I127" s="13" t="n"/>
      <c r="J127" s="14" t="inlineStr">
        <is>
          <t>CSC (6%)</t>
        </is>
      </c>
      <c r="K127" s="13" t="n"/>
      <c r="L127" s="13" t="n"/>
      <c r="M127" s="13" t="n"/>
      <c r="N127" s="13" t="n"/>
      <c r="O127" s="13" t="n"/>
      <c r="P127" s="15" t="n">
        <v>0</v>
      </c>
      <c r="Q127" s="13" t="n"/>
      <c r="R127" s="13" t="n"/>
      <c r="S127" s="13" t="n"/>
      <c r="T127" s="13" t="n"/>
      <c r="U127" s="13" t="n"/>
      <c r="V127" s="13" t="n"/>
      <c r="W127" s="13" t="n"/>
      <c r="X127" s="13" t="n"/>
      <c r="Y127" s="13" t="n"/>
      <c r="Z127" s="13" t="n"/>
      <c r="AA127" s="13" t="n"/>
      <c r="AB127" s="13" t="n"/>
      <c r="AC127" s="13" t="n"/>
      <c r="AD127" s="13" t="n"/>
      <c r="AE127" s="13" t="n"/>
      <c r="AF127" s="13" t="n"/>
      <c r="AG127" s="13" t="n"/>
      <c r="AH127" s="13" t="n"/>
      <c r="AI127" s="13" t="n"/>
      <c r="AJ127" s="13" t="n"/>
      <c r="AK127" s="13" t="n"/>
    </row>
    <row r="128">
      <c r="A128" s="13" t="n"/>
      <c r="B128" s="13" t="n"/>
      <c r="C128" s="13" t="n"/>
      <c r="D128" s="13" t="n"/>
      <c r="E128" s="13" t="n"/>
      <c r="F128" s="13" t="n"/>
      <c r="G128" s="13" t="n"/>
      <c r="H128" s="13" t="n"/>
      <c r="I128" s="13" t="n"/>
      <c r="J128" s="14" t="inlineStr">
        <is>
          <t>VAT (15%) on CIF+CET+CSC</t>
        </is>
      </c>
      <c r="K128" s="13" t="n"/>
      <c r="L128" s="13" t="n"/>
      <c r="M128" s="13" t="n"/>
      <c r="N128" s="13" t="n"/>
      <c r="O128" s="13" t="n"/>
      <c r="P128" s="15" t="n">
        <v>0.01</v>
      </c>
      <c r="Q128" s="13" t="n"/>
      <c r="R128" s="13" t="n"/>
      <c r="S128" s="13" t="n"/>
      <c r="T128" s="13" t="n"/>
      <c r="U128" s="13" t="n"/>
      <c r="V128" s="13" t="n"/>
      <c r="W128" s="13" t="n"/>
      <c r="X128" s="13" t="n"/>
      <c r="Y128" s="13" t="n"/>
      <c r="Z128" s="13" t="n"/>
      <c r="AA128" s="13" t="n"/>
      <c r="AB128" s="13" t="n"/>
      <c r="AC128" s="13" t="n"/>
      <c r="AD128" s="13" t="n"/>
      <c r="AE128" s="13" t="n"/>
      <c r="AF128" s="13" t="n"/>
      <c r="AG128" s="13" t="n"/>
      <c r="AH128" s="13" t="n"/>
      <c r="AI128" s="13" t="n"/>
      <c r="AJ128" s="13" t="n"/>
      <c r="AK128" s="13" t="n"/>
    </row>
    <row r="129">
      <c r="A129" s="16" t="n"/>
      <c r="B129" s="16" t="n"/>
      <c r="C129" s="16" t="n"/>
      <c r="D129" s="16" t="n"/>
      <c r="E129" s="16" t="n"/>
      <c r="F129" s="16" t="n"/>
      <c r="G129" s="16" t="n"/>
      <c r="H129" s="16" t="n"/>
      <c r="I129" s="16" t="n"/>
      <c r="J129" s="12" t="inlineStr">
        <is>
          <t>ESTIMATED TOTAL DUTIES</t>
        </is>
      </c>
      <c r="K129" s="16" t="n"/>
      <c r="L129" s="16" t="n"/>
      <c r="M129" s="16" t="n"/>
      <c r="N129" s="16" t="n"/>
      <c r="O129" s="16" t="n"/>
      <c r="P129" s="17" t="n">
        <v>0.02</v>
      </c>
      <c r="Q129" s="16" t="n"/>
      <c r="R129" s="16" t="n"/>
      <c r="S129" s="16" t="n"/>
      <c r="T129" s="16" t="n"/>
      <c r="U129" s="16" t="n"/>
      <c r="V129" s="16" t="n"/>
      <c r="W129" s="16" t="n"/>
      <c r="X129" s="16" t="n"/>
      <c r="Y129" s="16" t="n"/>
      <c r="Z129" s="16" t="n"/>
      <c r="AA129" s="16" t="n"/>
      <c r="AB129" s="16" t="n"/>
      <c r="AC129" s="16" t="n"/>
      <c r="AD129" s="16" t="n"/>
      <c r="AE129" s="16" t="n"/>
      <c r="AF129" s="16" t="n"/>
      <c r="AG129" s="16" t="n"/>
      <c r="AH129" s="16" t="n"/>
      <c r="AI129" s="16" t="n"/>
      <c r="AJ129" s="16" t="n"/>
      <c r="AK129" s="16" t="n"/>
    </row>
    <row r="130">
      <c r="A130" s="13" t="n"/>
      <c r="B130" s="13" t="n"/>
      <c r="C130" s="13" t="n"/>
      <c r="D130" s="13" t="n"/>
      <c r="E130" s="13" t="n"/>
      <c r="F130" s="13" t="n"/>
      <c r="G130" s="13" t="n"/>
      <c r="H130" s="13" t="n"/>
      <c r="I130" s="13" t="n"/>
      <c r="J130" s="14" t="inlineStr">
        <is>
          <t>Effective Duty Rate</t>
        </is>
      </c>
      <c r="K130" s="13" t="n"/>
      <c r="L130" s="13" t="n"/>
      <c r="M130" s="13" t="n"/>
      <c r="N130" s="13" t="n"/>
      <c r="O130" s="13" t="n"/>
      <c r="P130" s="18" t="n">
        <v>0.6666666666666667</v>
      </c>
      <c r="Q130" s="13" t="n"/>
      <c r="R130" s="13" t="n"/>
      <c r="S130" s="13" t="n"/>
      <c r="T130" s="13" t="n"/>
      <c r="U130" s="13" t="n"/>
      <c r="V130" s="13" t="n"/>
      <c r="W130" s="13" t="n"/>
      <c r="X130" s="13" t="n"/>
      <c r="Y130" s="13" t="n"/>
      <c r="Z130" s="13" t="n"/>
      <c r="AA130" s="13" t="n"/>
      <c r="AB130" s="13" t="n"/>
      <c r="AC130" s="13" t="n"/>
      <c r="AD130" s="13" t="n"/>
      <c r="AE130" s="13" t="n"/>
      <c r="AF130" s="13" t="n"/>
      <c r="AG130" s="13" t="n"/>
      <c r="AH130" s="13" t="n"/>
      <c r="AI130" s="13" t="n"/>
      <c r="AJ130" s="13" t="n"/>
      <c r="AK130" s="13" t="n"/>
    </row>
    <row r="131"/>
    <row r="132">
      <c r="A132" s="20" t="n"/>
      <c r="B132" s="20" t="n"/>
      <c r="C132" s="20" t="n"/>
      <c r="D132" s="20" t="n"/>
      <c r="E132" s="20" t="n"/>
      <c r="F132" s="20" t="n"/>
      <c r="G132" s="20" t="n"/>
      <c r="H132" s="20" t="n"/>
      <c r="I132" s="20" t="n"/>
      <c r="J132" s="20" t="n"/>
      <c r="K132" s="20" t="n"/>
      <c r="L132" s="20" t="n"/>
      <c r="M132" s="20" t="n"/>
      <c r="N132" s="20" t="n"/>
      <c r="O132" s="20" t="n"/>
      <c r="P132" s="20" t="n"/>
      <c r="Q132" s="20" t="n"/>
      <c r="R132" s="20" t="n"/>
      <c r="S132" s="20" t="n"/>
      <c r="T132" s="20" t="n"/>
      <c r="U132" s="20" t="n"/>
      <c r="V132" s="20" t="n"/>
      <c r="W132" s="20" t="n"/>
      <c r="X132" s="20" t="n"/>
      <c r="Y132" s="20" t="n"/>
      <c r="Z132" s="20" t="n"/>
      <c r="AA132" s="20" t="n"/>
      <c r="AB132" s="20" t="n"/>
      <c r="AC132" s="20" t="n"/>
      <c r="AD132" s="20" t="n"/>
      <c r="AE132" s="20" t="n"/>
      <c r="AF132" s="20" t="n"/>
      <c r="AG132" s="20" t="n"/>
      <c r="AH132" s="20" t="n"/>
      <c r="AI132" s="20" t="n"/>
      <c r="AJ132" s="20" t="n"/>
      <c r="AK132" s="20" t="n"/>
    </row>
    <row r="133">
      <c r="A133" s="20" t="n"/>
      <c r="B133" s="20" t="n"/>
      <c r="C133" s="20" t="n"/>
      <c r="D133" s="20" t="n"/>
      <c r="E133" s="20" t="n"/>
      <c r="F133" s="20" t="n"/>
      <c r="G133" s="20" t="n"/>
      <c r="H133" s="20" t="n"/>
      <c r="I133" s="20" t="n"/>
      <c r="J133" s="20" t="n"/>
      <c r="K133" s="20" t="n"/>
      <c r="L133" s="21" t="inlineStr">
        <is>
          <t>═══ COMBINED GRAND SUMMARY ═══</t>
        </is>
      </c>
      <c r="M133" s="20" t="n"/>
      <c r="N133" s="20" t="n"/>
      <c r="O133" s="20" t="n"/>
      <c r="P133" s="20" t="n"/>
      <c r="Q133" s="20" t="n"/>
      <c r="R133" s="20" t="n"/>
      <c r="S133" s="20" t="n"/>
      <c r="T133" s="20" t="n"/>
      <c r="U133" s="20" t="n"/>
      <c r="V133" s="20" t="n"/>
      <c r="W133" s="20" t="n"/>
      <c r="X133" s="20" t="n"/>
      <c r="Y133" s="20" t="n"/>
      <c r="Z133" s="20" t="n"/>
      <c r="AA133" s="20" t="n"/>
      <c r="AB133" s="20" t="n"/>
      <c r="AC133" s="20" t="n"/>
      <c r="AD133" s="20" t="n"/>
      <c r="AE133" s="20" t="n"/>
      <c r="AF133" s="20" t="n"/>
      <c r="AG133" s="20" t="n"/>
      <c r="AH133" s="20" t="n"/>
      <c r="AI133" s="20" t="n"/>
      <c r="AJ133" s="20" t="n"/>
      <c r="AK133" s="20" t="n"/>
    </row>
    <row r="134">
      <c r="L134" s="22" t="inlineStr">
        <is>
          <t>Invoice SELLER</t>
        </is>
      </c>
      <c r="P134" s="23" t="n">
        <v>0.76</v>
      </c>
      <c r="Q134" s="24" t="n">
        <v>-0.75</v>
      </c>
    </row>
    <row r="135">
      <c r="L135" s="22" t="inlineStr">
        <is>
          <t>Invoice GSUNJE</t>
        </is>
      </c>
      <c r="P135" s="23" t="n">
        <v>0.76</v>
      </c>
      <c r="Q135" s="24" t="n">
        <v>-0.75</v>
      </c>
    </row>
    <row r="136">
      <c r="L136" s="22" t="inlineStr">
        <is>
          <t>Invoice SELLER</t>
        </is>
      </c>
      <c r="P136" s="23" t="n">
        <v>0.76</v>
      </c>
      <c r="Q136" s="24" t="n">
        <v>-0.75</v>
      </c>
    </row>
    <row r="137">
      <c r="L137" s="22" t="inlineStr">
        <is>
          <t>Invoice GSUNJE</t>
        </is>
      </c>
      <c r="P137" s="23" t="n">
        <v>0.76</v>
      </c>
      <c r="Q137" s="24" t="n">
        <v>-0.75</v>
      </c>
    </row>
    <row r="138">
      <c r="L138" s="22" t="inlineStr">
        <is>
          <t>Invoice SELLER</t>
        </is>
      </c>
      <c r="P138" s="23" t="n">
        <v>0.76</v>
      </c>
      <c r="Q138" s="24" t="n">
        <v>-0.75</v>
      </c>
    </row>
    <row r="139"/>
    <row r="140">
      <c r="L140" s="25" t="inlineStr">
        <is>
          <t>GRAND TOTAL</t>
        </is>
      </c>
      <c r="P140" s="26" t="n">
        <v>3.8</v>
      </c>
    </row>
    <row r="141">
      <c r="L141" s="27" t="inlineStr">
        <is>
          <t>GRAND VARIANCE CHECK</t>
        </is>
      </c>
      <c r="P141" s="24" t="n">
        <v>-3.75</v>
      </c>
    </row>
    <row r="142">
      <c r="L142" s="28" t="inlineStr">
        <is>
          <t>Combined 5 invoice files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0" customWidth="1" min="3" max="3"/>
    <col width="60" customWidth="1" min="4" max="4"/>
    <col width="100" customWidth="1" min="5" max="5"/>
  </cols>
  <sheetData>
    <row r="1">
      <c r="A1" s="29" t="inlineStr">
        <is>
          <t>PDF File</t>
        </is>
      </c>
      <c r="B1" s="29" t="inlineStr">
        <is>
          <t>Quality Score</t>
        </is>
      </c>
      <c r="C1" s="29" t="inlineStr">
        <is>
          <t>Rating</t>
        </is>
      </c>
      <c r="D1" s="29" t="inlineStr">
        <is>
          <t>Details</t>
        </is>
      </c>
      <c r="E1" s="29" t="inlineStr">
        <is>
          <t>OCR Text (first 2000 chars)</t>
        </is>
      </c>
    </row>
    <row r="2">
      <c r="A2" s="30" t="inlineStr">
        <is>
          <t>SELLER.pdf</t>
        </is>
      </c>
      <c r="B2" s="30" t="inlineStr">
        <is>
          <t>25/100</t>
        </is>
      </c>
      <c r="C2" s="31" t="inlineStr">
        <is>
          <t>POOR</t>
        </is>
      </c>
      <c r="D2" s="30" t="inlineStr">
        <is>
          <t>Text: 589 chars; Prices: 0 ($-sign), 0 (decimal); Total: $0.01 (placeholder); Invoice#: MISSING; Real items: 0/1; Structure words: 7/12</t>
        </is>
      </c>
      <c r="E2" s="32" t="inlineStr">
        <is>
          <t>SHEIN US Services , LLC .
777 S Alameda St Fl 2 , Los Angeles , CA 90021 - 1633
Sales Invoice
Bill To :
Shanice St Bernard
Invoice Detail . :
Billing Address :
10813 NW 30 TH ST BLOG 115 GRE 9315 , Miami , FLORIDA
33172
2024 - 08 - 02
Delivery Address :
10813 NW 30 TH ST BLDG 115 GRE 9315 , Miami , FLORIDA
33172
Order Information
Order Number :
Seller Information
Sold By :
United StatesCALIFORNIALos Angeles / S . Alamaeda St .
Suite 340 , Los Angeles , CA 90021
EMERY ROSE Plaid Print Colorblock Button Front Shirt
Item { s ) Subtotal :
Shipping / Handling :
Sales Tax :
Grand Total: :</t>
        </is>
      </c>
    </row>
    <row r="3">
      <c r="A3" s="30" t="inlineStr">
        <is>
          <t>GSUNJE.pdf</t>
        </is>
      </c>
      <c r="B3" s="30" t="inlineStr">
        <is>
          <t>25/100</t>
        </is>
      </c>
      <c r="C3" s="31" t="inlineStr">
        <is>
          <t>POOR</t>
        </is>
      </c>
      <c r="D3" s="30" t="inlineStr">
        <is>
          <t>Text: 686 chars; Prices: 0 ($-sign), 0 (decimal); Total: $0.01 (placeholder); Invoice#: MISSING; Real items: 0/1; Structure words: 7/12</t>
        </is>
      </c>
      <c r="E3" s="32" t="inlineStr">
        <is>
          <t>SHEIN US Services , LLC .
777 S Alameda St Fl 2 , Los Angeles , CA 90021 - 1633
Sales Invoice
Bill To :
Shanice St Bernard
Invoice No . :
Billing Address :
10813 NW 30 TH ST BLOG 115 GRE 9315 , Miami , FLORIDA
33172
Invoice Detail (
Delivery Address :
10813 NW 30 TH ST BLDG 115 GRE 9315 , Miami , FLORIDA
33172
Order Information
Order Number :
GSUNJE 61 FOONRFE 2024 -
Seller Information
Sold By :
Room 604 , 6 th Floor , Building 5 , No . 735 Jianghong Road ,
Changhe Street , Binjiang District , Hangzhou City , Zhejiang
Province , China
Y 2 k Cold Tea Colored Cat Eye Glasses For Women Clear Glasses Accessories
Item ( s ) Subtotal :
Shipping / Handling :
Sales Tax :
Grand Total: :</t>
        </is>
      </c>
    </row>
    <row r="4">
      <c r="A4" s="30" t="inlineStr">
        <is>
          <t>SELLER.pdf</t>
        </is>
      </c>
      <c r="B4" s="30" t="inlineStr">
        <is>
          <t>25/100</t>
        </is>
      </c>
      <c r="C4" s="31" t="inlineStr">
        <is>
          <t>POOR</t>
        </is>
      </c>
      <c r="D4" s="30" t="inlineStr">
        <is>
          <t>Text: 589 chars; Prices: 0 ($-sign), 0 (decimal); Total: $0.01 (placeholder); Invoice#: MISSING; Real items: 0/1; Structure words: 7/12</t>
        </is>
      </c>
      <c r="E4" s="32" t="inlineStr">
        <is>
          <t>SHEIN US Services , LLC .
777 S Alameda St Fl 2 , Los Angeles , CA 90021 - 1633
Sales Invoice
Bill To :
Shanice St Bernard
Invoice Detail . :
Billing Address :
10813 NW 30 TH ST BLOG 115 GRE 9315 , Miami , FLORIDA
33172
2024 - 08 - 02
Delivery Address :
10813 NW 30 TH ST BLDG 115 GRE 9315 , Miami , FLORIDA
33172
Order Information
Order Number :
Seller Information
Sold By :
United StatesCALIFORNIALos Angeles / S . Alamaeda St .
Suite 340 , Los Angeles , CA 90021
EMERY ROSE Plaid Print Colorblock Button Front Shirt
Item { s ) Subtotal :
Shipping / Handling :
Sales Tax :
Grand Total: :</t>
        </is>
      </c>
    </row>
    <row r="5">
      <c r="A5" s="30" t="inlineStr">
        <is>
          <t>GSUNJE.pdf</t>
        </is>
      </c>
      <c r="B5" s="30" t="inlineStr">
        <is>
          <t>25/100</t>
        </is>
      </c>
      <c r="C5" s="31" t="inlineStr">
        <is>
          <t>POOR</t>
        </is>
      </c>
      <c r="D5" s="30" t="inlineStr">
        <is>
          <t>Text: 686 chars; Prices: 0 ($-sign), 0 (decimal); Total: $0.01 (placeholder); Invoice#: MISSING; Real items: 0/1; Structure words: 7/12</t>
        </is>
      </c>
      <c r="E5" s="32" t="inlineStr">
        <is>
          <t>SHEIN US Services , LLC .
777 S Alameda St Fl 2 , Los Angeles , CA 90021 - 1633
Sales Invoice
Bill To :
Shanice St Bernard
Invoice No . :
Billing Address :
10813 NW 30 TH ST BLOG 115 GRE 9315 , Miami , FLORIDA
33172
Invoice Detail (
Delivery Address :
10813 NW 30 TH ST BLDG 115 GRE 9315 , Miami , FLORIDA
33172
Order Information
Order Number :
GSUNJE 61 FOONRFE 2024 -
Seller Information
Sold By :
Room 604 , 6 th Floor , Building 5 , No . 735 Jianghong Road ,
Changhe Street , Binjiang District , Hangzhou City , Zhejiang
Province , China
Y 2 k Cold Tea Colored Cat Eye Glasses For Women Clear Glasses Accessories
Item ( s ) Subtotal :
Shipping / Handling :
Sales Tax :
Grand Total: :</t>
        </is>
      </c>
    </row>
    <row r="6">
      <c r="A6" s="30" t="inlineStr">
        <is>
          <t>SELLER.pdf</t>
        </is>
      </c>
      <c r="B6" s="30" t="inlineStr">
        <is>
          <t>25/100</t>
        </is>
      </c>
      <c r="C6" s="31" t="inlineStr">
        <is>
          <t>POOR</t>
        </is>
      </c>
      <c r="D6" s="30" t="inlineStr">
        <is>
          <t>Text: 589 chars; Prices: 0 ($-sign), 0 (decimal); Total: $0.01 (placeholder); Invoice#: MISSING; Real items: 0/1; Structure words: 7/12</t>
        </is>
      </c>
      <c r="E6" s="32" t="inlineStr">
        <is>
          <t>SHEIN US Services , LLC .
777 S Alameda St Fl 2 , Los Angeles , CA 90021 - 1633
Sales Invoice
Bill To :
Shanice St Bernard
Invoice Detail . :
Billing Address :
10813 NW 30 TH ST BLOG 115 GRE 9315 , Miami , FLORIDA
33172
2024 - 08 - 02
Delivery Address :
10813 NW 30 TH ST BLDG 115 GRE 9315 , Miami , FLORIDA
33172
Order Information
Order Number :
Seller Information
Sold By :
United StatesCALIFORNIALos Angeles / S . Alamaeda St .
Suite 340 , Los Angeles , CA 90021
EMERY ROSE Plaid Print Colorblock Button Front Shirt
Item { s ) Subtotal :
Shipping / Handling :
Sales Tax :
Grand Total: :</t>
        </is>
      </c>
    </row>
    <row r="8">
      <c r="A8" s="33" t="inlineStr">
        <is>
          <t>WARNING: OCR text quality is too bad for some pages. Consider rescanning and resubmitting the email.</t>
        </is>
      </c>
    </row>
  </sheetData>
  <mergeCells count="1">
    <mergeCell ref="A8:E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2026-04-18T21:15:05Z</dcterms:created>
  <dcterms:modified xsi:type="dcterms:W3CDTF">2026-04-18T21:15:17Z</dcterms:modified>
</cp:coreProperties>
</file>