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Invoices" sheetId="1" state="visible" r:id="rId1"/>
    <sheet name="OCR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FFFFFF"/>
      <sz val="12"/>
    </font>
    <font>
      <b val="1"/>
    </font>
    <font>
      <b val="1"/>
      <color rgb="00FF0000"/>
    </font>
    <font>
      <i val="1"/>
      <color rgb="00666666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0E0E0"/>
        <bgColor rgb="00E0E0E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0" fillId="5" borderId="0" pivotButton="0" quotePrefix="0" xfId="0"/>
    <xf numFmtId="0" fontId="0" fillId="2" borderId="0" pivotButton="0" quotePrefix="0" xfId="0"/>
    <xf numFmtId="0" fontId="8" fillId="2" borderId="0" pivotButton="0" quotePrefix="0" xfId="0"/>
    <xf numFmtId="0" fontId="9" fillId="0" borderId="0" pivotButton="0" quotePrefix="0" xfId="0"/>
    <xf numFmtId="166" fontId="0" fillId="0" borderId="0" pivotButton="0" quotePrefix="0" xfId="0"/>
    <xf numFmtId="166" fontId="10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2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n"/>
      <c r="C2" s="2" t="inlineStr">
        <is>
          <t>113-5364495-5165021</t>
        </is>
      </c>
      <c r="D2" s="2" t="n"/>
      <c r="E2" s="2" t="inlineStr">
        <is>
          <t>ADHESIVES</t>
        </is>
      </c>
      <c r="F2" s="2" t="inlineStr">
        <is>
          <t>35061000</t>
        </is>
      </c>
      <c r="G2" s="2" t="n"/>
      <c r="H2" s="2" t="n"/>
      <c r="I2" s="2" t="inlineStr">
        <is>
          <t>35061000</t>
        </is>
      </c>
      <c r="J2" s="2" t="inlineStr">
        <is>
          <t>Atiick Wear and Go Glueless Bob Wig - Body Wave Lace Front Human Hair Wigs fo... (1 items)</t>
        </is>
      </c>
      <c r="K2" s="2" t="n">
        <v>3</v>
      </c>
      <c r="L2" s="2" t="n"/>
      <c r="M2" s="2" t="n"/>
      <c r="N2" s="2" t="inlineStr">
        <is>
          <t>USD</t>
        </is>
      </c>
      <c r="O2" s="3" t="n">
        <v>28.99</v>
      </c>
      <c r="P2" s="3" t="n">
        <v>86.97</v>
      </c>
      <c r="Q2" s="3">
        <f>O2*K2</f>
        <v/>
      </c>
      <c r="R2" s="3">
        <f>P2-Q2</f>
        <v/>
      </c>
      <c r="S2" s="3" t="n">
        <v>279.49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35061000</t>
        </is>
      </c>
    </row>
    <row r="3">
      <c r="A3" s="4" t="n"/>
      <c r="B3" s="4" t="n"/>
      <c r="C3" s="4" t="n"/>
      <c r="D3" s="4" t="n"/>
      <c r="E3" s="4" t="n"/>
      <c r="F3" s="4" t="inlineStr">
        <is>
          <t>35061000</t>
        </is>
      </c>
      <c r="G3" s="4" t="n"/>
      <c r="H3" s="4" t="n"/>
      <c r="I3" s="4" t="inlineStr">
        <is>
          <t>AMZ-1</t>
        </is>
      </c>
      <c r="J3" s="4" t="inlineStr">
        <is>
          <t>Atiick Wear and Go Glueless Bob Wig - Body Wave Lace Front Human Hair Wigs fo...</t>
        </is>
      </c>
      <c r="K3" s="4" t="n">
        <v>3</v>
      </c>
      <c r="L3" s="4" t="n"/>
      <c r="M3" s="4" t="n"/>
      <c r="N3" s="4" t="inlineStr">
        <is>
          <t>USD</t>
        </is>
      </c>
      <c r="O3" s="5" t="n">
        <v>28.99</v>
      </c>
      <c r="P3" s="5" t="n">
        <v>86.97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n"/>
      <c r="C4" s="2" t="inlineStr">
        <is>
          <t>113-5364495-5165021</t>
        </is>
      </c>
      <c r="D4" s="2" t="n"/>
      <c r="E4" s="2" t="inlineStr">
        <is>
          <t>WIGS</t>
        </is>
      </c>
      <c r="F4" s="2" t="inlineStr">
        <is>
          <t>67041100</t>
        </is>
      </c>
      <c r="G4" s="2" t="n"/>
      <c r="H4" s="2" t="n"/>
      <c r="I4" s="2" t="inlineStr">
        <is>
          <t>67041100</t>
        </is>
      </c>
      <c r="J4" s="2" t="inlineStr">
        <is>
          <t>MIAORUN Bob Wig Human Hair , 13 x 4 HD Lace Front Wigs Human Hair , 10 Inch G... (1 items)</t>
        </is>
      </c>
      <c r="K4" s="2" t="n">
        <v>1</v>
      </c>
      <c r="L4" s="2" t="n"/>
      <c r="M4" s="2" t="n"/>
      <c r="N4" s="2" t="inlineStr">
        <is>
          <t>USD</t>
        </is>
      </c>
      <c r="O4" s="3" t="n">
        <v>174.21</v>
      </c>
      <c r="P4" s="3" t="n">
        <v>174.21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67041100</t>
        </is>
      </c>
    </row>
    <row r="5">
      <c r="A5" s="4" t="n"/>
      <c r="B5" s="4" t="n"/>
      <c r="C5" s="4" t="n"/>
      <c r="D5" s="4" t="n"/>
      <c r="E5" s="4" t="n"/>
      <c r="F5" s="4" t="inlineStr">
        <is>
          <t>67041100</t>
        </is>
      </c>
      <c r="G5" s="4" t="n"/>
      <c r="H5" s="4" t="n"/>
      <c r="I5" s="4" t="inlineStr">
        <is>
          <t>AMZ-2</t>
        </is>
      </c>
      <c r="J5" s="4" t="inlineStr">
        <is>
          <t>MIAORUN Bob Wig Human Hair , 13 x 4 HD Lace Front Wigs Human Hair , 10 Inch G...</t>
        </is>
      </c>
      <c r="K5" s="4" t="n">
        <v>1</v>
      </c>
      <c r="L5" s="4" t="n"/>
      <c r="M5" s="4" t="n"/>
      <c r="N5" s="4" t="inlineStr">
        <is>
          <t>USD</t>
        </is>
      </c>
      <c r="O5" s="5" t="n">
        <v>174.21</v>
      </c>
      <c r="P5" s="5" t="n">
        <v>174.21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(GROUPED)</t>
        </is>
      </c>
      <c r="K6" s="6" t="n"/>
      <c r="L6" s="6" t="n"/>
      <c r="M6" s="6" t="n"/>
      <c r="N6" s="6" t="n"/>
      <c r="O6" s="6" t="n"/>
      <c r="P6" s="7">
        <f>P2+P4</f>
        <v/>
      </c>
      <c r="Q6" s="7">
        <f>Q2+Q4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(DETAILS)</t>
        </is>
      </c>
      <c r="K7" s="6" t="n"/>
      <c r="L7" s="6" t="n"/>
      <c r="M7" s="6" t="n"/>
      <c r="N7" s="6" t="n"/>
      <c r="O7" s="6" t="n"/>
      <c r="P7" s="7">
        <f>SUM(P2:P5)-P6</f>
        <v/>
      </c>
      <c r="Q7" s="7">
        <f>SUM(Q2:Q5)-Q6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inlineStr">
        <is>
          <t>GROUP VERIFICATION</t>
        </is>
      </c>
      <c r="K8" s="8" t="n"/>
      <c r="L8" s="8" t="n"/>
      <c r="M8" s="8" t="n"/>
      <c r="N8" s="8" t="n"/>
      <c r="O8" s="8" t="n"/>
      <c r="P8" s="9">
        <f>P6-P7</f>
        <v/>
      </c>
      <c r="Q8" s="9">
        <f>Q6-Q7</f>
        <v/>
      </c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</row>
    <row r="9"/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INTERNAL FREIGHT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INSURANCE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OTHER COST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DEDUCTION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ADJUSTMENTS</t>
        </is>
      </c>
      <c r="K14" s="6" t="n"/>
      <c r="L14" s="6" t="n"/>
      <c r="M14" s="6" t="n"/>
      <c r="N14" s="6" t="n"/>
      <c r="O14" s="6" t="n"/>
      <c r="P14" s="7">
        <f>(T2+U2+V2-W2)</f>
        <v/>
      </c>
      <c r="Q14" s="7">
        <f>(T2+U2+V2-W2)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NET TOTAL</t>
        </is>
      </c>
      <c r="K16" s="6" t="n"/>
      <c r="L16" s="6" t="n"/>
      <c r="M16" s="6" t="n"/>
      <c r="N16" s="6" t="n"/>
      <c r="O16" s="6" t="n"/>
      <c r="P16" s="7">
        <f>P6+P14</f>
        <v/>
      </c>
      <c r="Q16" s="7">
        <f>Q6+Q14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INVOICE TOTAL</t>
        </is>
      </c>
      <c r="K17" s="6" t="n"/>
      <c r="L17" s="6" t="n"/>
      <c r="M17" s="6" t="n"/>
      <c r="N17" s="6" t="n"/>
      <c r="O17" s="6" t="n"/>
      <c r="P17" s="7">
        <f>S2</f>
        <v/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/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inlineStr">
        <is>
          <t>VARIANCE CHECK</t>
        </is>
      </c>
      <c r="K19" s="10" t="n"/>
      <c r="L19" s="10" t="n"/>
      <c r="M19" s="10" t="n"/>
      <c r="N19" s="10" t="n"/>
      <c r="O19" s="10" t="n"/>
      <c r="P19" s="11">
        <f>S2-P16</f>
        <v/>
      </c>
      <c r="Q19" s="11">
        <f>S2-Q16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0"/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inlineStr">
        <is>
          <t>DUTY ESTIMATION (Classification Cross-Check)</t>
        </is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(USD) = InvTotal + Freight + Insurance</t>
        </is>
      </c>
      <c r="K22" s="13" t="n"/>
      <c r="L22" s="13" t="n"/>
      <c r="M22" s="13" t="n"/>
      <c r="N22" s="13" t="n"/>
      <c r="O22" s="13" t="n"/>
      <c r="P22" s="15" t="n">
        <v>279.49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CIF (XCD) = CIF × 2.7169</t>
        </is>
      </c>
      <c r="K23" s="13" t="n"/>
      <c r="L23" s="13" t="n"/>
      <c r="M23" s="13" t="n"/>
      <c r="N23" s="13" t="n"/>
      <c r="O23" s="13" t="n"/>
      <c r="P23" s="15" t="n">
        <v>759.35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CET (weighted avg 18.3%)</t>
        </is>
      </c>
      <c r="K24" s="13" t="n"/>
      <c r="L24" s="13" t="n"/>
      <c r="M24" s="13" t="n"/>
      <c r="N24" s="13" t="n"/>
      <c r="O24" s="13" t="n"/>
      <c r="P24" s="15" t="n">
        <v>139.23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 xml:space="preserve">  └ 35061000: 15% CET (33% of value)</t>
        </is>
      </c>
      <c r="K25" s="13" t="n"/>
      <c r="L25" s="13" t="n"/>
      <c r="M25" s="13" t="n"/>
      <c r="N25" s="13" t="n"/>
      <c r="O25" s="13" t="n"/>
      <c r="P25" s="15" t="n">
        <v>37.93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 xml:space="preserve">  └ 67041100: 20% CET (67% of value)</t>
        </is>
      </c>
      <c r="K26" s="13" t="n"/>
      <c r="L26" s="13" t="n"/>
      <c r="M26" s="13" t="n"/>
      <c r="N26" s="13" t="n"/>
      <c r="O26" s="13" t="n"/>
      <c r="P26" s="15" t="n">
        <v>101.3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CSC (6%)</t>
        </is>
      </c>
      <c r="K27" s="13" t="n"/>
      <c r="L27" s="13" t="n"/>
      <c r="M27" s="13" t="n"/>
      <c r="N27" s="13" t="n"/>
      <c r="O27" s="13" t="n"/>
      <c r="P27" s="15" t="n">
        <v>45.56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VAT (15%) on CIF+CET+CSC</t>
        </is>
      </c>
      <c r="K28" s="13" t="n"/>
      <c r="L28" s="13" t="n"/>
      <c r="M28" s="13" t="n"/>
      <c r="N28" s="13" t="n"/>
      <c r="O28" s="13" t="n"/>
      <c r="P28" s="15" t="n">
        <v>141.62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2" t="inlineStr">
        <is>
          <t>ESTIMATED TOTAL DUTIES</t>
        </is>
      </c>
      <c r="K29" s="16" t="n"/>
      <c r="L29" s="16" t="n"/>
      <c r="M29" s="16" t="n"/>
      <c r="N29" s="16" t="n"/>
      <c r="O29" s="16" t="n"/>
      <c r="P29" s="17" t="n">
        <v>326.41</v>
      </c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Effective Duty Rate</t>
        </is>
      </c>
      <c r="K30" s="13" t="n"/>
      <c r="L30" s="13" t="n"/>
      <c r="M30" s="13" t="n"/>
      <c r="N30" s="13" t="n"/>
      <c r="O30" s="13" t="n"/>
      <c r="P30" s="18" t="n">
        <v>0.4298544808059525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</row>
    <row r="32">
      <c r="A32" s="2" t="inlineStr">
        <is>
          <t>4000-000</t>
        </is>
      </c>
      <c r="B32" s="2" t="n"/>
      <c r="C32" s="2" t="inlineStr">
        <is>
          <t>113-5364495-5165021</t>
        </is>
      </c>
      <c r="D32" s="2" t="n"/>
      <c r="E32" s="2" t="inlineStr">
        <is>
          <t>ADHESIVES</t>
        </is>
      </c>
      <c r="F32" s="2" t="inlineStr">
        <is>
          <t>35061000</t>
        </is>
      </c>
      <c r="G32" s="2" t="n"/>
      <c r="H32" s="2" t="n"/>
      <c r="I32" s="2" t="inlineStr">
        <is>
          <t>35061000</t>
        </is>
      </c>
      <c r="J32" s="2" t="inlineStr">
        <is>
          <t>Atiick Wear and Go Glueless Bob Wig - Body Wave Lace Front Human Hair (+1 more) (2 items)</t>
        </is>
      </c>
      <c r="K32" s="2" t="n">
        <v>7</v>
      </c>
      <c r="L32" s="2" t="n"/>
      <c r="M32" s="2" t="n"/>
      <c r="N32" s="2" t="inlineStr">
        <is>
          <t>USD</t>
        </is>
      </c>
      <c r="O32" s="3" t="n">
        <v>26.94428571428572</v>
      </c>
      <c r="P32" s="3" t="n">
        <v>188.61</v>
      </c>
      <c r="Q32" s="3">
        <f>O32*K32</f>
        <v/>
      </c>
      <c r="R32" s="3">
        <f>P32-Q32</f>
        <v/>
      </c>
      <c r="S32" s="3" t="n">
        <v>279.49</v>
      </c>
      <c r="T32" s="3" t="n">
        <v>0</v>
      </c>
      <c r="U32" s="3" t="n">
        <v>0</v>
      </c>
      <c r="V32" s="3" t="n">
        <v>0</v>
      </c>
      <c r="W32" s="3" t="n">
        <v>0</v>
      </c>
      <c r="X32" s="2" t="n"/>
      <c r="Y32" s="2" t="n"/>
      <c r="Z32" s="2" t="inlineStr">
        <is>
          <t>AMAZON</t>
        </is>
      </c>
      <c r="AA32" s="2" t="inlineStr">
        <is>
          <t>Amazon.com</t>
        </is>
      </c>
      <c r="AB32" s="2" t="inlineStr">
        <is>
          <t>410 Terry Avenue North, Seattle, WA 98109</t>
        </is>
      </c>
      <c r="AC32" s="2" t="inlineStr">
        <is>
          <t>US</t>
        </is>
      </c>
      <c r="AD32" s="2" t="n"/>
      <c r="AE32" s="2" t="n"/>
      <c r="AF32" s="2" t="n"/>
      <c r="AG32" s="2" t="n"/>
      <c r="AH32" s="2" t="n"/>
      <c r="AI32" s="2" t="n"/>
      <c r="AJ32" s="2" t="n"/>
      <c r="AK32" s="2" t="inlineStr">
        <is>
          <t>35061000</t>
        </is>
      </c>
    </row>
    <row r="33">
      <c r="A33" s="4" t="n"/>
      <c r="B33" s="4" t="n"/>
      <c r="C33" s="4" t="n"/>
      <c r="D33" s="4" t="n"/>
      <c r="E33" s="4" t="n"/>
      <c r="F33" s="4" t="inlineStr">
        <is>
          <t>35061000</t>
        </is>
      </c>
      <c r="G33" s="4" t="n"/>
      <c r="H33" s="4" t="n"/>
      <c r="I33" s="4" t="inlineStr">
        <is>
          <t>AMZ-1</t>
        </is>
      </c>
      <c r="J33" s="4" t="inlineStr">
        <is>
          <t>Atiick Wear and Go Glueless Bob Wig - Body Wave Lace Front Human Hair</t>
        </is>
      </c>
      <c r="K33" s="4" t="n">
        <v>3</v>
      </c>
      <c r="L33" s="4" t="n"/>
      <c r="M33" s="4" t="n"/>
      <c r="N33" s="4" t="inlineStr">
        <is>
          <t>USD</t>
        </is>
      </c>
      <c r="O33" s="5" t="n">
        <v>28.99</v>
      </c>
      <c r="P33" s="5" t="n">
        <v>86.97</v>
      </c>
      <c r="Q33" s="5">
        <f>O33*K33</f>
        <v/>
      </c>
      <c r="R33" s="5">
        <f>P33-Q33</f>
        <v/>
      </c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</row>
    <row r="34">
      <c r="A34" s="4" t="n"/>
      <c r="B34" s="4" t="n"/>
      <c r="C34" s="4" t="n"/>
      <c r="D34" s="4" t="n"/>
      <c r="E34" s="4" t="n"/>
      <c r="F34" s="4" t="inlineStr">
        <is>
          <t>35061000</t>
        </is>
      </c>
      <c r="G34" s="4" t="n"/>
      <c r="H34" s="4" t="n"/>
      <c r="I34" s="4" t="inlineStr">
        <is>
          <t>AMZ-3</t>
        </is>
      </c>
      <c r="J34" s="4" t="inlineStr">
        <is>
          <t>Wear and Go Glueless Wigs Human Hair Pre Plucked Pre Cut Bob Wig</t>
        </is>
      </c>
      <c r="K34" s="4" t="n">
        <v>4</v>
      </c>
      <c r="L34" s="4" t="n"/>
      <c r="M34" s="4" t="n"/>
      <c r="N34" s="4" t="inlineStr">
        <is>
          <t>USD</t>
        </is>
      </c>
      <c r="O34" s="5" t="n">
        <v>25.41</v>
      </c>
      <c r="P34" s="5" t="n">
        <v>101.64</v>
      </c>
      <c r="Q34" s="5">
        <f>O34*K34</f>
        <v/>
      </c>
      <c r="R34" s="5">
        <f>P34-Q34</f>
        <v/>
      </c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</row>
    <row r="35">
      <c r="A35" s="2" t="n"/>
      <c r="B35" s="2" t="n"/>
      <c r="C35" s="2" t="inlineStr">
        <is>
          <t>113-5364495-5165021</t>
        </is>
      </c>
      <c r="D35" s="2" t="n"/>
      <c r="E35" s="2" t="inlineStr">
        <is>
          <t>WIGS</t>
        </is>
      </c>
      <c r="F35" s="2" t="inlineStr">
        <is>
          <t>67041100</t>
        </is>
      </c>
      <c r="G35" s="2" t="n"/>
      <c r="H35" s="2" t="n"/>
      <c r="I35" s="2" t="inlineStr">
        <is>
          <t>67041100</t>
        </is>
      </c>
      <c r="J35" s="2" t="inlineStr">
        <is>
          <t>MIAORUN Bob Wig Human Hair , 13 x 4 HD Lace Front Wigs Human Hair , 10 (1 items)</t>
        </is>
      </c>
      <c r="K35" s="2" t="n">
        <v>3</v>
      </c>
      <c r="L35" s="2" t="n"/>
      <c r="M35" s="2" t="n"/>
      <c r="N35" s="2" t="inlineStr">
        <is>
          <t>USD</t>
        </is>
      </c>
      <c r="O35" s="3" t="n">
        <v>24.19</v>
      </c>
      <c r="P35" s="3" t="n">
        <v>72.56999999999999</v>
      </c>
      <c r="Q35" s="3">
        <f>O35*K35</f>
        <v/>
      </c>
      <c r="R35" s="3">
        <f>P35-Q35</f>
        <v/>
      </c>
      <c r="S35" s="3" t="n"/>
      <c r="T35" s="3" t="n"/>
      <c r="U35" s="3" t="n"/>
      <c r="V35" s="3" t="n"/>
      <c r="W35" s="3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inlineStr">
        <is>
          <t>67041100</t>
        </is>
      </c>
    </row>
    <row r="36">
      <c r="A36" s="4" t="n"/>
      <c r="B36" s="4" t="n"/>
      <c r="C36" s="4" t="n"/>
      <c r="D36" s="4" t="n"/>
      <c r="E36" s="4" t="n"/>
      <c r="F36" s="4" t="inlineStr">
        <is>
          <t>67041100</t>
        </is>
      </c>
      <c r="G36" s="4" t="n"/>
      <c r="H36" s="4" t="n"/>
      <c r="I36" s="4" t="inlineStr">
        <is>
          <t>AMZ-2</t>
        </is>
      </c>
      <c r="J36" s="4" t="inlineStr">
        <is>
          <t>MIAORUN Bob Wig Human Hair , 13 x 4 HD Lace Front Wigs Human Hair , 10</t>
        </is>
      </c>
      <c r="K36" s="4" t="n">
        <v>3</v>
      </c>
      <c r="L36" s="4" t="n"/>
      <c r="M36" s="4" t="n"/>
      <c r="N36" s="4" t="inlineStr">
        <is>
          <t>USD</t>
        </is>
      </c>
      <c r="O36" s="5" t="n">
        <v>24.19</v>
      </c>
      <c r="P36" s="5" t="n">
        <v>72.56999999999999</v>
      </c>
      <c r="Q36" s="5">
        <f>O36*K36</f>
        <v/>
      </c>
      <c r="R36" s="5">
        <f>P36-Q36</f>
        <v/>
      </c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inlineStr">
        <is>
          <t>SUBTOTAL (GROUPED)</t>
        </is>
      </c>
      <c r="K37" s="6" t="n"/>
      <c r="L37" s="6" t="n"/>
      <c r="M37" s="6" t="n"/>
      <c r="N37" s="6" t="n"/>
      <c r="O37" s="6" t="n"/>
      <c r="P37" s="7">
        <f>P32+P35</f>
        <v/>
      </c>
      <c r="Q37" s="7">
        <f>Q32+Q35</f>
        <v/>
      </c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inlineStr">
        <is>
          <t>SUBTOTAL (DETAILS)</t>
        </is>
      </c>
      <c r="K38" s="6" t="n"/>
      <c r="L38" s="6" t="n"/>
      <c r="M38" s="6" t="n"/>
      <c r="N38" s="6" t="n"/>
      <c r="O38" s="6" t="n"/>
      <c r="P38" s="7">
        <f>SUM(P32:P36)-P37</f>
        <v/>
      </c>
      <c r="Q38" s="7">
        <f>SUM(Q32:Q36)-Q37</f>
        <v/>
      </c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inlineStr">
        <is>
          <t>GROUP VERIFICATION</t>
        </is>
      </c>
      <c r="K39" s="8" t="n"/>
      <c r="L39" s="8" t="n"/>
      <c r="M39" s="8" t="n"/>
      <c r="N39" s="8" t="n"/>
      <c r="O39" s="8" t="n"/>
      <c r="P39" s="9">
        <f>P37-P38</f>
        <v/>
      </c>
      <c r="Q39" s="9">
        <f>Q37-Q38</f>
        <v/>
      </c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</row>
    <row r="40"/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inlineStr">
        <is>
          <t>TOTAL INTERNAL FREIGHT</t>
        </is>
      </c>
      <c r="K41" s="6" t="n"/>
      <c r="L41" s="6" t="n"/>
      <c r="M41" s="6" t="n"/>
      <c r="N41" s="6" t="n"/>
      <c r="O41" s="6" t="n"/>
      <c r="P41" s="7" t="n">
        <v>0</v>
      </c>
      <c r="Q41" s="7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inlineStr">
        <is>
          <t>TOTAL INSURANCE</t>
        </is>
      </c>
      <c r="K42" s="6" t="n"/>
      <c r="L42" s="6" t="n"/>
      <c r="M42" s="6" t="n"/>
      <c r="N42" s="6" t="n"/>
      <c r="O42" s="6" t="n"/>
      <c r="P42" s="7" t="n">
        <v>0</v>
      </c>
      <c r="Q42" s="7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inlineStr">
        <is>
          <t>TOTAL OTHER COST</t>
        </is>
      </c>
      <c r="K43" s="6" t="n"/>
      <c r="L43" s="6" t="n"/>
      <c r="M43" s="6" t="n"/>
      <c r="N43" s="6" t="n"/>
      <c r="O43" s="6" t="n"/>
      <c r="P43" s="7" t="n">
        <v>0</v>
      </c>
      <c r="Q43" s="7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inlineStr">
        <is>
          <t>TOTAL DEDUCTION</t>
        </is>
      </c>
      <c r="K44" s="6" t="n"/>
      <c r="L44" s="6" t="n"/>
      <c r="M44" s="6" t="n"/>
      <c r="N44" s="6" t="n"/>
      <c r="O44" s="6" t="n"/>
      <c r="P44" s="7" t="n">
        <v>0</v>
      </c>
      <c r="Q44" s="7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inlineStr">
        <is>
          <t>ADJUSTMENTS</t>
        </is>
      </c>
      <c r="K45" s="6" t="n"/>
      <c r="L45" s="6" t="n"/>
      <c r="M45" s="6" t="n"/>
      <c r="N45" s="6" t="n"/>
      <c r="O45" s="6" t="n"/>
      <c r="P45" s="7">
        <f>(T32+U32+V32-W32)</f>
        <v/>
      </c>
      <c r="Q45" s="7">
        <f>(T32+U32+V32-W32)</f>
        <v/>
      </c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</row>
    <row r="46"/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inlineStr">
        <is>
          <t>NET TOTAL</t>
        </is>
      </c>
      <c r="K47" s="6" t="n"/>
      <c r="L47" s="6" t="n"/>
      <c r="M47" s="6" t="n"/>
      <c r="N47" s="6" t="n"/>
      <c r="O47" s="6" t="n"/>
      <c r="P47" s="7">
        <f>P37+P45</f>
        <v/>
      </c>
      <c r="Q47" s="7">
        <f>Q37+Q45</f>
        <v/>
      </c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inlineStr">
        <is>
          <t>INVOICE TOTAL</t>
        </is>
      </c>
      <c r="K48" s="6" t="n"/>
      <c r="L48" s="6" t="n"/>
      <c r="M48" s="6" t="n"/>
      <c r="N48" s="6" t="n"/>
      <c r="O48" s="6" t="n"/>
      <c r="P48" s="7">
        <f>S32</f>
        <v/>
      </c>
      <c r="Q48" s="7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</row>
    <row r="49"/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inlineStr">
        <is>
          <t>VARIANCE CHECK</t>
        </is>
      </c>
      <c r="K50" s="10" t="n"/>
      <c r="L50" s="10" t="n"/>
      <c r="M50" s="10" t="n"/>
      <c r="N50" s="10" t="n"/>
      <c r="O50" s="10" t="n"/>
      <c r="P50" s="11">
        <f>S32-P47</f>
        <v/>
      </c>
      <c r="Q50" s="11">
        <f>S32-Q47</f>
        <v/>
      </c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</row>
    <row r="51"/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inlineStr">
        <is>
          <t>DUTY ESTIMATION (Classification Cross-Check)</t>
        </is>
      </c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4" t="inlineStr">
        <is>
          <t>CIF (USD) = InvTotal + Freight + Insurance</t>
        </is>
      </c>
      <c r="K53" s="13" t="n"/>
      <c r="L53" s="13" t="n"/>
      <c r="M53" s="13" t="n"/>
      <c r="N53" s="13" t="n"/>
      <c r="O53" s="13" t="n"/>
      <c r="P53" s="15" t="n">
        <v>279.49</v>
      </c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4" t="inlineStr">
        <is>
          <t>CIF (XCD) = CIF × 2.7169</t>
        </is>
      </c>
      <c r="K54" s="13" t="n"/>
      <c r="L54" s="13" t="n"/>
      <c r="M54" s="13" t="n"/>
      <c r="N54" s="13" t="n"/>
      <c r="O54" s="13" t="n"/>
      <c r="P54" s="15" t="n">
        <v>759.35</v>
      </c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4" t="inlineStr">
        <is>
          <t>CET (weighted avg 16.4%)</t>
        </is>
      </c>
      <c r="K55" s="13" t="n"/>
      <c r="L55" s="13" t="n"/>
      <c r="M55" s="13" t="n"/>
      <c r="N55" s="13" t="n"/>
      <c r="O55" s="13" t="n"/>
      <c r="P55" s="15" t="n">
        <v>124.45</v>
      </c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4" t="inlineStr">
        <is>
          <t xml:space="preserve">  └ 35061000: 15% CET (72% of value)</t>
        </is>
      </c>
      <c r="K56" s="13" t="n"/>
      <c r="L56" s="13" t="n"/>
      <c r="M56" s="13" t="n"/>
      <c r="N56" s="13" t="n"/>
      <c r="O56" s="13" t="n"/>
      <c r="P56" s="15" t="n">
        <v>82.25</v>
      </c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4" t="inlineStr">
        <is>
          <t xml:space="preserve">  └ 67041100: 20% CET (28% of value)</t>
        </is>
      </c>
      <c r="K57" s="13" t="n"/>
      <c r="L57" s="13" t="n"/>
      <c r="M57" s="13" t="n"/>
      <c r="N57" s="13" t="n"/>
      <c r="O57" s="13" t="n"/>
      <c r="P57" s="15" t="n">
        <v>42.2</v>
      </c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4" t="inlineStr">
        <is>
          <t>CSC (6%)</t>
        </is>
      </c>
      <c r="K58" s="13" t="n"/>
      <c r="L58" s="13" t="n"/>
      <c r="M58" s="13" t="n"/>
      <c r="N58" s="13" t="n"/>
      <c r="O58" s="13" t="n"/>
      <c r="P58" s="15" t="n">
        <v>45.56</v>
      </c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4" t="inlineStr">
        <is>
          <t>VAT (15%) on CIF+CET+CSC</t>
        </is>
      </c>
      <c r="K59" s="13" t="n"/>
      <c r="L59" s="13" t="n"/>
      <c r="M59" s="13" t="n"/>
      <c r="N59" s="13" t="n"/>
      <c r="O59" s="13" t="n"/>
      <c r="P59" s="15" t="n">
        <v>139.4</v>
      </c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2" t="inlineStr">
        <is>
          <t>ESTIMATED TOTAL DUTIES</t>
        </is>
      </c>
      <c r="K60" s="16" t="n"/>
      <c r="L60" s="16" t="n"/>
      <c r="M60" s="16" t="n"/>
      <c r="N60" s="16" t="n"/>
      <c r="O60" s="16" t="n"/>
      <c r="P60" s="17" t="n">
        <v>309.41</v>
      </c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4" t="inlineStr">
        <is>
          <t>Effective Duty Rate</t>
        </is>
      </c>
      <c r="K61" s="13" t="n"/>
      <c r="L61" s="13" t="n"/>
      <c r="M61" s="13" t="n"/>
      <c r="N61" s="13" t="n"/>
      <c r="O61" s="13" t="n"/>
      <c r="P61" s="18" t="n">
        <v>0.4074669124909462</v>
      </c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</row>
    <row r="62"/>
    <row r="63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  <c r="AI63" s="20" t="n"/>
      <c r="AJ63" s="20" t="n"/>
      <c r="AK63" s="20" t="n"/>
    </row>
    <row r="64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1" t="inlineStr">
        <is>
          <t>═══ COMBINED GRAND SUMMARY ═══</t>
        </is>
      </c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</row>
    <row r="65">
      <c r="L65" s="22" t="inlineStr">
        <is>
          <t>Invoice 113-5364495-5165021</t>
        </is>
      </c>
      <c r="P65" s="23" t="n">
        <v>2092.5</v>
      </c>
      <c r="Q65" s="24" t="n">
        <v>-1813.01</v>
      </c>
    </row>
    <row r="66">
      <c r="L66" s="22" t="inlineStr">
        <is>
          <t>Invoice 113-5364495-5165021</t>
        </is>
      </c>
      <c r="P66" s="23" t="n">
        <v>2043.7</v>
      </c>
      <c r="Q66" s="24" t="n">
        <v>-1764.21</v>
      </c>
    </row>
    <row r="67"/>
    <row r="68">
      <c r="L68" s="25" t="inlineStr">
        <is>
          <t>GRAND TOTAL</t>
        </is>
      </c>
      <c r="P68" s="26" t="n">
        <v>4136.2</v>
      </c>
    </row>
    <row r="69">
      <c r="L69" s="27" t="inlineStr">
        <is>
          <t>GRAND VARIANCE CHECK</t>
        </is>
      </c>
      <c r="P69" s="24" t="n">
        <v>-3577.22</v>
      </c>
    </row>
    <row r="70">
      <c r="L70" s="28" t="inlineStr">
        <is>
          <t>Combined 2 invoice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60" customWidth="1" min="4" max="4"/>
    <col width="100" customWidth="1" min="5" max="5"/>
  </cols>
  <sheetData>
    <row r="1">
      <c r="A1" s="29" t="inlineStr">
        <is>
          <t>PDF File</t>
        </is>
      </c>
      <c r="B1" s="29" t="inlineStr">
        <is>
          <t>Quality Score</t>
        </is>
      </c>
      <c r="C1" s="29" t="inlineStr">
        <is>
          <t>Rating</t>
        </is>
      </c>
      <c r="D1" s="29" t="inlineStr">
        <is>
          <t>Details</t>
        </is>
      </c>
      <c r="E1" s="29" t="inlineStr">
        <is>
          <t>OCR Text (first 2000 chars)</t>
        </is>
      </c>
    </row>
    <row r="2">
      <c r="A2" s="30" t="inlineStr">
        <is>
          <t>113-5364495-5165021.pdf</t>
        </is>
      </c>
      <c r="B2" s="30" t="inlineStr">
        <is>
          <t>77/100</t>
        </is>
      </c>
      <c r="C2" s="30" t="inlineStr">
        <is>
          <t>GOOD</t>
        </is>
      </c>
      <c r="D2" s="30" t="inlineStr">
        <is>
          <t>Text: 1189 chars; Prices: 2 ($-sign), 4 (decimal); Total: $279.49; Invoice#: 113-5364495-5165021; Real items: 2/2; Structure words: 6/12</t>
        </is>
      </c>
      <c r="E2" s="31" t="inlineStr">
        <is>
          <t>amazonconr . com
Final Details for Order # 113-5364495-5165021
Print this page for your records .
Order Placed : July 20 , 2024
Amazon . com order number : 113-5364495-5165021
Order Total : USD 279.49
Shipped on July 23 , 2024
Items Ordered Price
3 of: Atiick Wear and Go Glueless Bob Wig - Body Wave Lace Front Human Hair Wigs for Black Women - Pre Plucked and Pre Cut 4 x 4 Lace Closure - No Glue Needed for Beginners , 12 Inch $28.99
Sold by: blowing ( seller profile
Supplied by: blowing ( seller profile
Condition : New
3 of: MIAORUN Bob Wig Human Hair , 13 x 4 HD Lace Front Wigs Human Hair , 10 Inch Glueless Transparent Lace Frontal Bob Wigs 180 % Density 12 A Brazilian Short Bob Wig for Women Pre Plucked with Baby Hair $24.19
Sold by: MIAORUNWIG ( seller profile
Supplied by: MIAORUNWIG ( seller profile
Condition : New
Sold by: JFOOHD ( seller profile
Supplied by: JFOCOHD ( seller profile
Condition : New
Shipping Address :
Shanice St . Bernard
10813 NW 30 TH ST BLDG 115
GRE 9315
MIAMI , FL 33172 - 5068
United States
Shipping Speed :
FREE Prime Delivery
Payment information
Payment Method : Item ( s ) Subtotal : USD 261.18
Visa ending in 4375 Shipping &amp; Handling : USD 0.00</t>
        </is>
      </c>
    </row>
    <row r="3">
      <c r="A3" s="30" t="inlineStr">
        <is>
          <t>113-5364495-5165021.pdf</t>
        </is>
      </c>
      <c r="B3" s="30" t="inlineStr">
        <is>
          <t>95/100</t>
        </is>
      </c>
      <c r="C3" s="30" t="inlineStr">
        <is>
          <t>GOOD</t>
        </is>
      </c>
      <c r="D3" s="30" t="inlineStr">
        <is>
          <t>Text: 1410 chars; Prices: 3 ($-sign), 5 (decimal); Total: $279.49; Invoice#: 113-5364495-5165021; Real items: 3/3; Structure words: 6/12</t>
        </is>
      </c>
      <c r="E3" s="31" t="inlineStr">
        <is>
          <t>amazonconr
Sennen ” ?
Final Details for Order # 113-5364495-5165021
Print this page for your records .
Order Placed : July 20 , 2024
Amazon . com order number : 113-5364495-5165021
Order Total : USD 279.49
Shipped on July 23 , 2024
Items Ordered Price
3 of: Atiick Wear and Go Glueless Bob Wig - Body Wave Lace Front Human Hair $28.99
Wigs for Black Women - Pre Plucked and Pre Cut 4 x 4 Lace Closure - No Glue
Needed for Beginners , 12 Inch
Sold by: blowing ( seller profile
Supplied by: blowing ( seller profile
Condition : New
3 of: MIAORUN Bob Wig Human Hair , 13 x 4 HD Lace Front Wigs Human Hair , 10 $24.19
Inch Glueless Transparent Lace Frontal Bob Wigs 180 % Density 12 A Brazilian
Short Bob Wig for Women Pre Plucked with Baby Hair
Sold by: MIAORUNWIG ( seller profile
Supplied by: MIAORUNWIG ( seller profile
Condition : New
4 of: Wear and Go Glueless Wigs Human Hair Pre Plucked Pre Cut Bob Wig $25.41
Human Hair 14 Inch Deep Wave Bob Wig Human Hair 180 % Density Gluleless
Hd Lace Front Wigs for Beginners 4 x 4 Lace Closure wig for Women
Sold by: JFOOHD ( seller profile
Supplied by: JFOCOHD ( seller profile
Condition : New
Shipping Address :
Shanice St . Bernard
10813 NW 30 TH ST BLDG 115
GRE 9315
MIAMI , FL 33172 - 5068
United States
Shipping Speed :
FREE Prime Delivery
Payment information
Payment Method : Item ( s ) Subtotal : USD 261.18
Visa ending in 4375 Shipping &amp; Handling : USD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2026-04-20T13:12:16Z</dcterms:created>
  <dcterms:modified xsi:type="dcterms:W3CDTF">2026-04-20T13:12:20Z</dcterms:modified>
</cp:coreProperties>
</file>