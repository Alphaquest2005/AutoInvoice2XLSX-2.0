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9">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4" borderId="1" pivotButton="0" quotePrefix="0" xfId="0"/>
    <xf numFmtId="0" fontId="6" fillId="4" borderId="1" pivotButton="0" quotePrefix="0" xfId="0"/>
    <xf numFmtId="0" fontId="7" fillId="5"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5" borderId="1" pivotButton="0" quotePrefix="0" xfId="0"/>
    <xf numFmtId="164" fontId="7" fillId="5" borderId="1" pivotButton="0" quotePrefix="0" xfId="0"/>
    <xf numFmtId="165" fontId="7" fillId="0" borderId="1" pivotButton="0" quotePrefix="0" xfId="0"/>
    <xf numFmtId="0" fontId="0" fillId="6"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21"/>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03152025_Free_returns_within_90_days_Invoice_1</t>
        </is>
      </c>
      <c r="D2" s="2" t="n"/>
      <c r="E2" s="2" t="inlineStr">
        <is>
          <t>PRODUCTS</t>
        </is>
      </c>
      <c r="F2" s="2" t="inlineStr">
        <is>
          <t>00000000</t>
        </is>
      </c>
      <c r="G2" s="2" t="n"/>
      <c r="H2" s="2" t="n"/>
      <c r="I2" s="2" t="inlineStr">
        <is>
          <t>00000000</t>
        </is>
      </c>
      <c r="J2" s="2" t="inlineStr">
        <is>
          <t xml:space="preserve"> (+3 more) (4 items)</t>
        </is>
      </c>
      <c r="K2" s="2" t="n">
        <v>0</v>
      </c>
      <c r="L2" s="2" t="n"/>
      <c r="M2" s="2" t="n"/>
      <c r="N2" s="2" t="inlineStr">
        <is>
          <t>USD</t>
        </is>
      </c>
      <c r="O2" s="3" t="n"/>
      <c r="P2" s="3" t="n">
        <v>17.76</v>
      </c>
      <c r="Q2" s="3">
        <f>O2*K2</f>
        <v/>
      </c>
      <c r="R2" s="3">
        <f>P2-Q2</f>
        <v/>
      </c>
      <c r="S2" s="3" t="n">
        <v>17.76</v>
      </c>
      <c r="T2" s="3" t="n">
        <v>0</v>
      </c>
      <c r="U2" s="3" t="n">
        <v>0</v>
      </c>
      <c r="V2" s="3" t="n">
        <v>0</v>
      </c>
      <c r="W2" s="3" t="n">
        <v>0</v>
      </c>
      <c r="X2" s="2" t="n">
        <v>14</v>
      </c>
      <c r="Y2" s="2" t="n"/>
      <c r="Z2" s="2" t="inlineStr">
        <is>
          <t>UNKNOWN_</t>
        </is>
      </c>
      <c r="AA2" s="2" t="inlineStr">
        <is>
          <t>unknown_item</t>
        </is>
      </c>
      <c r="AB2" s="2" t="n"/>
      <c r="AC2" s="2" t="inlineStr">
        <is>
          <t>CO</t>
        </is>
      </c>
      <c r="AD2" s="2" t="n"/>
      <c r="AE2" s="2" t="n"/>
      <c r="AF2" s="2" t="n"/>
      <c r="AG2" s="2" t="n"/>
      <c r="AH2" s="2" t="n"/>
      <c r="AI2" s="2" t="n"/>
      <c r="AJ2" s="2" t="n"/>
      <c r="AK2" s="2" t="inlineStr">
        <is>
          <t>00000000</t>
        </is>
      </c>
    </row>
    <row r="3">
      <c r="A3" s="4" t="n"/>
      <c r="B3" s="4" t="n"/>
      <c r="C3" s="4" t="n"/>
      <c r="D3" s="4" t="n"/>
      <c r="E3" s="4" t="n"/>
      <c r="F3" s="4" t="inlineStr">
        <is>
          <t>00000000</t>
        </is>
      </c>
      <c r="G3" s="4" t="n"/>
      <c r="H3" s="4" t="n"/>
      <c r="I3" s="4" t="inlineStr">
        <is>
          <t>ITEM-1</t>
        </is>
      </c>
      <c r="J3" s="4" t="n"/>
      <c r="K3" s="4" t="n">
        <v>0</v>
      </c>
      <c r="L3" s="4" t="n"/>
      <c r="M3" s="4" t="n"/>
      <c r="N3" s="4" t="inlineStr">
        <is>
          <t>USD</t>
        </is>
      </c>
      <c r="O3" s="5" t="n">
        <v>1.98</v>
      </c>
      <c r="P3" s="5" t="n">
        <v>1.98</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00000000</t>
        </is>
      </c>
      <c r="G4" s="4" t="n"/>
      <c r="H4" s="4" t="n"/>
      <c r="I4" s="4" t="inlineStr">
        <is>
          <t>ITEM-2</t>
        </is>
      </c>
      <c r="J4" s="4" t="n"/>
      <c r="K4" s="4" t="n">
        <v>0</v>
      </c>
      <c r="L4" s="4" t="n"/>
      <c r="M4" s="4" t="n"/>
      <c r="N4" s="4" t="inlineStr">
        <is>
          <t>USD</t>
        </is>
      </c>
      <c r="O4" s="5" t="n">
        <v>5.98</v>
      </c>
      <c r="P4" s="5" t="n">
        <v>5.98</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4" t="n"/>
      <c r="B5" s="4" t="n"/>
      <c r="C5" s="4" t="n"/>
      <c r="D5" s="4" t="n"/>
      <c r="E5" s="4" t="n"/>
      <c r="F5" s="4" t="inlineStr">
        <is>
          <t>00000000</t>
        </is>
      </c>
      <c r="G5" s="4" t="n"/>
      <c r="H5" s="4" t="n"/>
      <c r="I5" s="4" t="inlineStr">
        <is>
          <t>ITEM-3</t>
        </is>
      </c>
      <c r="J5" s="4" t="n"/>
      <c r="K5" s="4" t="n">
        <v>0</v>
      </c>
      <c r="L5" s="4" t="n"/>
      <c r="M5" s="4" t="n"/>
      <c r="N5" s="4" t="inlineStr">
        <is>
          <t>USD</t>
        </is>
      </c>
      <c r="O5" s="5" t="n">
        <v>7.47</v>
      </c>
      <c r="P5" s="5" t="n">
        <v>7.47</v>
      </c>
      <c r="Q5" s="5">
        <f>O5*K5</f>
        <v/>
      </c>
      <c r="R5" s="5">
        <f>P5-Q5</f>
        <v/>
      </c>
      <c r="S5" s="4" t="n"/>
      <c r="T5" s="4" t="n"/>
      <c r="U5" s="4" t="n"/>
      <c r="V5" s="4" t="n"/>
      <c r="W5" s="4" t="n"/>
      <c r="X5" s="4" t="n"/>
      <c r="Y5" s="4" t="n"/>
      <c r="Z5" s="4" t="n"/>
      <c r="AA5" s="4" t="n"/>
      <c r="AB5" s="4" t="n"/>
      <c r="AC5" s="4" t="n"/>
      <c r="AD5" s="4" t="n"/>
      <c r="AE5" s="4" t="n"/>
      <c r="AF5" s="4" t="n"/>
      <c r="AG5" s="4" t="n"/>
      <c r="AH5" s="4" t="n"/>
      <c r="AI5" s="4" t="n"/>
      <c r="AJ5" s="4" t="n"/>
      <c r="AK5" s="4" t="n"/>
    </row>
    <row r="6">
      <c r="A6" s="4" t="n"/>
      <c r="B6" s="4" t="n"/>
      <c r="C6" s="4" t="n"/>
      <c r="D6" s="4" t="n"/>
      <c r="E6" s="4" t="n"/>
      <c r="F6" s="4" t="inlineStr">
        <is>
          <t>00000000</t>
        </is>
      </c>
      <c r="G6" s="4" t="n"/>
      <c r="H6" s="4" t="n"/>
      <c r="I6" s="4" t="inlineStr">
        <is>
          <t>ITEM-4</t>
        </is>
      </c>
      <c r="J6" s="4" t="n"/>
      <c r="K6" s="4" t="n">
        <v>0</v>
      </c>
      <c r="L6" s="4" t="n"/>
      <c r="M6" s="4" t="n"/>
      <c r="N6" s="4" t="inlineStr">
        <is>
          <t>USD</t>
        </is>
      </c>
      <c r="O6" s="5" t="n">
        <v>2.33</v>
      </c>
      <c r="P6" s="5" t="n">
        <v>2.33</v>
      </c>
      <c r="Q6" s="5">
        <f>O6*K6</f>
        <v/>
      </c>
      <c r="R6" s="5">
        <f>P6-Q6</f>
        <v/>
      </c>
      <c r="S6" s="4" t="n"/>
      <c r="T6" s="4" t="n"/>
      <c r="U6" s="4" t="n"/>
      <c r="V6" s="4" t="n"/>
      <c r="W6" s="4" t="n"/>
      <c r="X6" s="4" t="n"/>
      <c r="Y6" s="4" t="n"/>
      <c r="Z6" s="4" t="n"/>
      <c r="AA6" s="4" t="n"/>
      <c r="AB6" s="4" t="n"/>
      <c r="AC6" s="4" t="n"/>
      <c r="AD6" s="4" t="n"/>
      <c r="AE6" s="4" t="n"/>
      <c r="AF6" s="4" t="n"/>
      <c r="AG6" s="4" t="n"/>
      <c r="AH6" s="4" t="n"/>
      <c r="AI6" s="4" t="n"/>
      <c r="AJ6" s="4" t="n"/>
      <c r="AK6" s="4" t="n"/>
    </row>
    <row r="7">
      <c r="A7" s="6" t="n"/>
      <c r="B7" s="6" t="n"/>
      <c r="C7" s="6" t="n"/>
      <c r="D7" s="6" t="n"/>
      <c r="E7" s="6" t="n"/>
      <c r="F7" s="6" t="n"/>
      <c r="G7" s="6" t="n"/>
      <c r="H7" s="6" t="n"/>
      <c r="I7" s="6" t="n"/>
      <c r="J7" s="6" t="inlineStr">
        <is>
          <t>SUBTOTAL (GROUPED)</t>
        </is>
      </c>
      <c r="K7" s="6" t="n"/>
      <c r="L7" s="6" t="n"/>
      <c r="M7" s="6" t="n"/>
      <c r="N7" s="6" t="n"/>
      <c r="O7" s="6" t="n"/>
      <c r="P7" s="7">
        <f>P2</f>
        <v/>
      </c>
      <c r="Q7" s="7">
        <f>Q2</f>
        <v/>
      </c>
      <c r="R7" s="6" t="n"/>
      <c r="S7" s="6" t="n"/>
      <c r="T7" s="6" t="n"/>
      <c r="U7" s="6" t="n"/>
      <c r="V7" s="6" t="n"/>
      <c r="W7" s="6" t="n"/>
      <c r="X7" s="6" t="n"/>
      <c r="Y7" s="6" t="n"/>
      <c r="Z7" s="6" t="n"/>
      <c r="AA7" s="6" t="n"/>
      <c r="AB7" s="6" t="n"/>
      <c r="AC7" s="6" t="n"/>
      <c r="AD7" s="6" t="n"/>
      <c r="AE7" s="6" t="n"/>
      <c r="AF7" s="6" t="n"/>
      <c r="AG7" s="6" t="n"/>
      <c r="AH7" s="6" t="n"/>
      <c r="AI7" s="6" t="n"/>
      <c r="AJ7" s="6" t="n"/>
      <c r="AK7" s="6" t="n"/>
    </row>
    <row r="8">
      <c r="A8" s="6" t="n"/>
      <c r="B8" s="6" t="n"/>
      <c r="C8" s="6" t="n"/>
      <c r="D8" s="6" t="n"/>
      <c r="E8" s="6" t="n"/>
      <c r="F8" s="6" t="n"/>
      <c r="G8" s="6" t="n"/>
      <c r="H8" s="6" t="n"/>
      <c r="I8" s="6" t="n"/>
      <c r="J8" s="6" t="inlineStr">
        <is>
          <t>SUBTOTAL (DETAILS)</t>
        </is>
      </c>
      <c r="K8" s="6" t="n"/>
      <c r="L8" s="6" t="n"/>
      <c r="M8" s="6" t="n"/>
      <c r="N8" s="6" t="n"/>
      <c r="O8" s="6" t="n"/>
      <c r="P8" s="7">
        <f>SUM(P2:P6)-P7</f>
        <v/>
      </c>
      <c r="Q8" s="7">
        <f>SUM(Q2:Q6)-Q7</f>
        <v/>
      </c>
      <c r="R8" s="6" t="n"/>
      <c r="S8" s="6" t="n"/>
      <c r="T8" s="6" t="n"/>
      <c r="U8" s="6" t="n"/>
      <c r="V8" s="6" t="n"/>
      <c r="W8" s="6" t="n"/>
      <c r="X8" s="6" t="n"/>
      <c r="Y8" s="6" t="n"/>
      <c r="Z8" s="6" t="n"/>
      <c r="AA8" s="6" t="n"/>
      <c r="AB8" s="6" t="n"/>
      <c r="AC8" s="6" t="n"/>
      <c r="AD8" s="6" t="n"/>
      <c r="AE8" s="6" t="n"/>
      <c r="AF8" s="6" t="n"/>
      <c r="AG8" s="6" t="n"/>
      <c r="AH8" s="6" t="n"/>
      <c r="AI8" s="6" t="n"/>
      <c r="AJ8" s="6" t="n"/>
      <c r="AK8" s="6" t="n"/>
    </row>
    <row r="9">
      <c r="A9" s="8" t="n"/>
      <c r="B9" s="8" t="n"/>
      <c r="C9" s="8" t="n"/>
      <c r="D9" s="8" t="n"/>
      <c r="E9" s="8" t="n"/>
      <c r="F9" s="8" t="n"/>
      <c r="G9" s="8" t="n"/>
      <c r="H9" s="8" t="n"/>
      <c r="I9" s="8" t="n"/>
      <c r="J9" s="8" t="inlineStr">
        <is>
          <t>GROUP VERIFICATION</t>
        </is>
      </c>
      <c r="K9" s="8" t="n"/>
      <c r="L9" s="8" t="n"/>
      <c r="M9" s="8" t="n"/>
      <c r="N9" s="8" t="n"/>
      <c r="O9" s="8" t="n"/>
      <c r="P9" s="9">
        <f>P7-P8</f>
        <v/>
      </c>
      <c r="Q9" s="9">
        <f>Q7-Q8</f>
        <v/>
      </c>
      <c r="R9" s="8" t="n"/>
      <c r="S9" s="8" t="n"/>
      <c r="T9" s="8" t="n"/>
      <c r="U9" s="8" t="n"/>
      <c r="V9" s="8" t="n"/>
      <c r="W9" s="8" t="n"/>
      <c r="X9" s="8" t="n"/>
      <c r="Y9" s="8" t="n"/>
      <c r="Z9" s="8" t="n"/>
      <c r="AA9" s="8" t="n"/>
      <c r="AB9" s="8" t="n"/>
      <c r="AC9" s="8" t="n"/>
      <c r="AD9" s="8" t="n"/>
      <c r="AE9" s="8" t="n"/>
      <c r="AF9" s="8" t="n"/>
      <c r="AG9" s="8" t="n"/>
      <c r="AH9" s="8" t="n"/>
      <c r="AI9" s="8" t="n"/>
      <c r="AJ9" s="8" t="n"/>
      <c r="AK9" s="8" t="n"/>
    </row>
    <row r="10"/>
    <row r="11">
      <c r="A11" s="6" t="n"/>
      <c r="B11" s="6" t="n"/>
      <c r="C11" s="6" t="n"/>
      <c r="D11" s="6" t="n"/>
      <c r="E11" s="6" t="n"/>
      <c r="F11" s="6" t="n"/>
      <c r="G11" s="6" t="n"/>
      <c r="H11" s="6" t="n"/>
      <c r="I11" s="6" t="n"/>
      <c r="J11" s="6" t="inlineStr">
        <is>
          <t>TOTAL INTERNAL FREIGHT</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TOTAL INSURANCE</t>
        </is>
      </c>
      <c r="K12" s="6" t="n"/>
      <c r="L12" s="6" t="n"/>
      <c r="M12" s="6" t="n"/>
      <c r="N12" s="6" t="n"/>
      <c r="O12" s="6" t="n"/>
      <c r="P12" s="7" t="n">
        <v>0</v>
      </c>
      <c r="Q12" s="7" t="n"/>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c r="A13" s="6" t="n"/>
      <c r="B13" s="6" t="n"/>
      <c r="C13" s="6" t="n"/>
      <c r="D13" s="6" t="n"/>
      <c r="E13" s="6" t="n"/>
      <c r="F13" s="6" t="n"/>
      <c r="G13" s="6" t="n"/>
      <c r="H13" s="6" t="n"/>
      <c r="I13" s="6" t="n"/>
      <c r="J13" s="6" t="inlineStr">
        <is>
          <t>TOTAL OTHER COST</t>
        </is>
      </c>
      <c r="K13" s="6" t="n"/>
      <c r="L13" s="6" t="n"/>
      <c r="M13" s="6" t="n"/>
      <c r="N13" s="6" t="n"/>
      <c r="O13" s="6" t="n"/>
      <c r="P13" s="7" t="n">
        <v>0</v>
      </c>
      <c r="Q13" s="7" t="n"/>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c r="A14" s="6" t="n"/>
      <c r="B14" s="6" t="n"/>
      <c r="C14" s="6" t="n"/>
      <c r="D14" s="6" t="n"/>
      <c r="E14" s="6" t="n"/>
      <c r="F14" s="6" t="n"/>
      <c r="G14" s="6" t="n"/>
      <c r="H14" s="6" t="n"/>
      <c r="I14" s="6" t="n"/>
      <c r="J14" s="6" t="inlineStr">
        <is>
          <t>TOTAL DEDUCTION</t>
        </is>
      </c>
      <c r="K14" s="6" t="n"/>
      <c r="L14" s="6" t="n"/>
      <c r="M14" s="6" t="n"/>
      <c r="N14" s="6" t="n"/>
      <c r="O14" s="6" t="n"/>
      <c r="P14" s="7" t="n">
        <v>0</v>
      </c>
      <c r="Q14" s="7" t="n"/>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ADJUSTMENTS</t>
        </is>
      </c>
      <c r="K15" s="6" t="n"/>
      <c r="L15" s="6" t="n"/>
      <c r="M15" s="6" t="n"/>
      <c r="N15" s="6" t="n"/>
      <c r="O15" s="6" t="n"/>
      <c r="P15" s="7">
        <f>(T2+U2+V2-W2)</f>
        <v/>
      </c>
      <c r="Q15" s="7">
        <f>(T2+U2+V2-W2)</f>
        <v/>
      </c>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row r="17">
      <c r="A17" s="6" t="n"/>
      <c r="B17" s="6" t="n"/>
      <c r="C17" s="6" t="n"/>
      <c r="D17" s="6" t="n"/>
      <c r="E17" s="6" t="n"/>
      <c r="F17" s="6" t="n"/>
      <c r="G17" s="6" t="n"/>
      <c r="H17" s="6" t="n"/>
      <c r="I17" s="6" t="n"/>
      <c r="J17" s="6" t="inlineStr">
        <is>
          <t>NET TOTAL</t>
        </is>
      </c>
      <c r="K17" s="6" t="n"/>
      <c r="L17" s="6" t="n"/>
      <c r="M17" s="6" t="n"/>
      <c r="N17" s="6" t="n"/>
      <c r="O17" s="6" t="n"/>
      <c r="P17" s="7">
        <f>P7+P15</f>
        <v/>
      </c>
      <c r="Q17" s="7">
        <f>Q7+Q15</f>
        <v/>
      </c>
      <c r="R17" s="6" t="n"/>
      <c r="S17" s="6" t="n"/>
      <c r="T17" s="6" t="n"/>
      <c r="U17" s="6" t="n"/>
      <c r="V17" s="6" t="n"/>
      <c r="W17" s="6" t="n"/>
      <c r="X17" s="6" t="n"/>
      <c r="Y17" s="6" t="n"/>
      <c r="Z17" s="6" t="n"/>
      <c r="AA17" s="6" t="n"/>
      <c r="AB17" s="6" t="n"/>
      <c r="AC17" s="6" t="n"/>
      <c r="AD17" s="6" t="n"/>
      <c r="AE17" s="6" t="n"/>
      <c r="AF17" s="6" t="n"/>
      <c r="AG17" s="6" t="n"/>
      <c r="AH17" s="6" t="n"/>
      <c r="AI17" s="6" t="n"/>
      <c r="AJ17" s="6" t="n"/>
      <c r="AK17" s="6" t="n"/>
    </row>
    <row r="18">
      <c r="A18" s="6" t="n"/>
      <c r="B18" s="6" t="n"/>
      <c r="C18" s="6" t="n"/>
      <c r="D18" s="6" t="n"/>
      <c r="E18" s="6" t="n"/>
      <c r="F18" s="6" t="n"/>
      <c r="G18" s="6" t="n"/>
      <c r="H18" s="6" t="n"/>
      <c r="I18" s="6" t="n"/>
      <c r="J18" s="6" t="inlineStr">
        <is>
          <t>INVOICE TOTAL</t>
        </is>
      </c>
      <c r="K18" s="6" t="n"/>
      <c r="L18" s="6" t="n"/>
      <c r="M18" s="6" t="n"/>
      <c r="N18" s="6" t="n"/>
      <c r="O18" s="6" t="n"/>
      <c r="P18" s="7">
        <f>S2</f>
        <v/>
      </c>
      <c r="Q18" s="7" t="n"/>
      <c r="R18" s="6" t="n"/>
      <c r="S18" s="6" t="n"/>
      <c r="T18" s="6" t="n"/>
      <c r="U18" s="6" t="n"/>
      <c r="V18" s="6" t="n"/>
      <c r="W18" s="6" t="n"/>
      <c r="X18" s="6" t="n"/>
      <c r="Y18" s="6" t="n"/>
      <c r="Z18" s="6" t="n"/>
      <c r="AA18" s="6" t="n"/>
      <c r="AB18" s="6" t="n"/>
      <c r="AC18" s="6" t="n"/>
      <c r="AD18" s="6" t="n"/>
      <c r="AE18" s="6" t="n"/>
      <c r="AF18" s="6" t="n"/>
      <c r="AG18" s="6" t="n"/>
      <c r="AH18" s="6" t="n"/>
      <c r="AI18" s="6" t="n"/>
      <c r="AJ18" s="6" t="n"/>
      <c r="AK18" s="6" t="n"/>
    </row>
    <row r="19"/>
    <row r="20">
      <c r="A20" s="10" t="n"/>
      <c r="B20" s="10" t="n"/>
      <c r="C20" s="10" t="n"/>
      <c r="D20" s="10" t="n"/>
      <c r="E20" s="10" t="n"/>
      <c r="F20" s="10" t="n"/>
      <c r="G20" s="10" t="n"/>
      <c r="H20" s="10" t="n"/>
      <c r="I20" s="10" t="n"/>
      <c r="J20" s="10" t="inlineStr">
        <is>
          <t>VARIANCE CHECK</t>
        </is>
      </c>
      <c r="K20" s="10" t="n"/>
      <c r="L20" s="10" t="n"/>
      <c r="M20" s="10" t="n"/>
      <c r="N20" s="10" t="n"/>
      <c r="O20" s="10" t="n"/>
      <c r="P20" s="11">
        <f>S2-P17</f>
        <v/>
      </c>
      <c r="Q20" s="11">
        <f>S2-Q17</f>
        <v/>
      </c>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row>
    <row r="21"/>
    <row r="22">
      <c r="A22" s="12" t="n"/>
      <c r="B22" s="12" t="n"/>
      <c r="C22" s="12" t="n"/>
      <c r="D22" s="12" t="n"/>
      <c r="E22" s="12" t="n"/>
      <c r="F22" s="12" t="n"/>
      <c r="G22" s="12" t="n"/>
      <c r="H22" s="12" t="n"/>
      <c r="I22" s="12" t="n"/>
      <c r="J22" s="13" t="inlineStr">
        <is>
          <t>INVOICE NOTES: Invoice total uncertain</t>
        </is>
      </c>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row>
    <row r="23"/>
    <row r="24">
      <c r="A24" s="14" t="n"/>
      <c r="B24" s="14" t="n"/>
      <c r="C24" s="14" t="n"/>
      <c r="D24" s="14" t="n"/>
      <c r="E24" s="14" t="n"/>
      <c r="F24" s="14" t="n"/>
      <c r="G24" s="14" t="n"/>
      <c r="H24" s="14" t="n"/>
      <c r="I24" s="14" t="n"/>
      <c r="J24" s="14" t="inlineStr">
        <is>
          <t>DUTY ESTIMATION (Classification Cross-Check)</t>
        </is>
      </c>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row>
    <row r="25">
      <c r="A25" s="15" t="n"/>
      <c r="B25" s="15" t="n"/>
      <c r="C25" s="15" t="n"/>
      <c r="D25" s="15" t="n"/>
      <c r="E25" s="15" t="n"/>
      <c r="F25" s="15" t="n"/>
      <c r="G25" s="15" t="n"/>
      <c r="H25" s="15" t="n"/>
      <c r="I25" s="15" t="n"/>
      <c r="J25" s="16" t="inlineStr">
        <is>
          <t>CIF (USD) = InvTotal + Freight + Insurance</t>
        </is>
      </c>
      <c r="K25" s="15" t="n"/>
      <c r="L25" s="15" t="n"/>
      <c r="M25" s="15" t="n"/>
      <c r="N25" s="15" t="n"/>
      <c r="O25" s="15" t="n"/>
      <c r="P25" s="17" t="n">
        <v>17.76</v>
      </c>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row>
    <row r="26">
      <c r="A26" s="15" t="n"/>
      <c r="B26" s="15" t="n"/>
      <c r="C26" s="15" t="n"/>
      <c r="D26" s="15" t="n"/>
      <c r="E26" s="15" t="n"/>
      <c r="F26" s="15" t="n"/>
      <c r="G26" s="15" t="n"/>
      <c r="H26" s="15" t="n"/>
      <c r="I26" s="15" t="n"/>
      <c r="J26" s="16" t="inlineStr">
        <is>
          <t>CIF (XCD) = CIF × 2.7169</t>
        </is>
      </c>
      <c r="K26" s="15" t="n"/>
      <c r="L26" s="15" t="n"/>
      <c r="M26" s="15" t="n"/>
      <c r="N26" s="15" t="n"/>
      <c r="O26" s="15" t="n"/>
      <c r="P26" s="17" t="n">
        <v>48.25</v>
      </c>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row>
    <row r="27">
      <c r="A27" s="15" t="n"/>
      <c r="B27" s="15" t="n"/>
      <c r="C27" s="15" t="n"/>
      <c r="D27" s="15" t="n"/>
      <c r="E27" s="15" t="n"/>
      <c r="F27" s="15" t="n"/>
      <c r="G27" s="15" t="n"/>
      <c r="H27" s="15" t="n"/>
      <c r="I27" s="15" t="n"/>
      <c r="J27" s="16" t="inlineStr">
        <is>
          <t>CET (20%) — Tariff 00000000</t>
        </is>
      </c>
      <c r="K27" s="15" t="n"/>
      <c r="L27" s="15" t="n"/>
      <c r="M27" s="15" t="n"/>
      <c r="N27" s="15" t="n"/>
      <c r="O27" s="15" t="n"/>
      <c r="P27" s="17" t="n">
        <v>9.65</v>
      </c>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row>
    <row r="28">
      <c r="A28" s="15" t="n"/>
      <c r="B28" s="15" t="n"/>
      <c r="C28" s="15" t="n"/>
      <c r="D28" s="15" t="n"/>
      <c r="E28" s="15" t="n"/>
      <c r="F28" s="15" t="n"/>
      <c r="G28" s="15" t="n"/>
      <c r="H28" s="15" t="n"/>
      <c r="I28" s="15" t="n"/>
      <c r="J28" s="16" t="inlineStr">
        <is>
          <t>CSC (6%)</t>
        </is>
      </c>
      <c r="K28" s="15" t="n"/>
      <c r="L28" s="15" t="n"/>
      <c r="M28" s="15" t="n"/>
      <c r="N28" s="15" t="n"/>
      <c r="O28" s="15" t="n"/>
      <c r="P28" s="17" t="n">
        <v>2.9</v>
      </c>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row>
    <row r="29">
      <c r="A29" s="15" t="n"/>
      <c r="B29" s="15" t="n"/>
      <c r="C29" s="15" t="n"/>
      <c r="D29" s="15" t="n"/>
      <c r="E29" s="15" t="n"/>
      <c r="F29" s="15" t="n"/>
      <c r="G29" s="15" t="n"/>
      <c r="H29" s="15" t="n"/>
      <c r="I29" s="15" t="n"/>
      <c r="J29" s="16" t="inlineStr">
        <is>
          <t>VAT (15%) on CIF+CET+CSC</t>
        </is>
      </c>
      <c r="K29" s="15" t="n"/>
      <c r="L29" s="15" t="n"/>
      <c r="M29" s="15" t="n"/>
      <c r="N29" s="15" t="n"/>
      <c r="O29" s="15" t="n"/>
      <c r="P29" s="17" t="n">
        <v>9.119999999999999</v>
      </c>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row>
    <row r="30">
      <c r="A30" s="18" t="n"/>
      <c r="B30" s="18" t="n"/>
      <c r="C30" s="18" t="n"/>
      <c r="D30" s="18" t="n"/>
      <c r="E30" s="18" t="n"/>
      <c r="F30" s="18" t="n"/>
      <c r="G30" s="18" t="n"/>
      <c r="H30" s="18" t="n"/>
      <c r="I30" s="18" t="n"/>
      <c r="J30" s="14" t="inlineStr">
        <is>
          <t>ESTIMATED TOTAL DUTIES</t>
        </is>
      </c>
      <c r="K30" s="18" t="n"/>
      <c r="L30" s="18" t="n"/>
      <c r="M30" s="18" t="n"/>
      <c r="N30" s="18" t="n"/>
      <c r="O30" s="18" t="n"/>
      <c r="P30" s="19" t="n">
        <v>21.67</v>
      </c>
      <c r="Q30" s="18" t="n"/>
      <c r="R30" s="18" t="n"/>
      <c r="S30" s="18" t="n"/>
      <c r="T30" s="18" t="n"/>
      <c r="U30" s="18" t="n"/>
      <c r="V30" s="18" t="n"/>
      <c r="W30" s="18" t="n"/>
      <c r="X30" s="18" t="n"/>
      <c r="Y30" s="18" t="n"/>
      <c r="Z30" s="18" t="n"/>
      <c r="AA30" s="18" t="n"/>
      <c r="AB30" s="18" t="n"/>
      <c r="AC30" s="18" t="n"/>
      <c r="AD30" s="18" t="n"/>
      <c r="AE30" s="18" t="n"/>
      <c r="AF30" s="18" t="n"/>
      <c r="AG30" s="18" t="n"/>
      <c r="AH30" s="18" t="n"/>
      <c r="AI30" s="18" t="n"/>
      <c r="AJ30" s="18" t="n"/>
      <c r="AK30" s="18" t="n"/>
    </row>
    <row r="31">
      <c r="A31" s="15" t="n"/>
      <c r="B31" s="15" t="n"/>
      <c r="C31" s="15" t="n"/>
      <c r="D31" s="15" t="n"/>
      <c r="E31" s="15" t="n"/>
      <c r="F31" s="15" t="n"/>
      <c r="G31" s="15" t="n"/>
      <c r="H31" s="15" t="n"/>
      <c r="I31" s="15" t="n"/>
      <c r="J31" s="16" t="inlineStr">
        <is>
          <t>Effective Duty Rate</t>
        </is>
      </c>
      <c r="K31" s="15" t="n"/>
      <c r="L31" s="15" t="n"/>
      <c r="M31" s="15" t="n"/>
      <c r="N31" s="15" t="n"/>
      <c r="O31" s="15" t="n"/>
      <c r="P31" s="20" t="n">
        <v>0.449119170984456</v>
      </c>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row>
    <row r="33">
      <c r="A33" s="2" t="inlineStr">
        <is>
          <t>4000-000</t>
        </is>
      </c>
      <c r="B33" s="2" t="n"/>
      <c r="C33" s="2" t="inlineStr">
        <is>
          <t>06-11830-29458</t>
        </is>
      </c>
      <c r="D33" s="2" t="inlineStr">
        <is>
          <t>2024-07-16</t>
        </is>
      </c>
      <c r="E33" s="2" t="inlineStr">
        <is>
          <t>PRODUCTS</t>
        </is>
      </c>
      <c r="F33" s="2" t="inlineStr">
        <is>
          <t>00000000</t>
        </is>
      </c>
      <c r="G33" s="2" t="n"/>
      <c r="H33" s="2" t="n"/>
      <c r="I33" s="2" t="inlineStr">
        <is>
          <t>00000000</t>
        </is>
      </c>
      <c r="J33" s="2" t="inlineStr">
        <is>
          <t>ebay Seller  lucascountycars Whitney Andrew 10813 NW 30th st BLDG 115 GRE 254... (+2 more) (3 items)</t>
        </is>
      </c>
      <c r="K33" s="2" t="n">
        <v>3</v>
      </c>
      <c r="L33" s="2" t="n"/>
      <c r="M33" s="2" t="n"/>
      <c r="N33" s="2" t="inlineStr">
        <is>
          <t>USD</t>
        </is>
      </c>
      <c r="O33" s="3" t="n">
        <v>15.24</v>
      </c>
      <c r="P33" s="3" t="n">
        <v>45.72</v>
      </c>
      <c r="Q33" s="3">
        <f>O33*K33</f>
        <v/>
      </c>
      <c r="R33" s="3">
        <f>P33-Q33</f>
        <v/>
      </c>
      <c r="S33" s="3" t="n">
        <v>48.92</v>
      </c>
      <c r="T33" s="3" t="n">
        <v>0</v>
      </c>
      <c r="U33" s="3" t="n">
        <v>0</v>
      </c>
      <c r="V33" s="3" t="n">
        <v>3.2</v>
      </c>
      <c r="W33" s="3" t="n">
        <v>0</v>
      </c>
      <c r="X33" s="2" t="n">
        <v>1</v>
      </c>
      <c r="Y33" s="2" t="n"/>
      <c r="Z33" s="2" t="inlineStr">
        <is>
          <t>EBAY</t>
        </is>
      </c>
      <c r="AA33" s="2" t="inlineStr">
        <is>
          <t>eBay</t>
        </is>
      </c>
      <c r="AB33" s="2" t="inlineStr">
        <is>
          <t>2025 Hamilton Avenue, San Jose, CA 95125</t>
        </is>
      </c>
      <c r="AC33" s="2" t="inlineStr">
        <is>
          <t>US</t>
        </is>
      </c>
      <c r="AD33" s="2" t="n"/>
      <c r="AE33" s="2" t="n"/>
      <c r="AF33" s="2" t="n"/>
      <c r="AG33" s="2" t="n"/>
      <c r="AH33" s="2" t="n"/>
      <c r="AI33" s="2" t="n"/>
      <c r="AJ33" s="2" t="n"/>
      <c r="AK33" s="2" t="inlineStr">
        <is>
          <t>00000000</t>
        </is>
      </c>
    </row>
    <row r="34">
      <c r="A34" s="4" t="n"/>
      <c r="B34" s="4" t="n"/>
      <c r="C34" s="4" t="n"/>
      <c r="D34" s="4" t="n"/>
      <c r="E34" s="4" t="n"/>
      <c r="F34" s="4" t="inlineStr">
        <is>
          <t>00000000</t>
        </is>
      </c>
      <c r="G34" s="4" t="n"/>
      <c r="H34" s="4" t="n"/>
      <c r="I34" s="4" t="inlineStr">
        <is>
          <t>EBAY-1</t>
        </is>
      </c>
      <c r="J34" s="4" t="inlineStr">
        <is>
          <t>ebay Seller  lucascountycars Whitney Andrew 10813 NW 30th st BLDG 115 GRE 254...</t>
        </is>
      </c>
      <c r="K34" s="4" t="n">
        <v>1</v>
      </c>
      <c r="L34" s="4" t="n"/>
      <c r="M34" s="4" t="n"/>
      <c r="N34" s="4" t="inlineStr">
        <is>
          <t>USD</t>
        </is>
      </c>
      <c r="O34" s="5" t="n">
        <v>5.72</v>
      </c>
      <c r="P34" s="5" t="n">
        <v>5.72</v>
      </c>
      <c r="Q34" s="5">
        <f>O34*K34</f>
        <v/>
      </c>
      <c r="R34" s="5">
        <f>P34-Q34</f>
        <v/>
      </c>
      <c r="S34" s="4" t="n"/>
      <c r="T34" s="4" t="n"/>
      <c r="U34" s="4" t="n"/>
      <c r="V34" s="4" t="n"/>
      <c r="W34" s="4" t="n"/>
      <c r="X34" s="4" t="n"/>
      <c r="Y34" s="4" t="n"/>
      <c r="Z34" s="4" t="n"/>
      <c r="AA34" s="4" t="n"/>
      <c r="AB34" s="4" t="n"/>
      <c r="AC34" s="4" t="n"/>
      <c r="AD34" s="4" t="n"/>
      <c r="AE34" s="4" t="n"/>
      <c r="AF34" s="4" t="n"/>
      <c r="AG34" s="4" t="n"/>
      <c r="AH34" s="4" t="n"/>
      <c r="AI34" s="4" t="n"/>
      <c r="AJ34" s="4" t="n"/>
      <c r="AK34" s="4" t="n"/>
    </row>
    <row r="35">
      <c r="A35" s="4" t="n"/>
      <c r="B35" s="4" t="n"/>
      <c r="C35" s="4" t="n"/>
      <c r="D35" s="4" t="n"/>
      <c r="E35" s="4" t="n"/>
      <c r="F35" s="4" t="inlineStr">
        <is>
          <t>00000000</t>
        </is>
      </c>
      <c r="G35" s="4" t="n"/>
      <c r="H35" s="4" t="n"/>
      <c r="I35" s="4" t="inlineStr">
        <is>
          <t>EBAY-2</t>
        </is>
      </c>
      <c r="J35" s="4" t="inlineStr">
        <is>
          <t>Shipping  Free Tax*</t>
        </is>
      </c>
      <c r="K35" s="4" t="n">
        <v>1</v>
      </c>
      <c r="L35" s="4" t="n"/>
      <c r="M35" s="4" t="n"/>
      <c r="N35" s="4" t="inlineStr">
        <is>
          <t>USD</t>
        </is>
      </c>
      <c r="O35" s="5" t="n">
        <v>3.2</v>
      </c>
      <c r="P35" s="5" t="n">
        <v>3.2</v>
      </c>
      <c r="Q35" s="5">
        <f>O35*K35</f>
        <v/>
      </c>
      <c r="R35" s="5">
        <f>P35-Q35</f>
        <v/>
      </c>
      <c r="S35" s="4" t="n"/>
      <c r="T35" s="4" t="n"/>
      <c r="U35" s="4" t="n"/>
      <c r="V35" s="4" t="n"/>
      <c r="W35" s="4" t="n"/>
      <c r="X35" s="4" t="n"/>
      <c r="Y35" s="4" t="n"/>
      <c r="Z35" s="4" t="n"/>
      <c r="AA35" s="4" t="n"/>
      <c r="AB35" s="4" t="n"/>
      <c r="AC35" s="4" t="n"/>
      <c r="AD35" s="4" t="n"/>
      <c r="AE35" s="4" t="n"/>
      <c r="AF35" s="4" t="n"/>
      <c r="AG35" s="4" t="n"/>
      <c r="AH35" s="4" t="n"/>
      <c r="AI35" s="4" t="n"/>
      <c r="AJ35" s="4" t="n"/>
      <c r="AK35" s="4" t="n"/>
    </row>
    <row r="36">
      <c r="A36" s="4" t="n"/>
      <c r="B36" s="4" t="n"/>
      <c r="C36" s="4" t="n"/>
      <c r="D36" s="4" t="n"/>
      <c r="E36" s="4" t="n"/>
      <c r="F36" s="4" t="inlineStr">
        <is>
          <t>00000000</t>
        </is>
      </c>
      <c r="G36" s="4" t="n"/>
      <c r="H36" s="4" t="n"/>
      <c r="I36" s="4" t="inlineStr">
        <is>
          <t>EBAY-3</t>
        </is>
      </c>
      <c r="J36" s="4" t="inlineStr">
        <is>
          <t>*We're required by law to collect sales tax and applicable fees for certain t...</t>
        </is>
      </c>
      <c r="K36" s="4" t="n">
        <v>1</v>
      </c>
      <c r="L36" s="4" t="n"/>
      <c r="M36" s="4" t="n"/>
      <c r="N36" s="4" t="inlineStr">
        <is>
          <t>USD</t>
        </is>
      </c>
      <c r="O36" s="5" t="n">
        <v>36.8</v>
      </c>
      <c r="P36" s="5" t="n">
        <v>36.8</v>
      </c>
      <c r="Q36" s="5">
        <f>O36*K36</f>
        <v/>
      </c>
      <c r="R36" s="5">
        <f>P36-Q36</f>
        <v/>
      </c>
      <c r="S36" s="4" t="n"/>
      <c r="T36" s="4" t="n"/>
      <c r="U36" s="4" t="n"/>
      <c r="V36" s="4" t="n"/>
      <c r="W36" s="4" t="n"/>
      <c r="X36" s="4" t="n"/>
      <c r="Y36" s="4" t="n"/>
      <c r="Z36" s="4" t="n"/>
      <c r="AA36" s="4" t="n"/>
      <c r="AB36" s="4" t="n"/>
      <c r="AC36" s="4" t="n"/>
      <c r="AD36" s="4" t="n"/>
      <c r="AE36" s="4" t="n"/>
      <c r="AF36" s="4" t="n"/>
      <c r="AG36" s="4" t="n"/>
      <c r="AH36" s="4" t="n"/>
      <c r="AI36" s="4" t="n"/>
      <c r="AJ36" s="4" t="n"/>
      <c r="AK36" s="4" t="n"/>
    </row>
    <row r="37">
      <c r="A37" s="6" t="n"/>
      <c r="B37" s="6" t="n"/>
      <c r="C37" s="6" t="n"/>
      <c r="D37" s="6" t="n"/>
      <c r="E37" s="6" t="n"/>
      <c r="F37" s="6" t="n"/>
      <c r="G37" s="6" t="n"/>
      <c r="H37" s="6" t="n"/>
      <c r="I37" s="6" t="n"/>
      <c r="J37" s="6" t="inlineStr">
        <is>
          <t>SUBTOTAL (GROUPED)</t>
        </is>
      </c>
      <c r="K37" s="6" t="n"/>
      <c r="L37" s="6" t="n"/>
      <c r="M37" s="6" t="n"/>
      <c r="N37" s="6" t="n"/>
      <c r="O37" s="6" t="n"/>
      <c r="P37" s="7">
        <f>P33</f>
        <v/>
      </c>
      <c r="Q37" s="7">
        <f>Q33</f>
        <v/>
      </c>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SUBTOTAL (DETAILS)</t>
        </is>
      </c>
      <c r="K38" s="6" t="n"/>
      <c r="L38" s="6" t="n"/>
      <c r="M38" s="6" t="n"/>
      <c r="N38" s="6" t="n"/>
      <c r="O38" s="6" t="n"/>
      <c r="P38" s="7">
        <f>SUM(P33:P36)-P37</f>
        <v/>
      </c>
      <c r="Q38" s="7">
        <f>SUM(Q33:Q36)-Q37</f>
        <v/>
      </c>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c r="A39" s="8" t="n"/>
      <c r="B39" s="8" t="n"/>
      <c r="C39" s="8" t="n"/>
      <c r="D39" s="8" t="n"/>
      <c r="E39" s="8" t="n"/>
      <c r="F39" s="8" t="n"/>
      <c r="G39" s="8" t="n"/>
      <c r="H39" s="8" t="n"/>
      <c r="I39" s="8" t="n"/>
      <c r="J39" s="8" t="inlineStr">
        <is>
          <t>GROUP VERIFICATION</t>
        </is>
      </c>
      <c r="K39" s="8" t="n"/>
      <c r="L39" s="8" t="n"/>
      <c r="M39" s="8" t="n"/>
      <c r="N39" s="8" t="n"/>
      <c r="O39" s="8" t="n"/>
      <c r="P39" s="9">
        <f>P37-P38</f>
        <v/>
      </c>
      <c r="Q39" s="9">
        <f>Q37-Q38</f>
        <v/>
      </c>
      <c r="R39" s="8" t="n"/>
      <c r="S39" s="8" t="n"/>
      <c r="T39" s="8" t="n"/>
      <c r="U39" s="8" t="n"/>
      <c r="V39" s="8" t="n"/>
      <c r="W39" s="8" t="n"/>
      <c r="X39" s="8" t="n"/>
      <c r="Y39" s="8" t="n"/>
      <c r="Z39" s="8" t="n"/>
      <c r="AA39" s="8" t="n"/>
      <c r="AB39" s="8" t="n"/>
      <c r="AC39" s="8" t="n"/>
      <c r="AD39" s="8" t="n"/>
      <c r="AE39" s="8" t="n"/>
      <c r="AF39" s="8" t="n"/>
      <c r="AG39" s="8" t="n"/>
      <c r="AH39" s="8" t="n"/>
      <c r="AI39" s="8" t="n"/>
      <c r="AJ39" s="8" t="n"/>
      <c r="AK39" s="8" t="n"/>
    </row>
    <row r="40"/>
    <row r="41">
      <c r="A41" s="6" t="n"/>
      <c r="B41" s="6" t="n"/>
      <c r="C41" s="6" t="n"/>
      <c r="D41" s="6" t="n"/>
      <c r="E41" s="6" t="n"/>
      <c r="F41" s="6" t="n"/>
      <c r="G41" s="6" t="n"/>
      <c r="H41" s="6" t="n"/>
      <c r="I41" s="6" t="n"/>
      <c r="J41" s="6" t="inlineStr">
        <is>
          <t>TOTAL INTERNAL FREIGHT</t>
        </is>
      </c>
      <c r="K41" s="6" t="n"/>
      <c r="L41" s="6" t="n"/>
      <c r="M41" s="6" t="n"/>
      <c r="N41" s="6" t="n"/>
      <c r="O41" s="6" t="n"/>
      <c r="P41" s="7" t="n">
        <v>0</v>
      </c>
      <c r="Q41" s="7" t="n"/>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c r="A42" s="6" t="n"/>
      <c r="B42" s="6" t="n"/>
      <c r="C42" s="6" t="n"/>
      <c r="D42" s="6" t="n"/>
      <c r="E42" s="6" t="n"/>
      <c r="F42" s="6" t="n"/>
      <c r="G42" s="6" t="n"/>
      <c r="H42" s="6" t="n"/>
      <c r="I42" s="6" t="n"/>
      <c r="J42" s="6" t="inlineStr">
        <is>
          <t>TOTAL INSURANCE</t>
        </is>
      </c>
      <c r="K42" s="6" t="n"/>
      <c r="L42" s="6" t="n"/>
      <c r="M42" s="6" t="n"/>
      <c r="N42" s="6" t="n"/>
      <c r="O42" s="6" t="n"/>
      <c r="P42" s="7" t="n">
        <v>0</v>
      </c>
      <c r="Q42" s="7" t="n"/>
      <c r="R42" s="6" t="n"/>
      <c r="S42" s="6" t="n"/>
      <c r="T42" s="6" t="n"/>
      <c r="U42" s="6" t="n"/>
      <c r="V42" s="6" t="n"/>
      <c r="W42" s="6" t="n"/>
      <c r="X42" s="6" t="n"/>
      <c r="Y42" s="6" t="n"/>
      <c r="Z42" s="6" t="n"/>
      <c r="AA42" s="6" t="n"/>
      <c r="AB42" s="6" t="n"/>
      <c r="AC42" s="6" t="n"/>
      <c r="AD42" s="6" t="n"/>
      <c r="AE42" s="6" t="n"/>
      <c r="AF42" s="6" t="n"/>
      <c r="AG42" s="6" t="n"/>
      <c r="AH42" s="6" t="n"/>
      <c r="AI42" s="6" t="n"/>
      <c r="AJ42" s="6" t="n"/>
      <c r="AK42" s="6" t="n"/>
    </row>
    <row r="43">
      <c r="A43" s="6" t="n"/>
      <c r="B43" s="6" t="n"/>
      <c r="C43" s="6" t="n"/>
      <c r="D43" s="6" t="n"/>
      <c r="E43" s="6" t="n"/>
      <c r="F43" s="6" t="n"/>
      <c r="G43" s="6" t="n"/>
      <c r="H43" s="6" t="n"/>
      <c r="I43" s="6" t="n"/>
      <c r="J43" s="6" t="inlineStr">
        <is>
          <t>TOTAL OTHER COST</t>
        </is>
      </c>
      <c r="K43" s="6" t="n"/>
      <c r="L43" s="6" t="n"/>
      <c r="M43" s="6" t="n"/>
      <c r="N43" s="6" t="n"/>
      <c r="O43" s="6" t="n"/>
      <c r="P43" s="7" t="n">
        <v>3.2</v>
      </c>
      <c r="Q43" s="7" t="n"/>
      <c r="R43" s="6" t="n"/>
      <c r="S43" s="6" t="n"/>
      <c r="T43" s="6" t="n"/>
      <c r="U43" s="6" t="n"/>
      <c r="V43" s="6" t="n"/>
      <c r="W43" s="6" t="n"/>
      <c r="X43" s="6" t="n"/>
      <c r="Y43" s="6" t="n"/>
      <c r="Z43" s="6" t="n"/>
      <c r="AA43" s="6" t="n"/>
      <c r="AB43" s="6" t="n"/>
      <c r="AC43" s="6" t="n"/>
      <c r="AD43" s="6" t="n"/>
      <c r="AE43" s="6" t="n"/>
      <c r="AF43" s="6" t="n"/>
      <c r="AG43" s="6" t="n"/>
      <c r="AH43" s="6" t="n"/>
      <c r="AI43" s="6" t="n"/>
      <c r="AJ43" s="6" t="n"/>
      <c r="AK43" s="6" t="n"/>
    </row>
    <row r="44">
      <c r="A44" s="6" t="n"/>
      <c r="B44" s="6" t="n"/>
      <c r="C44" s="6" t="n"/>
      <c r="D44" s="6" t="n"/>
      <c r="E44" s="6" t="n"/>
      <c r="F44" s="6" t="n"/>
      <c r="G44" s="6" t="n"/>
      <c r="H44" s="6" t="n"/>
      <c r="I44" s="6" t="n"/>
      <c r="J44" s="6" t="inlineStr">
        <is>
          <t>TOTAL DEDUCTION</t>
        </is>
      </c>
      <c r="K44" s="6" t="n"/>
      <c r="L44" s="6" t="n"/>
      <c r="M44" s="6" t="n"/>
      <c r="N44" s="6" t="n"/>
      <c r="O44" s="6" t="n"/>
      <c r="P44" s="7" t="n">
        <v>0</v>
      </c>
      <c r="Q44" s="7" t="n"/>
      <c r="R44" s="6" t="n"/>
      <c r="S44" s="6" t="n"/>
      <c r="T44" s="6" t="n"/>
      <c r="U44" s="6" t="n"/>
      <c r="V44" s="6" t="n"/>
      <c r="W44" s="6" t="n"/>
      <c r="X44" s="6" t="n"/>
      <c r="Y44" s="6" t="n"/>
      <c r="Z44" s="6" t="n"/>
      <c r="AA44" s="6" t="n"/>
      <c r="AB44" s="6" t="n"/>
      <c r="AC44" s="6" t="n"/>
      <c r="AD44" s="6" t="n"/>
      <c r="AE44" s="6" t="n"/>
      <c r="AF44" s="6" t="n"/>
      <c r="AG44" s="6" t="n"/>
      <c r="AH44" s="6" t="n"/>
      <c r="AI44" s="6" t="n"/>
      <c r="AJ44" s="6" t="n"/>
      <c r="AK44" s="6" t="n"/>
    </row>
    <row r="45">
      <c r="A45" s="6" t="n"/>
      <c r="B45" s="6" t="n"/>
      <c r="C45" s="6" t="n"/>
      <c r="D45" s="6" t="n"/>
      <c r="E45" s="6" t="n"/>
      <c r="F45" s="6" t="n"/>
      <c r="G45" s="6" t="n"/>
      <c r="H45" s="6" t="n"/>
      <c r="I45" s="6" t="n"/>
      <c r="J45" s="6" t="inlineStr">
        <is>
          <t>ADJUSTMENTS</t>
        </is>
      </c>
      <c r="K45" s="6" t="n"/>
      <c r="L45" s="6" t="n"/>
      <c r="M45" s="6" t="n"/>
      <c r="N45" s="6" t="n"/>
      <c r="O45" s="6" t="n"/>
      <c r="P45" s="7">
        <f>(T33+U33+V33-W33)</f>
        <v/>
      </c>
      <c r="Q45" s="7">
        <f>(T33+U33+V33-W33)</f>
        <v/>
      </c>
      <c r="R45" s="6" t="n"/>
      <c r="S45" s="6" t="n"/>
      <c r="T45" s="6" t="n"/>
      <c r="U45" s="6" t="n"/>
      <c r="V45" s="6" t="n"/>
      <c r="W45" s="6" t="n"/>
      <c r="X45" s="6" t="n"/>
      <c r="Y45" s="6" t="n"/>
      <c r="Z45" s="6" t="n"/>
      <c r="AA45" s="6" t="n"/>
      <c r="AB45" s="6" t="n"/>
      <c r="AC45" s="6" t="n"/>
      <c r="AD45" s="6" t="n"/>
      <c r="AE45" s="6" t="n"/>
      <c r="AF45" s="6" t="n"/>
      <c r="AG45" s="6" t="n"/>
      <c r="AH45" s="6" t="n"/>
      <c r="AI45" s="6" t="n"/>
      <c r="AJ45" s="6" t="n"/>
      <c r="AK45" s="6" t="n"/>
    </row>
    <row r="46"/>
    <row r="47">
      <c r="A47" s="6" t="n"/>
      <c r="B47" s="6" t="n"/>
      <c r="C47" s="6" t="n"/>
      <c r="D47" s="6" t="n"/>
      <c r="E47" s="6" t="n"/>
      <c r="F47" s="6" t="n"/>
      <c r="G47" s="6" t="n"/>
      <c r="H47" s="6" t="n"/>
      <c r="I47" s="6" t="n"/>
      <c r="J47" s="6" t="inlineStr">
        <is>
          <t>NET TOTAL</t>
        </is>
      </c>
      <c r="K47" s="6" t="n"/>
      <c r="L47" s="6" t="n"/>
      <c r="M47" s="6" t="n"/>
      <c r="N47" s="6" t="n"/>
      <c r="O47" s="6" t="n"/>
      <c r="P47" s="7">
        <f>P37+P45</f>
        <v/>
      </c>
      <c r="Q47" s="7">
        <f>Q37+Q45</f>
        <v/>
      </c>
      <c r="R47" s="6" t="n"/>
      <c r="S47" s="6" t="n"/>
      <c r="T47" s="6" t="n"/>
      <c r="U47" s="6" t="n"/>
      <c r="V47" s="6" t="n"/>
      <c r="W47" s="6" t="n"/>
      <c r="X47" s="6" t="n"/>
      <c r="Y47" s="6" t="n"/>
      <c r="Z47" s="6" t="n"/>
      <c r="AA47" s="6" t="n"/>
      <c r="AB47" s="6" t="n"/>
      <c r="AC47" s="6" t="n"/>
      <c r="AD47" s="6" t="n"/>
      <c r="AE47" s="6" t="n"/>
      <c r="AF47" s="6" t="n"/>
      <c r="AG47" s="6" t="n"/>
      <c r="AH47" s="6" t="n"/>
      <c r="AI47" s="6" t="n"/>
      <c r="AJ47" s="6" t="n"/>
      <c r="AK47" s="6" t="n"/>
    </row>
    <row r="48">
      <c r="A48" s="6" t="n"/>
      <c r="B48" s="6" t="n"/>
      <c r="C48" s="6" t="n"/>
      <c r="D48" s="6" t="n"/>
      <c r="E48" s="6" t="n"/>
      <c r="F48" s="6" t="n"/>
      <c r="G48" s="6" t="n"/>
      <c r="H48" s="6" t="n"/>
      <c r="I48" s="6" t="n"/>
      <c r="J48" s="6" t="inlineStr">
        <is>
          <t>INVOICE TOTAL</t>
        </is>
      </c>
      <c r="K48" s="6" t="n"/>
      <c r="L48" s="6" t="n"/>
      <c r="M48" s="6" t="n"/>
      <c r="N48" s="6" t="n"/>
      <c r="O48" s="6" t="n"/>
      <c r="P48" s="7">
        <f>S33</f>
        <v/>
      </c>
      <c r="Q48" s="7" t="n"/>
      <c r="R48" s="6" t="n"/>
      <c r="S48" s="6" t="n"/>
      <c r="T48" s="6" t="n"/>
      <c r="U48" s="6" t="n"/>
      <c r="V48" s="6" t="n"/>
      <c r="W48" s="6" t="n"/>
      <c r="X48" s="6" t="n"/>
      <c r="Y48" s="6" t="n"/>
      <c r="Z48" s="6" t="n"/>
      <c r="AA48" s="6" t="n"/>
      <c r="AB48" s="6" t="n"/>
      <c r="AC48" s="6" t="n"/>
      <c r="AD48" s="6" t="n"/>
      <c r="AE48" s="6" t="n"/>
      <c r="AF48" s="6" t="n"/>
      <c r="AG48" s="6" t="n"/>
      <c r="AH48" s="6" t="n"/>
      <c r="AI48" s="6" t="n"/>
      <c r="AJ48" s="6" t="n"/>
      <c r="AK48" s="6" t="n"/>
    </row>
    <row r="49"/>
    <row r="50">
      <c r="A50" s="10" t="n"/>
      <c r="B50" s="10" t="n"/>
      <c r="C50" s="10" t="n"/>
      <c r="D50" s="10" t="n"/>
      <c r="E50" s="10" t="n"/>
      <c r="F50" s="10" t="n"/>
      <c r="G50" s="10" t="n"/>
      <c r="H50" s="10" t="n"/>
      <c r="I50" s="10" t="n"/>
      <c r="J50" s="10" t="inlineStr">
        <is>
          <t>VARIANCE CHECK</t>
        </is>
      </c>
      <c r="K50" s="10" t="n"/>
      <c r="L50" s="10" t="n"/>
      <c r="M50" s="10" t="n"/>
      <c r="N50" s="10" t="n"/>
      <c r="O50" s="10" t="n"/>
      <c r="P50" s="11">
        <f>S33-P47</f>
        <v/>
      </c>
      <c r="Q50" s="11">
        <f>S33-Q47</f>
        <v/>
      </c>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row>
    <row r="51"/>
    <row r="52">
      <c r="A52" s="14" t="n"/>
      <c r="B52" s="14" t="n"/>
      <c r="C52" s="14" t="n"/>
      <c r="D52" s="14" t="n"/>
      <c r="E52" s="14" t="n"/>
      <c r="F52" s="14" t="n"/>
      <c r="G52" s="14" t="n"/>
      <c r="H52" s="14" t="n"/>
      <c r="I52" s="14" t="n"/>
      <c r="J52" s="14" t="inlineStr">
        <is>
          <t>DUTY ESTIMATION (Classification Cross-Check)</t>
        </is>
      </c>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row>
    <row r="53">
      <c r="A53" s="15" t="n"/>
      <c r="B53" s="15" t="n"/>
      <c r="C53" s="15" t="n"/>
      <c r="D53" s="15" t="n"/>
      <c r="E53" s="15" t="n"/>
      <c r="F53" s="15" t="n"/>
      <c r="G53" s="15" t="n"/>
      <c r="H53" s="15" t="n"/>
      <c r="I53" s="15" t="n"/>
      <c r="J53" s="16" t="inlineStr">
        <is>
          <t>CIF (USD) = InvTotal + Freight + Insurance</t>
        </is>
      </c>
      <c r="K53" s="15" t="n"/>
      <c r="L53" s="15" t="n"/>
      <c r="M53" s="15" t="n"/>
      <c r="N53" s="15" t="n"/>
      <c r="O53" s="15" t="n"/>
      <c r="P53" s="17" t="n">
        <v>48.92</v>
      </c>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row>
    <row r="54">
      <c r="A54" s="15" t="n"/>
      <c r="B54" s="15" t="n"/>
      <c r="C54" s="15" t="n"/>
      <c r="D54" s="15" t="n"/>
      <c r="E54" s="15" t="n"/>
      <c r="F54" s="15" t="n"/>
      <c r="G54" s="15" t="n"/>
      <c r="H54" s="15" t="n"/>
      <c r="I54" s="15" t="n"/>
      <c r="J54" s="16" t="inlineStr">
        <is>
          <t>CIF (XCD) = CIF × 2.7169</t>
        </is>
      </c>
      <c r="K54" s="15" t="n"/>
      <c r="L54" s="15" t="n"/>
      <c r="M54" s="15" t="n"/>
      <c r="N54" s="15" t="n"/>
      <c r="O54" s="15" t="n"/>
      <c r="P54" s="17" t="n">
        <v>132.91</v>
      </c>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row>
    <row r="55">
      <c r="A55" s="15" t="n"/>
      <c r="B55" s="15" t="n"/>
      <c r="C55" s="15" t="n"/>
      <c r="D55" s="15" t="n"/>
      <c r="E55" s="15" t="n"/>
      <c r="F55" s="15" t="n"/>
      <c r="G55" s="15" t="n"/>
      <c r="H55" s="15" t="n"/>
      <c r="I55" s="15" t="n"/>
      <c r="J55" s="16" t="inlineStr">
        <is>
          <t>CET (20%) — Tariff 00000000</t>
        </is>
      </c>
      <c r="K55" s="15" t="n"/>
      <c r="L55" s="15" t="n"/>
      <c r="M55" s="15" t="n"/>
      <c r="N55" s="15" t="n"/>
      <c r="O55" s="15" t="n"/>
      <c r="P55" s="17" t="n">
        <v>26.58</v>
      </c>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row>
    <row r="56">
      <c r="A56" s="15" t="n"/>
      <c r="B56" s="15" t="n"/>
      <c r="C56" s="15" t="n"/>
      <c r="D56" s="15" t="n"/>
      <c r="E56" s="15" t="n"/>
      <c r="F56" s="15" t="n"/>
      <c r="G56" s="15" t="n"/>
      <c r="H56" s="15" t="n"/>
      <c r="I56" s="15" t="n"/>
      <c r="J56" s="16" t="inlineStr">
        <is>
          <t>CSC (6%)</t>
        </is>
      </c>
      <c r="K56" s="15" t="n"/>
      <c r="L56" s="15" t="n"/>
      <c r="M56" s="15" t="n"/>
      <c r="N56" s="15" t="n"/>
      <c r="O56" s="15" t="n"/>
      <c r="P56" s="17" t="n">
        <v>7.97</v>
      </c>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c r="A57" s="15" t="n"/>
      <c r="B57" s="15" t="n"/>
      <c r="C57" s="15" t="n"/>
      <c r="D57" s="15" t="n"/>
      <c r="E57" s="15" t="n"/>
      <c r="F57" s="15" t="n"/>
      <c r="G57" s="15" t="n"/>
      <c r="H57" s="15" t="n"/>
      <c r="I57" s="15" t="n"/>
      <c r="J57" s="16" t="inlineStr">
        <is>
          <t>VAT (15%) on CIF+CET+CSC</t>
        </is>
      </c>
      <c r="K57" s="15" t="n"/>
      <c r="L57" s="15" t="n"/>
      <c r="M57" s="15" t="n"/>
      <c r="N57" s="15" t="n"/>
      <c r="O57" s="15" t="n"/>
      <c r="P57" s="17" t="n">
        <v>25.12</v>
      </c>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row>
    <row r="58">
      <c r="A58" s="18" t="n"/>
      <c r="B58" s="18" t="n"/>
      <c r="C58" s="18" t="n"/>
      <c r="D58" s="18" t="n"/>
      <c r="E58" s="18" t="n"/>
      <c r="F58" s="18" t="n"/>
      <c r="G58" s="18" t="n"/>
      <c r="H58" s="18" t="n"/>
      <c r="I58" s="18" t="n"/>
      <c r="J58" s="14" t="inlineStr">
        <is>
          <t>ESTIMATED TOTAL DUTIES</t>
        </is>
      </c>
      <c r="K58" s="18" t="n"/>
      <c r="L58" s="18" t="n"/>
      <c r="M58" s="18" t="n"/>
      <c r="N58" s="18" t="n"/>
      <c r="O58" s="18" t="n"/>
      <c r="P58" s="19" t="n">
        <v>59.67</v>
      </c>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row>
    <row r="59">
      <c r="A59" s="15" t="n"/>
      <c r="B59" s="15" t="n"/>
      <c r="C59" s="15" t="n"/>
      <c r="D59" s="15" t="n"/>
      <c r="E59" s="15" t="n"/>
      <c r="F59" s="15" t="n"/>
      <c r="G59" s="15" t="n"/>
      <c r="H59" s="15" t="n"/>
      <c r="I59" s="15" t="n"/>
      <c r="J59" s="16" t="inlineStr">
        <is>
          <t>Effective Duty Rate</t>
        </is>
      </c>
      <c r="K59" s="15" t="n"/>
      <c r="L59" s="15" t="n"/>
      <c r="M59" s="15" t="n"/>
      <c r="N59" s="15" t="n"/>
      <c r="O59" s="15" t="n"/>
      <c r="P59" s="20" t="n">
        <v>0.4489504175758032</v>
      </c>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c r="AA60" s="21" t="n"/>
      <c r="AB60" s="21" t="n"/>
      <c r="AC60" s="21" t="n"/>
      <c r="AD60" s="21" t="n"/>
      <c r="AE60" s="21" t="n"/>
      <c r="AF60" s="21" t="n"/>
      <c r="AG60" s="21" t="n"/>
      <c r="AH60" s="21" t="n"/>
      <c r="AI60" s="21" t="n"/>
      <c r="AJ60" s="21" t="n"/>
      <c r="AK60" s="21" t="n"/>
    </row>
    <row r="61">
      <c r="A61" s="2" t="inlineStr">
        <is>
          <t>4000-000</t>
        </is>
      </c>
      <c r="B61" s="2" t="n"/>
      <c r="C61" s="2" t="inlineStr">
        <is>
          <t>113-2477560-9595440</t>
        </is>
      </c>
      <c r="D61" s="2" t="n"/>
      <c r="E61" s="2" t="inlineStr">
        <is>
          <t>Tennis shoes, basketball shoes, gym shoes, training shoes and the like</t>
        </is>
      </c>
      <c r="F61" s="2" t="inlineStr">
        <is>
          <t>64041120</t>
        </is>
      </c>
      <c r="G61" s="2" t="n"/>
      <c r="H61" s="2" t="n"/>
      <c r="I61" s="2" t="inlineStr">
        <is>
          <t>64041120</t>
        </is>
      </c>
      <c r="J61" s="2" t="inlineStr">
        <is>
          <t>adidas Originals Men ' s Stan Smith ( End Plastic WasteSneaker (1 items)</t>
        </is>
      </c>
      <c r="K61" s="2" t="n">
        <v>1</v>
      </c>
      <c r="L61" s="2" t="n"/>
      <c r="M61" s="2" t="n"/>
      <c r="N61" s="2" t="inlineStr">
        <is>
          <t>USD</t>
        </is>
      </c>
      <c r="O61" s="3" t="n">
        <v>59.92</v>
      </c>
      <c r="P61" s="3" t="n">
        <v>59.92</v>
      </c>
      <c r="Q61" s="3">
        <f>O61*K61</f>
        <v/>
      </c>
      <c r="R61" s="3">
        <f>P61-Q61</f>
        <v/>
      </c>
      <c r="S61" s="3" t="n">
        <v>64.11</v>
      </c>
      <c r="T61" s="3" t="n">
        <v>0</v>
      </c>
      <c r="U61" s="3" t="n">
        <v>0</v>
      </c>
      <c r="V61" s="3" t="n">
        <v>0</v>
      </c>
      <c r="W61" s="3" t="n">
        <v>0</v>
      </c>
      <c r="X61" s="2" t="n">
        <v>1</v>
      </c>
      <c r="Y61" s="2" t="n"/>
      <c r="Z61" s="2" t="inlineStr">
        <is>
          <t>AMAZON</t>
        </is>
      </c>
      <c r="AA61" s="2" t="inlineStr">
        <is>
          <t>Amazon.com</t>
        </is>
      </c>
      <c r="AB61" s="2" t="inlineStr">
        <is>
          <t>410 Terry Avenue North, Seattle, WA 98109</t>
        </is>
      </c>
      <c r="AC61" s="2" t="inlineStr">
        <is>
          <t>US</t>
        </is>
      </c>
      <c r="AD61" s="2" t="n"/>
      <c r="AE61" s="2" t="n"/>
      <c r="AF61" s="2" t="n"/>
      <c r="AG61" s="2" t="n"/>
      <c r="AH61" s="2" t="n"/>
      <c r="AI61" s="2" t="n"/>
      <c r="AJ61" s="2" t="n"/>
      <c r="AK61" s="2" t="inlineStr">
        <is>
          <t>64041120</t>
        </is>
      </c>
    </row>
    <row r="62">
      <c r="A62" s="4" t="n"/>
      <c r="B62" s="4" t="n"/>
      <c r="C62" s="4" t="n"/>
      <c r="D62" s="4" t="n"/>
      <c r="E62" s="4" t="n"/>
      <c r="F62" s="4" t="inlineStr">
        <is>
          <t>64041120</t>
        </is>
      </c>
      <c r="G62" s="4" t="n"/>
      <c r="H62" s="4" t="n"/>
      <c r="I62" s="4" t="inlineStr">
        <is>
          <t>AMZ-1</t>
        </is>
      </c>
      <c r="J62" s="4" t="inlineStr">
        <is>
          <t>adidas Originals Men ' s Stan Smith ( End Plastic WasteSneaker</t>
        </is>
      </c>
      <c r="K62" s="4" t="n">
        <v>1</v>
      </c>
      <c r="L62" s="4" t="n"/>
      <c r="M62" s="4" t="n"/>
      <c r="N62" s="4" t="inlineStr">
        <is>
          <t>USD</t>
        </is>
      </c>
      <c r="O62" s="5" t="n">
        <v>59.92</v>
      </c>
      <c r="P62" s="5" t="n">
        <v>59.92</v>
      </c>
      <c r="Q62" s="5">
        <f>O62*K62</f>
        <v/>
      </c>
      <c r="R62" s="5">
        <f>P62-Q62</f>
        <v/>
      </c>
      <c r="S62" s="4" t="n"/>
      <c r="T62" s="4" t="n"/>
      <c r="U62" s="4" t="n"/>
      <c r="V62" s="4" t="n"/>
      <c r="W62" s="4" t="n"/>
      <c r="X62" s="4" t="n"/>
      <c r="Y62" s="4" t="n"/>
      <c r="Z62" s="4" t="n"/>
      <c r="AA62" s="4" t="n"/>
      <c r="AB62" s="4" t="n"/>
      <c r="AC62" s="4" t="n"/>
      <c r="AD62" s="4" t="n"/>
      <c r="AE62" s="4" t="n"/>
      <c r="AF62" s="4" t="n"/>
      <c r="AG62" s="4" t="n"/>
      <c r="AH62" s="4" t="n"/>
      <c r="AI62" s="4" t="n"/>
      <c r="AJ62" s="4" t="n"/>
      <c r="AK62" s="4" t="n"/>
    </row>
    <row r="63">
      <c r="A63" s="6" t="n"/>
      <c r="B63" s="6" t="n"/>
      <c r="C63" s="6" t="n"/>
      <c r="D63" s="6" t="n"/>
      <c r="E63" s="6" t="n"/>
      <c r="F63" s="6" t="n"/>
      <c r="G63" s="6" t="n"/>
      <c r="H63" s="6" t="n"/>
      <c r="I63" s="6" t="n"/>
      <c r="J63" s="6" t="inlineStr">
        <is>
          <t>SUBTOTAL (GROUPED)</t>
        </is>
      </c>
      <c r="K63" s="6" t="n"/>
      <c r="L63" s="6" t="n"/>
      <c r="M63" s="6" t="n"/>
      <c r="N63" s="6" t="n"/>
      <c r="O63" s="6" t="n"/>
      <c r="P63" s="7">
        <f>P61</f>
        <v/>
      </c>
      <c r="Q63" s="7">
        <f>Q61</f>
        <v/>
      </c>
      <c r="R63" s="6" t="n"/>
      <c r="S63" s="6" t="n"/>
      <c r="T63" s="6" t="n"/>
      <c r="U63" s="6" t="n"/>
      <c r="V63" s="6" t="n"/>
      <c r="W63" s="6" t="n"/>
      <c r="X63" s="6" t="n"/>
      <c r="Y63" s="6" t="n"/>
      <c r="Z63" s="6" t="n"/>
      <c r="AA63" s="6" t="n"/>
      <c r="AB63" s="6" t="n"/>
      <c r="AC63" s="6" t="n"/>
      <c r="AD63" s="6" t="n"/>
      <c r="AE63" s="6" t="n"/>
      <c r="AF63" s="6" t="n"/>
      <c r="AG63" s="6" t="n"/>
      <c r="AH63" s="6" t="n"/>
      <c r="AI63" s="6" t="n"/>
      <c r="AJ63" s="6" t="n"/>
      <c r="AK63" s="6" t="n"/>
    </row>
    <row r="64">
      <c r="A64" s="6" t="n"/>
      <c r="B64" s="6" t="n"/>
      <c r="C64" s="6" t="n"/>
      <c r="D64" s="6" t="n"/>
      <c r="E64" s="6" t="n"/>
      <c r="F64" s="6" t="n"/>
      <c r="G64" s="6" t="n"/>
      <c r="H64" s="6" t="n"/>
      <c r="I64" s="6" t="n"/>
      <c r="J64" s="6" t="inlineStr">
        <is>
          <t>SUBTOTAL (DETAILS)</t>
        </is>
      </c>
      <c r="K64" s="6" t="n"/>
      <c r="L64" s="6" t="n"/>
      <c r="M64" s="6" t="n"/>
      <c r="N64" s="6" t="n"/>
      <c r="O64" s="6" t="n"/>
      <c r="P64" s="7">
        <f>SUM(P61:P62)-P63</f>
        <v/>
      </c>
      <c r="Q64" s="7">
        <f>SUM(Q61:Q62)-Q63</f>
        <v/>
      </c>
      <c r="R64" s="6" t="n"/>
      <c r="S64" s="6" t="n"/>
      <c r="T64" s="6" t="n"/>
      <c r="U64" s="6" t="n"/>
      <c r="V64" s="6" t="n"/>
      <c r="W64" s="6" t="n"/>
      <c r="X64" s="6" t="n"/>
      <c r="Y64" s="6" t="n"/>
      <c r="Z64" s="6" t="n"/>
      <c r="AA64" s="6" t="n"/>
      <c r="AB64" s="6" t="n"/>
      <c r="AC64" s="6" t="n"/>
      <c r="AD64" s="6" t="n"/>
      <c r="AE64" s="6" t="n"/>
      <c r="AF64" s="6" t="n"/>
      <c r="AG64" s="6" t="n"/>
      <c r="AH64" s="6" t="n"/>
      <c r="AI64" s="6" t="n"/>
      <c r="AJ64" s="6" t="n"/>
      <c r="AK64" s="6" t="n"/>
    </row>
    <row r="65">
      <c r="A65" s="8" t="n"/>
      <c r="B65" s="8" t="n"/>
      <c r="C65" s="8" t="n"/>
      <c r="D65" s="8" t="n"/>
      <c r="E65" s="8" t="n"/>
      <c r="F65" s="8" t="n"/>
      <c r="G65" s="8" t="n"/>
      <c r="H65" s="8" t="n"/>
      <c r="I65" s="8" t="n"/>
      <c r="J65" s="8" t="inlineStr">
        <is>
          <t>GROUP VERIFICATION</t>
        </is>
      </c>
      <c r="K65" s="8" t="n"/>
      <c r="L65" s="8" t="n"/>
      <c r="M65" s="8" t="n"/>
      <c r="N65" s="8" t="n"/>
      <c r="O65" s="8" t="n"/>
      <c r="P65" s="9">
        <f>P63-P64</f>
        <v/>
      </c>
      <c r="Q65" s="9">
        <f>Q63-Q64</f>
        <v/>
      </c>
      <c r="R65" s="8" t="n"/>
      <c r="S65" s="8" t="n"/>
      <c r="T65" s="8" t="n"/>
      <c r="U65" s="8" t="n"/>
      <c r="V65" s="8" t="n"/>
      <c r="W65" s="8" t="n"/>
      <c r="X65" s="8" t="n"/>
      <c r="Y65" s="8" t="n"/>
      <c r="Z65" s="8" t="n"/>
      <c r="AA65" s="8" t="n"/>
      <c r="AB65" s="8" t="n"/>
      <c r="AC65" s="8" t="n"/>
      <c r="AD65" s="8" t="n"/>
      <c r="AE65" s="8" t="n"/>
      <c r="AF65" s="8" t="n"/>
      <c r="AG65" s="8" t="n"/>
      <c r="AH65" s="8" t="n"/>
      <c r="AI65" s="8" t="n"/>
      <c r="AJ65" s="8" t="n"/>
      <c r="AK65" s="8" t="n"/>
    </row>
    <row r="66"/>
    <row r="67">
      <c r="A67" s="6" t="n"/>
      <c r="B67" s="6" t="n"/>
      <c r="C67" s="6" t="n"/>
      <c r="D67" s="6" t="n"/>
      <c r="E67" s="6" t="n"/>
      <c r="F67" s="6" t="n"/>
      <c r="G67" s="6" t="n"/>
      <c r="H67" s="6" t="n"/>
      <c r="I67" s="6" t="n"/>
      <c r="J67" s="6" t="inlineStr">
        <is>
          <t>TOTAL INTERNAL FREIGHT</t>
        </is>
      </c>
      <c r="K67" s="6" t="n"/>
      <c r="L67" s="6" t="n"/>
      <c r="M67" s="6" t="n"/>
      <c r="N67" s="6" t="n"/>
      <c r="O67" s="6" t="n"/>
      <c r="P67" s="7" t="n">
        <v>0</v>
      </c>
      <c r="Q67" s="7" t="n"/>
      <c r="R67" s="6" t="n"/>
      <c r="S67" s="6" t="n"/>
      <c r="T67" s="6" t="n"/>
      <c r="U67" s="6" t="n"/>
      <c r="V67" s="6" t="n"/>
      <c r="W67" s="6" t="n"/>
      <c r="X67" s="6" t="n"/>
      <c r="Y67" s="6" t="n"/>
      <c r="Z67" s="6" t="n"/>
      <c r="AA67" s="6" t="n"/>
      <c r="AB67" s="6" t="n"/>
      <c r="AC67" s="6" t="n"/>
      <c r="AD67" s="6" t="n"/>
      <c r="AE67" s="6" t="n"/>
      <c r="AF67" s="6" t="n"/>
      <c r="AG67" s="6" t="n"/>
      <c r="AH67" s="6" t="n"/>
      <c r="AI67" s="6" t="n"/>
      <c r="AJ67" s="6" t="n"/>
      <c r="AK67" s="6" t="n"/>
    </row>
    <row r="68">
      <c r="A68" s="6" t="n"/>
      <c r="B68" s="6" t="n"/>
      <c r="C68" s="6" t="n"/>
      <c r="D68" s="6" t="n"/>
      <c r="E68" s="6" t="n"/>
      <c r="F68" s="6" t="n"/>
      <c r="G68" s="6" t="n"/>
      <c r="H68" s="6" t="n"/>
      <c r="I68" s="6" t="n"/>
      <c r="J68" s="6" t="inlineStr">
        <is>
          <t>TOTAL INSURANCE</t>
        </is>
      </c>
      <c r="K68" s="6" t="n"/>
      <c r="L68" s="6" t="n"/>
      <c r="M68" s="6" t="n"/>
      <c r="N68" s="6" t="n"/>
      <c r="O68" s="6" t="n"/>
      <c r="P68" s="7" t="n">
        <v>0</v>
      </c>
      <c r="Q68" s="7" t="n"/>
      <c r="R68" s="6" t="n"/>
      <c r="S68" s="6" t="n"/>
      <c r="T68" s="6" t="n"/>
      <c r="U68" s="6" t="n"/>
      <c r="V68" s="6" t="n"/>
      <c r="W68" s="6" t="n"/>
      <c r="X68" s="6" t="n"/>
      <c r="Y68" s="6" t="n"/>
      <c r="Z68" s="6" t="n"/>
      <c r="AA68" s="6" t="n"/>
      <c r="AB68" s="6" t="n"/>
      <c r="AC68" s="6" t="n"/>
      <c r="AD68" s="6" t="n"/>
      <c r="AE68" s="6" t="n"/>
      <c r="AF68" s="6" t="n"/>
      <c r="AG68" s="6" t="n"/>
      <c r="AH68" s="6" t="n"/>
      <c r="AI68" s="6" t="n"/>
      <c r="AJ68" s="6" t="n"/>
      <c r="AK68" s="6" t="n"/>
    </row>
    <row r="69">
      <c r="A69" s="6" t="n"/>
      <c r="B69" s="6" t="n"/>
      <c r="C69" s="6" t="n"/>
      <c r="D69" s="6" t="n"/>
      <c r="E69" s="6" t="n"/>
      <c r="F69" s="6" t="n"/>
      <c r="G69" s="6" t="n"/>
      <c r="H69" s="6" t="n"/>
      <c r="I69" s="6" t="n"/>
      <c r="J69" s="6" t="inlineStr">
        <is>
          <t>TOTAL OTHER COST</t>
        </is>
      </c>
      <c r="K69" s="6" t="n"/>
      <c r="L69" s="6" t="n"/>
      <c r="M69" s="6" t="n"/>
      <c r="N69" s="6" t="n"/>
      <c r="O69" s="6" t="n"/>
      <c r="P69" s="7" t="n">
        <v>0</v>
      </c>
      <c r="Q69" s="7" t="n"/>
      <c r="R69" s="6" t="n"/>
      <c r="S69" s="6" t="n"/>
      <c r="T69" s="6" t="n"/>
      <c r="U69" s="6" t="n"/>
      <c r="V69" s="6" t="n"/>
      <c r="W69" s="6" t="n"/>
      <c r="X69" s="6" t="n"/>
      <c r="Y69" s="6" t="n"/>
      <c r="Z69" s="6" t="n"/>
      <c r="AA69" s="6" t="n"/>
      <c r="AB69" s="6" t="n"/>
      <c r="AC69" s="6" t="n"/>
      <c r="AD69" s="6" t="n"/>
      <c r="AE69" s="6" t="n"/>
      <c r="AF69" s="6" t="n"/>
      <c r="AG69" s="6" t="n"/>
      <c r="AH69" s="6" t="n"/>
      <c r="AI69" s="6" t="n"/>
      <c r="AJ69" s="6" t="n"/>
      <c r="AK69" s="6" t="n"/>
    </row>
    <row r="70">
      <c r="A70" s="6" t="n"/>
      <c r="B70" s="6" t="n"/>
      <c r="C70" s="6" t="n"/>
      <c r="D70" s="6" t="n"/>
      <c r="E70" s="6" t="n"/>
      <c r="F70" s="6" t="n"/>
      <c r="G70" s="6" t="n"/>
      <c r="H70" s="6" t="n"/>
      <c r="I70" s="6" t="n"/>
      <c r="J70" s="6" t="inlineStr">
        <is>
          <t>TOTAL DEDUCTION</t>
        </is>
      </c>
      <c r="K70" s="6" t="n"/>
      <c r="L70" s="6" t="n"/>
      <c r="M70" s="6" t="n"/>
      <c r="N70" s="6" t="n"/>
      <c r="O70" s="6" t="n"/>
      <c r="P70" s="7" t="n">
        <v>0</v>
      </c>
      <c r="Q70" s="7" t="n"/>
      <c r="R70" s="6" t="n"/>
      <c r="S70" s="6" t="n"/>
      <c r="T70" s="6" t="n"/>
      <c r="U70" s="6" t="n"/>
      <c r="V70" s="6" t="n"/>
      <c r="W70" s="6" t="n"/>
      <c r="X70" s="6" t="n"/>
      <c r="Y70" s="6" t="n"/>
      <c r="Z70" s="6" t="n"/>
      <c r="AA70" s="6" t="n"/>
      <c r="AB70" s="6" t="n"/>
      <c r="AC70" s="6" t="n"/>
      <c r="AD70" s="6" t="n"/>
      <c r="AE70" s="6" t="n"/>
      <c r="AF70" s="6" t="n"/>
      <c r="AG70" s="6" t="n"/>
      <c r="AH70" s="6" t="n"/>
      <c r="AI70" s="6" t="n"/>
      <c r="AJ70" s="6" t="n"/>
      <c r="AK70" s="6" t="n"/>
    </row>
    <row r="71">
      <c r="A71" s="6" t="n"/>
      <c r="B71" s="6" t="n"/>
      <c r="C71" s="6" t="n"/>
      <c r="D71" s="6" t="n"/>
      <c r="E71" s="6" t="n"/>
      <c r="F71" s="6" t="n"/>
      <c r="G71" s="6" t="n"/>
      <c r="H71" s="6" t="n"/>
      <c r="I71" s="6" t="n"/>
      <c r="J71" s="6" t="inlineStr">
        <is>
          <t>ADJUSTMENTS</t>
        </is>
      </c>
      <c r="K71" s="6" t="n"/>
      <c r="L71" s="6" t="n"/>
      <c r="M71" s="6" t="n"/>
      <c r="N71" s="6" t="n"/>
      <c r="O71" s="6" t="n"/>
      <c r="P71" s="7">
        <f>(T61+U61+V61-W61)</f>
        <v/>
      </c>
      <c r="Q71" s="7">
        <f>(T61+U61+V61-W61)</f>
        <v/>
      </c>
      <c r="R71" s="6" t="n"/>
      <c r="S71" s="6" t="n"/>
      <c r="T71" s="6" t="n"/>
      <c r="U71" s="6" t="n"/>
      <c r="V71" s="6" t="n"/>
      <c r="W71" s="6" t="n"/>
      <c r="X71" s="6" t="n"/>
      <c r="Y71" s="6" t="n"/>
      <c r="Z71" s="6" t="n"/>
      <c r="AA71" s="6" t="n"/>
      <c r="AB71" s="6" t="n"/>
      <c r="AC71" s="6" t="n"/>
      <c r="AD71" s="6" t="n"/>
      <c r="AE71" s="6" t="n"/>
      <c r="AF71" s="6" t="n"/>
      <c r="AG71" s="6" t="n"/>
      <c r="AH71" s="6" t="n"/>
      <c r="AI71" s="6" t="n"/>
      <c r="AJ71" s="6" t="n"/>
      <c r="AK71" s="6" t="n"/>
    </row>
    <row r="72"/>
    <row r="73">
      <c r="A73" s="6" t="n"/>
      <c r="B73" s="6" t="n"/>
      <c r="C73" s="6" t="n"/>
      <c r="D73" s="6" t="n"/>
      <c r="E73" s="6" t="n"/>
      <c r="F73" s="6" t="n"/>
      <c r="G73" s="6" t="n"/>
      <c r="H73" s="6" t="n"/>
      <c r="I73" s="6" t="n"/>
      <c r="J73" s="6" t="inlineStr">
        <is>
          <t>NET TOTAL</t>
        </is>
      </c>
      <c r="K73" s="6" t="n"/>
      <c r="L73" s="6" t="n"/>
      <c r="M73" s="6" t="n"/>
      <c r="N73" s="6" t="n"/>
      <c r="O73" s="6" t="n"/>
      <c r="P73" s="7">
        <f>P63+P71</f>
        <v/>
      </c>
      <c r="Q73" s="7">
        <f>Q63+Q71</f>
        <v/>
      </c>
      <c r="R73" s="6" t="n"/>
      <c r="S73" s="6" t="n"/>
      <c r="T73" s="6" t="n"/>
      <c r="U73" s="6" t="n"/>
      <c r="V73" s="6" t="n"/>
      <c r="W73" s="6" t="n"/>
      <c r="X73" s="6" t="n"/>
      <c r="Y73" s="6" t="n"/>
      <c r="Z73" s="6" t="n"/>
      <c r="AA73" s="6" t="n"/>
      <c r="AB73" s="6" t="n"/>
      <c r="AC73" s="6" t="n"/>
      <c r="AD73" s="6" t="n"/>
      <c r="AE73" s="6" t="n"/>
      <c r="AF73" s="6" t="n"/>
      <c r="AG73" s="6" t="n"/>
      <c r="AH73" s="6" t="n"/>
      <c r="AI73" s="6" t="n"/>
      <c r="AJ73" s="6" t="n"/>
      <c r="AK73" s="6" t="n"/>
    </row>
    <row r="74">
      <c r="A74" s="6" t="n"/>
      <c r="B74" s="6" t="n"/>
      <c r="C74" s="6" t="n"/>
      <c r="D74" s="6" t="n"/>
      <c r="E74" s="6" t="n"/>
      <c r="F74" s="6" t="n"/>
      <c r="G74" s="6" t="n"/>
      <c r="H74" s="6" t="n"/>
      <c r="I74" s="6" t="n"/>
      <c r="J74" s="6" t="inlineStr">
        <is>
          <t>INVOICE TOTAL</t>
        </is>
      </c>
      <c r="K74" s="6" t="n"/>
      <c r="L74" s="6" t="n"/>
      <c r="M74" s="6" t="n"/>
      <c r="N74" s="6" t="n"/>
      <c r="O74" s="6" t="n"/>
      <c r="P74" s="7">
        <f>S61</f>
        <v/>
      </c>
      <c r="Q74" s="7" t="n"/>
      <c r="R74" s="6" t="n"/>
      <c r="S74" s="6" t="n"/>
      <c r="T74" s="6" t="n"/>
      <c r="U74" s="6" t="n"/>
      <c r="V74" s="6" t="n"/>
      <c r="W74" s="6" t="n"/>
      <c r="X74" s="6" t="n"/>
      <c r="Y74" s="6" t="n"/>
      <c r="Z74" s="6" t="n"/>
      <c r="AA74" s="6" t="n"/>
      <c r="AB74" s="6" t="n"/>
      <c r="AC74" s="6" t="n"/>
      <c r="AD74" s="6" t="n"/>
      <c r="AE74" s="6" t="n"/>
      <c r="AF74" s="6" t="n"/>
      <c r="AG74" s="6" t="n"/>
      <c r="AH74" s="6" t="n"/>
      <c r="AI74" s="6" t="n"/>
      <c r="AJ74" s="6" t="n"/>
      <c r="AK74" s="6" t="n"/>
    </row>
    <row r="75"/>
    <row r="76">
      <c r="A76" s="10" t="n"/>
      <c r="B76" s="10" t="n"/>
      <c r="C76" s="10" t="n"/>
      <c r="D76" s="10" t="n"/>
      <c r="E76" s="10" t="n"/>
      <c r="F76" s="10" t="n"/>
      <c r="G76" s="10" t="n"/>
      <c r="H76" s="10" t="n"/>
      <c r="I76" s="10" t="n"/>
      <c r="J76" s="10" t="inlineStr">
        <is>
          <t>VARIANCE CHECK</t>
        </is>
      </c>
      <c r="K76" s="10" t="n"/>
      <c r="L76" s="10" t="n"/>
      <c r="M76" s="10" t="n"/>
      <c r="N76" s="10" t="n"/>
      <c r="O76" s="10" t="n"/>
      <c r="P76" s="11">
        <f>S61-P73</f>
        <v/>
      </c>
      <c r="Q76" s="11">
        <f>S61-Q73</f>
        <v/>
      </c>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row>
    <row r="77"/>
    <row r="78">
      <c r="A78" s="14" t="n"/>
      <c r="B78" s="14" t="n"/>
      <c r="C78" s="14" t="n"/>
      <c r="D78" s="14" t="n"/>
      <c r="E78" s="14" t="n"/>
      <c r="F78" s="14" t="n"/>
      <c r="G78" s="14" t="n"/>
      <c r="H78" s="14" t="n"/>
      <c r="I78" s="14" t="n"/>
      <c r="J78" s="14" t="inlineStr">
        <is>
          <t>DUTY ESTIMATION (Classification Cross-Check)</t>
        </is>
      </c>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row>
    <row r="79">
      <c r="A79" s="15" t="n"/>
      <c r="B79" s="15" t="n"/>
      <c r="C79" s="15" t="n"/>
      <c r="D79" s="15" t="n"/>
      <c r="E79" s="15" t="n"/>
      <c r="F79" s="15" t="n"/>
      <c r="G79" s="15" t="n"/>
      <c r="H79" s="15" t="n"/>
      <c r="I79" s="15" t="n"/>
      <c r="J79" s="16" t="inlineStr">
        <is>
          <t>CIF (USD) = InvTotal + Freight + Insurance</t>
        </is>
      </c>
      <c r="K79" s="15" t="n"/>
      <c r="L79" s="15" t="n"/>
      <c r="M79" s="15" t="n"/>
      <c r="N79" s="15" t="n"/>
      <c r="O79" s="15" t="n"/>
      <c r="P79" s="17" t="n">
        <v>64.11</v>
      </c>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row>
    <row r="80">
      <c r="A80" s="15" t="n"/>
      <c r="B80" s="15" t="n"/>
      <c r="C80" s="15" t="n"/>
      <c r="D80" s="15" t="n"/>
      <c r="E80" s="15" t="n"/>
      <c r="F80" s="15" t="n"/>
      <c r="G80" s="15" t="n"/>
      <c r="H80" s="15" t="n"/>
      <c r="I80" s="15" t="n"/>
      <c r="J80" s="16" t="inlineStr">
        <is>
          <t>CIF (XCD) = CIF × 2.7169</t>
        </is>
      </c>
      <c r="K80" s="15" t="n"/>
      <c r="L80" s="15" t="n"/>
      <c r="M80" s="15" t="n"/>
      <c r="N80" s="15" t="n"/>
      <c r="O80" s="15" t="n"/>
      <c r="P80" s="17" t="n">
        <v>174.18</v>
      </c>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row>
    <row r="81">
      <c r="A81" s="15" t="n"/>
      <c r="B81" s="15" t="n"/>
      <c r="C81" s="15" t="n"/>
      <c r="D81" s="15" t="n"/>
      <c r="E81" s="15" t="n"/>
      <c r="F81" s="15" t="n"/>
      <c r="G81" s="15" t="n"/>
      <c r="H81" s="15" t="n"/>
      <c r="I81" s="15" t="n"/>
      <c r="J81" s="16" t="inlineStr">
        <is>
          <t>CET (20%) — Tariff 64041120</t>
        </is>
      </c>
      <c r="K81" s="15" t="n"/>
      <c r="L81" s="15" t="n"/>
      <c r="M81" s="15" t="n"/>
      <c r="N81" s="15" t="n"/>
      <c r="O81" s="15" t="n"/>
      <c r="P81" s="17" t="n">
        <v>34.84</v>
      </c>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row>
    <row r="82">
      <c r="A82" s="15" t="n"/>
      <c r="B82" s="15" t="n"/>
      <c r="C82" s="15" t="n"/>
      <c r="D82" s="15" t="n"/>
      <c r="E82" s="15" t="n"/>
      <c r="F82" s="15" t="n"/>
      <c r="G82" s="15" t="n"/>
      <c r="H82" s="15" t="n"/>
      <c r="I82" s="15" t="n"/>
      <c r="J82" s="16" t="inlineStr">
        <is>
          <t>CSC (6%)</t>
        </is>
      </c>
      <c r="K82" s="15" t="n"/>
      <c r="L82" s="15" t="n"/>
      <c r="M82" s="15" t="n"/>
      <c r="N82" s="15" t="n"/>
      <c r="O82" s="15" t="n"/>
      <c r="P82" s="17" t="n">
        <v>10.45</v>
      </c>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row>
    <row r="83">
      <c r="A83" s="15" t="n"/>
      <c r="B83" s="15" t="n"/>
      <c r="C83" s="15" t="n"/>
      <c r="D83" s="15" t="n"/>
      <c r="E83" s="15" t="n"/>
      <c r="F83" s="15" t="n"/>
      <c r="G83" s="15" t="n"/>
      <c r="H83" s="15" t="n"/>
      <c r="I83" s="15" t="n"/>
      <c r="J83" s="16" t="inlineStr">
        <is>
          <t>VAT (15%) on CIF+CET+CSC</t>
        </is>
      </c>
      <c r="K83" s="15" t="n"/>
      <c r="L83" s="15" t="n"/>
      <c r="M83" s="15" t="n"/>
      <c r="N83" s="15" t="n"/>
      <c r="O83" s="15" t="n"/>
      <c r="P83" s="17" t="n">
        <v>32.92</v>
      </c>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row>
    <row r="84">
      <c r="A84" s="18" t="n"/>
      <c r="B84" s="18" t="n"/>
      <c r="C84" s="18" t="n"/>
      <c r="D84" s="18" t="n"/>
      <c r="E84" s="18" t="n"/>
      <c r="F84" s="18" t="n"/>
      <c r="G84" s="18" t="n"/>
      <c r="H84" s="18" t="n"/>
      <c r="I84" s="18" t="n"/>
      <c r="J84" s="14" t="inlineStr">
        <is>
          <t>ESTIMATED TOTAL DUTIES</t>
        </is>
      </c>
      <c r="K84" s="18" t="n"/>
      <c r="L84" s="18" t="n"/>
      <c r="M84" s="18" t="n"/>
      <c r="N84" s="18" t="n"/>
      <c r="O84" s="18" t="n"/>
      <c r="P84" s="19" t="n">
        <v>78.20999999999999</v>
      </c>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row>
    <row r="85">
      <c r="A85" s="15" t="n"/>
      <c r="B85" s="15" t="n"/>
      <c r="C85" s="15" t="n"/>
      <c r="D85" s="15" t="n"/>
      <c r="E85" s="15" t="n"/>
      <c r="F85" s="15" t="n"/>
      <c r="G85" s="15" t="n"/>
      <c r="H85" s="15" t="n"/>
      <c r="I85" s="15" t="n"/>
      <c r="J85" s="16" t="inlineStr">
        <is>
          <t>Effective Duty Rate</t>
        </is>
      </c>
      <c r="K85" s="15" t="n"/>
      <c r="L85" s="15" t="n"/>
      <c r="M85" s="15" t="n"/>
      <c r="N85" s="15" t="n"/>
      <c r="O85" s="15" t="n"/>
      <c r="P85" s="20" t="n">
        <v>0.4490182569755425</v>
      </c>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c r="AA86" s="21" t="n"/>
      <c r="AB86" s="21" t="n"/>
      <c r="AC86" s="21" t="n"/>
      <c r="AD86" s="21" t="n"/>
      <c r="AE86" s="21" t="n"/>
      <c r="AF86" s="21" t="n"/>
      <c r="AG86" s="21" t="n"/>
      <c r="AH86" s="21" t="n"/>
      <c r="AI86" s="21" t="n"/>
      <c r="AJ86" s="21" t="n"/>
      <c r="AK86" s="21" t="n"/>
    </row>
    <row r="87">
      <c r="A87" s="2" t="inlineStr">
        <is>
          <t>4000-000</t>
        </is>
      </c>
      <c r="B87" s="2" t="n"/>
      <c r="C87" s="2" t="inlineStr">
        <is>
          <t>138878183</t>
        </is>
      </c>
      <c r="D87" s="2" t="inlineStr">
        <is>
          <t>July 15 th , 2024</t>
        </is>
      </c>
      <c r="E87" s="2" t="inlineStr">
        <is>
          <t>PRODUCTS</t>
        </is>
      </c>
      <c r="F87" s="2" t="inlineStr">
        <is>
          <t>00000000</t>
        </is>
      </c>
      <c r="G87" s="2" t="n"/>
      <c r="H87" s="2" t="n"/>
      <c r="I87" s="2" t="inlineStr">
        <is>
          <t>00000000</t>
        </is>
      </c>
      <c r="J87" s="2" t="inlineStr">
        <is>
          <t>Harmonized Total Cream All Day Short Sleeve (+2 more) (3 items)</t>
        </is>
      </c>
      <c r="K87" s="2" t="n">
        <v>3</v>
      </c>
      <c r="L87" s="2" t="n"/>
      <c r="M87" s="2" t="n"/>
      <c r="N87" s="2" t="inlineStr">
        <is>
          <t>USD</t>
        </is>
      </c>
      <c r="O87" s="3" t="n">
        <v>19.99</v>
      </c>
      <c r="P87" s="3" t="n">
        <v>59.97</v>
      </c>
      <c r="Q87" s="3">
        <f>O87*K87</f>
        <v/>
      </c>
      <c r="R87" s="3">
        <f>P87-Q87</f>
        <v/>
      </c>
      <c r="S87" s="3" t="n">
        <v>44.48</v>
      </c>
      <c r="T87" s="3" t="n">
        <v>0</v>
      </c>
      <c r="U87" s="3" t="n">
        <v>0</v>
      </c>
      <c r="V87" s="3" t="n">
        <v>5.53</v>
      </c>
      <c r="W87" s="3" t="n">
        <v>33.99</v>
      </c>
      <c r="X87" s="2" t="n">
        <v>1</v>
      </c>
      <c r="Y87" s="2" t="n"/>
      <c r="Z87" s="2" t="inlineStr">
        <is>
          <t>FASHION</t>
        </is>
      </c>
      <c r="AA87" s="2" t="inlineStr">
        <is>
          <t>Fashion Nova</t>
        </is>
      </c>
      <c r="AB87" s="2" t="inlineStr">
        <is>
          <t>2801 E. 46th Street, Vernon, CA 90058</t>
        </is>
      </c>
      <c r="AC87" s="2" t="inlineStr">
        <is>
          <t>US</t>
        </is>
      </c>
      <c r="AD87" s="2" t="n"/>
      <c r="AE87" s="2" t="n"/>
      <c r="AF87" s="2" t="n"/>
      <c r="AG87" s="2" t="n"/>
      <c r="AH87" s="2" t="n"/>
      <c r="AI87" s="2" t="n"/>
      <c r="AJ87" s="2" t="n"/>
      <c r="AK87" s="2" t="inlineStr">
        <is>
          <t>00000000</t>
        </is>
      </c>
    </row>
    <row r="88">
      <c r="A88" s="4" t="n"/>
      <c r="B88" s="4" t="n"/>
      <c r="C88" s="4" t="n"/>
      <c r="D88" s="4" t="n"/>
      <c r="E88" s="4" t="n"/>
      <c r="F88" s="4" t="inlineStr">
        <is>
          <t>00000000</t>
        </is>
      </c>
      <c r="G88" s="4" t="n"/>
      <c r="H88" s="4" t="n"/>
      <c r="I88" s="4" t="inlineStr">
        <is>
          <t>FN-1</t>
        </is>
      </c>
      <c r="J88" s="4" t="inlineStr">
        <is>
          <t>Harmonized Total Cream All Day Short Sleeve</t>
        </is>
      </c>
      <c r="K88" s="4" t="n">
        <v>1</v>
      </c>
      <c r="L88" s="4" t="n"/>
      <c r="M88" s="4" t="n"/>
      <c r="N88" s="4" t="inlineStr">
        <is>
          <t>USD</t>
        </is>
      </c>
      <c r="O88" s="5" t="n">
        <v>5.99</v>
      </c>
      <c r="P88" s="5" t="n">
        <v>5.99</v>
      </c>
      <c r="Q88" s="5">
        <f>O88*K88</f>
        <v/>
      </c>
      <c r="R88" s="5">
        <f>P88-Q88</f>
        <v/>
      </c>
      <c r="S88" s="4" t="n"/>
      <c r="T88" s="4" t="n"/>
      <c r="U88" s="4" t="n"/>
      <c r="V88" s="4" t="n"/>
      <c r="W88" s="4" t="n"/>
      <c r="X88" s="4" t="n"/>
      <c r="Y88" s="4" t="n"/>
      <c r="Z88" s="4" t="n"/>
      <c r="AA88" s="4" t="n"/>
      <c r="AB88" s="4" t="n"/>
      <c r="AC88" s="4" t="n"/>
      <c r="AD88" s="4" t="n"/>
      <c r="AE88" s="4" t="n"/>
      <c r="AF88" s="4" t="n"/>
      <c r="AG88" s="4" t="n"/>
      <c r="AH88" s="4" t="n"/>
      <c r="AI88" s="4" t="n"/>
      <c r="AJ88" s="4" t="n"/>
      <c r="AK88" s="4" t="n"/>
    </row>
    <row r="89">
      <c r="A89" s="4" t="n"/>
      <c r="B89" s="4" t="n"/>
      <c r="C89" s="4" t="n"/>
      <c r="D89" s="4" t="n"/>
      <c r="E89" s="4" t="n"/>
      <c r="F89" s="4" t="inlineStr">
        <is>
          <t>00000000</t>
        </is>
      </c>
      <c r="G89" s="4" t="n"/>
      <c r="H89" s="4" t="n"/>
      <c r="I89" s="4" t="inlineStr">
        <is>
          <t>FN-3</t>
        </is>
      </c>
      <c r="J89" s="4" t="inlineStr">
        <is>
          <t>Wash - 2 X Unmatched Faux Leather</t>
        </is>
      </c>
      <c r="K89" s="4" t="n">
        <v>1</v>
      </c>
      <c r="L89" s="4" t="n"/>
      <c r="M89" s="4" t="n"/>
      <c r="N89" s="4" t="inlineStr">
        <is>
          <t>USD</t>
        </is>
      </c>
      <c r="O89" s="5" t="n">
        <v>19.99</v>
      </c>
      <c r="P89" s="5" t="n">
        <v>19.99</v>
      </c>
      <c r="Q89" s="5">
        <f>O89*K89</f>
        <v/>
      </c>
      <c r="R89" s="5">
        <f>P89-Q89</f>
        <v/>
      </c>
      <c r="S89" s="4" t="n"/>
      <c r="T89" s="4" t="n"/>
      <c r="U89" s="4" t="n"/>
      <c r="V89" s="4" t="n"/>
      <c r="W89" s="4" t="n"/>
      <c r="X89" s="4" t="n"/>
      <c r="Y89" s="4" t="n"/>
      <c r="Z89" s="4" t="n"/>
      <c r="AA89" s="4" t="n"/>
      <c r="AB89" s="4" t="n"/>
      <c r="AC89" s="4" t="n"/>
      <c r="AD89" s="4" t="n"/>
      <c r="AE89" s="4" t="n"/>
      <c r="AF89" s="4" t="n"/>
      <c r="AG89" s="4" t="n"/>
      <c r="AH89" s="4" t="n"/>
      <c r="AI89" s="4" t="n"/>
      <c r="AJ89" s="4" t="n"/>
      <c r="AK89" s="4" t="n"/>
    </row>
    <row r="90">
      <c r="A90" s="4" t="n"/>
      <c r="B90" s="4" t="n"/>
      <c r="C90" s="4" t="n"/>
      <c r="D90" s="4" t="n"/>
      <c r="E90" s="4" t="n"/>
      <c r="F90" s="4" t="inlineStr">
        <is>
          <t>00000000</t>
        </is>
      </c>
      <c r="G90" s="4" t="n"/>
      <c r="H90" s="4" t="n"/>
      <c r="I90" s="4" t="inlineStr">
        <is>
          <t>FN-4</t>
        </is>
      </c>
      <c r="J90" s="4" t="inlineStr">
        <is>
          <t>Cargo Skirt - Black - 2 X Don t Talk Faux Leather Skirt =</t>
        </is>
      </c>
      <c r="K90" s="4" t="n">
        <v>1</v>
      </c>
      <c r="L90" s="4" t="n"/>
      <c r="M90" s="4" t="n"/>
      <c r="N90" s="4" t="inlineStr">
        <is>
          <t>USD</t>
        </is>
      </c>
      <c r="O90" s="5" t="n">
        <v>33.99</v>
      </c>
      <c r="P90" s="5" t="n">
        <v>33.99</v>
      </c>
      <c r="Q90" s="5">
        <f>O90*K90</f>
        <v/>
      </c>
      <c r="R90" s="5">
        <f>P90-Q90</f>
        <v/>
      </c>
      <c r="S90" s="4" t="n"/>
      <c r="T90" s="4" t="n"/>
      <c r="U90" s="4" t="n"/>
      <c r="V90" s="4" t="n"/>
      <c r="W90" s="4" t="n"/>
      <c r="X90" s="4" t="n"/>
      <c r="Y90" s="4" t="n"/>
      <c r="Z90" s="4" t="n"/>
      <c r="AA90" s="4" t="n"/>
      <c r="AB90" s="4" t="n"/>
      <c r="AC90" s="4" t="n"/>
      <c r="AD90" s="4" t="n"/>
      <c r="AE90" s="4" t="n"/>
      <c r="AF90" s="4" t="n"/>
      <c r="AG90" s="4" t="n"/>
      <c r="AH90" s="4" t="n"/>
      <c r="AI90" s="4" t="n"/>
      <c r="AJ90" s="4" t="n"/>
      <c r="AK90" s="4" t="n"/>
    </row>
    <row r="91">
      <c r="A91" s="2" t="n"/>
      <c r="B91" s="2" t="n"/>
      <c r="C91" s="2" t="inlineStr">
        <is>
          <t>138878183</t>
        </is>
      </c>
      <c r="D91" s="2" t="inlineStr">
        <is>
          <t>July 15 th , 2024</t>
        </is>
      </c>
      <c r="E91" s="2" t="inlineStr">
        <is>
          <t>MARINE LIGHTING</t>
        </is>
      </c>
      <c r="F91" s="2" t="inlineStr">
        <is>
          <t>94054000</t>
        </is>
      </c>
      <c r="G91" s="2" t="n"/>
      <c r="H91" s="2" t="n"/>
      <c r="I91" s="2" t="inlineStr">
        <is>
          <t>94054000</t>
        </is>
      </c>
      <c r="J91" s="2" t="inlineStr">
        <is>
          <t>Tee - Sage - M Viana Denim Romper - Light (1 items)</t>
        </is>
      </c>
      <c r="K91" s="2" t="n">
        <v>1</v>
      </c>
      <c r="L91" s="2" t="n"/>
      <c r="M91" s="2" t="n"/>
      <c r="N91" s="2" t="inlineStr">
        <is>
          <t>USD</t>
        </is>
      </c>
      <c r="O91" s="3" t="n">
        <v>4.99</v>
      </c>
      <c r="P91" s="3" t="n">
        <v>4.99</v>
      </c>
      <c r="Q91" s="3">
        <f>O91*K91</f>
        <v/>
      </c>
      <c r="R91" s="3">
        <f>P91-Q91</f>
        <v/>
      </c>
      <c r="S91" s="3" t="n"/>
      <c r="T91" s="3" t="n"/>
      <c r="U91" s="3" t="n"/>
      <c r="V91" s="3" t="n"/>
      <c r="W91" s="3" t="n"/>
      <c r="X91" s="2" t="n"/>
      <c r="Y91" s="2" t="n"/>
      <c r="Z91" s="2" t="n"/>
      <c r="AA91" s="2" t="n"/>
      <c r="AB91" s="2" t="n"/>
      <c r="AC91" s="2" t="n"/>
      <c r="AD91" s="2" t="n"/>
      <c r="AE91" s="2" t="n"/>
      <c r="AF91" s="2" t="n"/>
      <c r="AG91" s="2" t="n"/>
      <c r="AH91" s="2" t="n"/>
      <c r="AI91" s="2" t="n"/>
      <c r="AJ91" s="2" t="n"/>
      <c r="AK91" s="2" t="inlineStr">
        <is>
          <t>94054000</t>
        </is>
      </c>
    </row>
    <row r="92">
      <c r="A92" s="4" t="n"/>
      <c r="B92" s="4" t="n"/>
      <c r="C92" s="4" t="n"/>
      <c r="D92" s="4" t="n"/>
      <c r="E92" s="4" t="n"/>
      <c r="F92" s="4" t="inlineStr">
        <is>
          <t>94054000</t>
        </is>
      </c>
      <c r="G92" s="4" t="n"/>
      <c r="H92" s="4" t="n"/>
      <c r="I92" s="4" t="inlineStr">
        <is>
          <t>FN-2</t>
        </is>
      </c>
      <c r="J92" s="4" t="inlineStr">
        <is>
          <t>Tee - Sage - M Viana Denim Romper - Light</t>
        </is>
      </c>
      <c r="K92" s="4" t="n">
        <v>1</v>
      </c>
      <c r="L92" s="4" t="n"/>
      <c r="M92" s="4" t="n"/>
      <c r="N92" s="4" t="inlineStr">
        <is>
          <t>USD</t>
        </is>
      </c>
      <c r="O92" s="5" t="n">
        <v>4.99</v>
      </c>
      <c r="P92" s="5" t="n">
        <v>4.99</v>
      </c>
      <c r="Q92" s="5">
        <f>O92*K92</f>
        <v/>
      </c>
      <c r="R92" s="5">
        <f>P92-Q92</f>
        <v/>
      </c>
      <c r="S92" s="4" t="n"/>
      <c r="T92" s="4" t="n"/>
      <c r="U92" s="4" t="n"/>
      <c r="V92" s="4" t="n"/>
      <c r="W92" s="4" t="n"/>
      <c r="X92" s="4" t="n"/>
      <c r="Y92" s="4" t="n"/>
      <c r="Z92" s="4" t="n"/>
      <c r="AA92" s="4" t="n"/>
      <c r="AB92" s="4" t="n"/>
      <c r="AC92" s="4" t="n"/>
      <c r="AD92" s="4" t="n"/>
      <c r="AE92" s="4" t="n"/>
      <c r="AF92" s="4" t="n"/>
      <c r="AG92" s="4" t="n"/>
      <c r="AH92" s="4" t="n"/>
      <c r="AI92" s="4" t="n"/>
      <c r="AJ92" s="4" t="n"/>
      <c r="AK92" s="4" t="n"/>
    </row>
    <row r="93">
      <c r="A93" s="2" t="n"/>
      <c r="B93" s="2" t="n"/>
      <c r="C93" s="2" t="inlineStr">
        <is>
          <t>138878183</t>
        </is>
      </c>
      <c r="D93" s="2" t="inlineStr">
        <is>
          <t>July 15 th , 2024</t>
        </is>
      </c>
      <c r="E93" s="2" t="inlineStr">
        <is>
          <t>Trousers and shorts</t>
        </is>
      </c>
      <c r="F93" s="2" t="inlineStr">
        <is>
          <t>62034290</t>
        </is>
      </c>
      <c r="G93" s="2" t="n"/>
      <c r="H93" s="2" t="n"/>
      <c r="I93" s="2" t="inlineStr">
        <is>
          <t>62034290</t>
        </is>
      </c>
      <c r="J93" s="2" t="inlineStr">
        <is>
          <t>Set - Black - 2 X No Self Control Denim Corset (1 items)</t>
        </is>
      </c>
      <c r="K93" s="2" t="n">
        <v>1</v>
      </c>
      <c r="L93" s="2" t="n"/>
      <c r="M93" s="2" t="n"/>
      <c r="N93" s="2" t="inlineStr">
        <is>
          <t>USD</t>
        </is>
      </c>
      <c r="O93" s="3" t="n">
        <v>7.98</v>
      </c>
      <c r="P93" s="3" t="n">
        <v>7.98</v>
      </c>
      <c r="Q93" s="3">
        <f>O93*K93</f>
        <v/>
      </c>
      <c r="R93" s="3">
        <f>P93-Q93</f>
        <v/>
      </c>
      <c r="S93" s="3" t="n"/>
      <c r="T93" s="3" t="n"/>
      <c r="U93" s="3" t="n"/>
      <c r="V93" s="3" t="n"/>
      <c r="W93" s="3" t="n"/>
      <c r="X93" s="2" t="n"/>
      <c r="Y93" s="2" t="n"/>
      <c r="Z93" s="2" t="n"/>
      <c r="AA93" s="2" t="n"/>
      <c r="AB93" s="2" t="n"/>
      <c r="AC93" s="2" t="n"/>
      <c r="AD93" s="2" t="n"/>
      <c r="AE93" s="2" t="n"/>
      <c r="AF93" s="2" t="n"/>
      <c r="AG93" s="2" t="n"/>
      <c r="AH93" s="2" t="n"/>
      <c r="AI93" s="2" t="n"/>
      <c r="AJ93" s="2" t="n"/>
      <c r="AK93" s="2" t="inlineStr">
        <is>
          <t>62034290</t>
        </is>
      </c>
    </row>
    <row r="94">
      <c r="A94" s="4" t="n"/>
      <c r="B94" s="4" t="n"/>
      <c r="C94" s="4" t="n"/>
      <c r="D94" s="4" t="n"/>
      <c r="E94" s="4" t="n"/>
      <c r="F94" s="4" t="inlineStr">
        <is>
          <t>62034290</t>
        </is>
      </c>
      <c r="G94" s="4" t="n"/>
      <c r="H94" s="4" t="n"/>
      <c r="I94" s="4" t="inlineStr">
        <is>
          <t>FN-5</t>
        </is>
      </c>
      <c r="J94" s="4" t="inlineStr">
        <is>
          <t>Set - Black - 2 X No Self Control Denim Corset</t>
        </is>
      </c>
      <c r="K94" s="4" t="n">
        <v>1</v>
      </c>
      <c r="L94" s="4" t="n"/>
      <c r="M94" s="4" t="n"/>
      <c r="N94" s="4" t="inlineStr">
        <is>
          <t>USD</t>
        </is>
      </c>
      <c r="O94" s="5" t="n">
        <v>7.98</v>
      </c>
      <c r="P94" s="5" t="n">
        <v>7.98</v>
      </c>
      <c r="Q94" s="5">
        <f>O94*K94</f>
        <v/>
      </c>
      <c r="R94" s="5">
        <f>P94-Q94</f>
        <v/>
      </c>
      <c r="S94" s="4" t="n"/>
      <c r="T94" s="4" t="n"/>
      <c r="U94" s="4" t="n"/>
      <c r="V94" s="4" t="n"/>
      <c r="W94" s="4" t="n"/>
      <c r="X94" s="4" t="n"/>
      <c r="Y94" s="4" t="n"/>
      <c r="Z94" s="4" t="n"/>
      <c r="AA94" s="4" t="n"/>
      <c r="AB94" s="4" t="n"/>
      <c r="AC94" s="4" t="n"/>
      <c r="AD94" s="4" t="n"/>
      <c r="AE94" s="4" t="n"/>
      <c r="AF94" s="4" t="n"/>
      <c r="AG94" s="4" t="n"/>
      <c r="AH94" s="4" t="n"/>
      <c r="AI94" s="4" t="n"/>
      <c r="AJ94" s="4" t="n"/>
      <c r="AK94" s="4" t="n"/>
    </row>
    <row r="95">
      <c r="A95" s="6" t="n"/>
      <c r="B95" s="6" t="n"/>
      <c r="C95" s="6" t="n"/>
      <c r="D95" s="6" t="n"/>
      <c r="E95" s="6" t="n"/>
      <c r="F95" s="6" t="n"/>
      <c r="G95" s="6" t="n"/>
      <c r="H95" s="6" t="n"/>
      <c r="I95" s="6" t="n"/>
      <c r="J95" s="6" t="inlineStr">
        <is>
          <t>SUBTOTAL (GROUPED)</t>
        </is>
      </c>
      <c r="K95" s="6" t="n"/>
      <c r="L95" s="6" t="n"/>
      <c r="M95" s="6" t="n"/>
      <c r="N95" s="6" t="n"/>
      <c r="O95" s="6" t="n"/>
      <c r="P95" s="7">
        <f>P87+P91+P93</f>
        <v/>
      </c>
      <c r="Q95" s="7">
        <f>Q87+Q91+Q93</f>
        <v/>
      </c>
      <c r="R95" s="6" t="n"/>
      <c r="S95" s="6" t="n"/>
      <c r="T95" s="6" t="n"/>
      <c r="U95" s="6" t="n"/>
      <c r="V95" s="6" t="n"/>
      <c r="W95" s="6" t="n"/>
      <c r="X95" s="6" t="n"/>
      <c r="Y95" s="6" t="n"/>
      <c r="Z95" s="6" t="n"/>
      <c r="AA95" s="6" t="n"/>
      <c r="AB95" s="6" t="n"/>
      <c r="AC95" s="6" t="n"/>
      <c r="AD95" s="6" t="n"/>
      <c r="AE95" s="6" t="n"/>
      <c r="AF95" s="6" t="n"/>
      <c r="AG95" s="6" t="n"/>
      <c r="AH95" s="6" t="n"/>
      <c r="AI95" s="6" t="n"/>
      <c r="AJ95" s="6" t="n"/>
      <c r="AK95" s="6" t="n"/>
    </row>
    <row r="96">
      <c r="A96" s="6" t="n"/>
      <c r="B96" s="6" t="n"/>
      <c r="C96" s="6" t="n"/>
      <c r="D96" s="6" t="n"/>
      <c r="E96" s="6" t="n"/>
      <c r="F96" s="6" t="n"/>
      <c r="G96" s="6" t="n"/>
      <c r="H96" s="6" t="n"/>
      <c r="I96" s="6" t="n"/>
      <c r="J96" s="6" t="inlineStr">
        <is>
          <t>SUBTOTAL (DETAILS)</t>
        </is>
      </c>
      <c r="K96" s="6" t="n"/>
      <c r="L96" s="6" t="n"/>
      <c r="M96" s="6" t="n"/>
      <c r="N96" s="6" t="n"/>
      <c r="O96" s="6" t="n"/>
      <c r="P96" s="7">
        <f>SUM(P87:P94)-P95</f>
        <v/>
      </c>
      <c r="Q96" s="7">
        <f>SUM(Q87:Q94)-Q95</f>
        <v/>
      </c>
      <c r="R96" s="6" t="n"/>
      <c r="S96" s="6" t="n"/>
      <c r="T96" s="6" t="n"/>
      <c r="U96" s="6" t="n"/>
      <c r="V96" s="6" t="n"/>
      <c r="W96" s="6" t="n"/>
      <c r="X96" s="6" t="n"/>
      <c r="Y96" s="6" t="n"/>
      <c r="Z96" s="6" t="n"/>
      <c r="AA96" s="6" t="n"/>
      <c r="AB96" s="6" t="n"/>
      <c r="AC96" s="6" t="n"/>
      <c r="AD96" s="6" t="n"/>
      <c r="AE96" s="6" t="n"/>
      <c r="AF96" s="6" t="n"/>
      <c r="AG96" s="6" t="n"/>
      <c r="AH96" s="6" t="n"/>
      <c r="AI96" s="6" t="n"/>
      <c r="AJ96" s="6" t="n"/>
      <c r="AK96" s="6" t="n"/>
    </row>
    <row r="97">
      <c r="A97" s="8" t="n"/>
      <c r="B97" s="8" t="n"/>
      <c r="C97" s="8" t="n"/>
      <c r="D97" s="8" t="n"/>
      <c r="E97" s="8" t="n"/>
      <c r="F97" s="8" t="n"/>
      <c r="G97" s="8" t="n"/>
      <c r="H97" s="8" t="n"/>
      <c r="I97" s="8" t="n"/>
      <c r="J97" s="8" t="inlineStr">
        <is>
          <t>GROUP VERIFICATION</t>
        </is>
      </c>
      <c r="K97" s="8" t="n"/>
      <c r="L97" s="8" t="n"/>
      <c r="M97" s="8" t="n"/>
      <c r="N97" s="8" t="n"/>
      <c r="O97" s="8" t="n"/>
      <c r="P97" s="9">
        <f>P95-P96</f>
        <v/>
      </c>
      <c r="Q97" s="9">
        <f>Q95-Q96</f>
        <v/>
      </c>
      <c r="R97" s="8" t="n"/>
      <c r="S97" s="8" t="n"/>
      <c r="T97" s="8" t="n"/>
      <c r="U97" s="8" t="n"/>
      <c r="V97" s="8" t="n"/>
      <c r="W97" s="8" t="n"/>
      <c r="X97" s="8" t="n"/>
      <c r="Y97" s="8" t="n"/>
      <c r="Z97" s="8" t="n"/>
      <c r="AA97" s="8" t="n"/>
      <c r="AB97" s="8" t="n"/>
      <c r="AC97" s="8" t="n"/>
      <c r="AD97" s="8" t="n"/>
      <c r="AE97" s="8" t="n"/>
      <c r="AF97" s="8" t="n"/>
      <c r="AG97" s="8" t="n"/>
      <c r="AH97" s="8" t="n"/>
      <c r="AI97" s="8" t="n"/>
      <c r="AJ97" s="8" t="n"/>
      <c r="AK97" s="8" t="n"/>
    </row>
    <row r="98"/>
    <row r="99">
      <c r="A99" s="6" t="n"/>
      <c r="B99" s="6" t="n"/>
      <c r="C99" s="6" t="n"/>
      <c r="D99" s="6" t="n"/>
      <c r="E99" s="6" t="n"/>
      <c r="F99" s="6" t="n"/>
      <c r="G99" s="6" t="n"/>
      <c r="H99" s="6" t="n"/>
      <c r="I99" s="6" t="n"/>
      <c r="J99" s="6" t="inlineStr">
        <is>
          <t>TOTAL INTERNAL FREIGHT</t>
        </is>
      </c>
      <c r="K99" s="6" t="n"/>
      <c r="L99" s="6" t="n"/>
      <c r="M99" s="6" t="n"/>
      <c r="N99" s="6" t="n"/>
      <c r="O99" s="6" t="n"/>
      <c r="P99" s="7" t="n">
        <v>0</v>
      </c>
      <c r="Q99" s="7" t="n"/>
      <c r="R99" s="6" t="n"/>
      <c r="S99" s="6" t="n"/>
      <c r="T99" s="6" t="n"/>
      <c r="U99" s="6" t="n"/>
      <c r="V99" s="6" t="n"/>
      <c r="W99" s="6" t="n"/>
      <c r="X99" s="6" t="n"/>
      <c r="Y99" s="6" t="n"/>
      <c r="Z99" s="6" t="n"/>
      <c r="AA99" s="6" t="n"/>
      <c r="AB99" s="6" t="n"/>
      <c r="AC99" s="6" t="n"/>
      <c r="AD99" s="6" t="n"/>
      <c r="AE99" s="6" t="n"/>
      <c r="AF99" s="6" t="n"/>
      <c r="AG99" s="6" t="n"/>
      <c r="AH99" s="6" t="n"/>
      <c r="AI99" s="6" t="n"/>
      <c r="AJ99" s="6" t="n"/>
      <c r="AK99" s="6" t="n"/>
    </row>
    <row r="100">
      <c r="A100" s="6" t="n"/>
      <c r="B100" s="6" t="n"/>
      <c r="C100" s="6" t="n"/>
      <c r="D100" s="6" t="n"/>
      <c r="E100" s="6" t="n"/>
      <c r="F100" s="6" t="n"/>
      <c r="G100" s="6" t="n"/>
      <c r="H100" s="6" t="n"/>
      <c r="I100" s="6" t="n"/>
      <c r="J100" s="6" t="inlineStr">
        <is>
          <t>TOTAL INSURANCE</t>
        </is>
      </c>
      <c r="K100" s="6" t="n"/>
      <c r="L100" s="6" t="n"/>
      <c r="M100" s="6" t="n"/>
      <c r="N100" s="6" t="n"/>
      <c r="O100" s="6" t="n"/>
      <c r="P100" s="7" t="n">
        <v>0</v>
      </c>
      <c r="Q100" s="7"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row>
    <row r="101">
      <c r="A101" s="6" t="n"/>
      <c r="B101" s="6" t="n"/>
      <c r="C101" s="6" t="n"/>
      <c r="D101" s="6" t="n"/>
      <c r="E101" s="6" t="n"/>
      <c r="F101" s="6" t="n"/>
      <c r="G101" s="6" t="n"/>
      <c r="H101" s="6" t="n"/>
      <c r="I101" s="6" t="n"/>
      <c r="J101" s="6" t="inlineStr">
        <is>
          <t>TOTAL OTHER COST</t>
        </is>
      </c>
      <c r="K101" s="6" t="n"/>
      <c r="L101" s="6" t="n"/>
      <c r="M101" s="6" t="n"/>
      <c r="N101" s="6" t="n"/>
      <c r="O101" s="6" t="n"/>
      <c r="P101" s="7" t="n">
        <v>5.53</v>
      </c>
      <c r="Q101" s="7" t="n"/>
      <c r="R101" s="6" t="n"/>
      <c r="S101" s="6" t="n"/>
      <c r="T101" s="6" t="n"/>
      <c r="U101" s="6" t="n"/>
      <c r="V101" s="6" t="n"/>
      <c r="W101" s="6" t="n"/>
      <c r="X101" s="6" t="n"/>
      <c r="Y101" s="6" t="n"/>
      <c r="Z101" s="6" t="n"/>
      <c r="AA101" s="6" t="n"/>
      <c r="AB101" s="6" t="n"/>
      <c r="AC101" s="6" t="n"/>
      <c r="AD101" s="6" t="n"/>
      <c r="AE101" s="6" t="n"/>
      <c r="AF101" s="6" t="n"/>
      <c r="AG101" s="6" t="n"/>
      <c r="AH101" s="6" t="n"/>
      <c r="AI101" s="6" t="n"/>
      <c r="AJ101" s="6" t="n"/>
      <c r="AK101" s="6" t="n"/>
    </row>
    <row r="102">
      <c r="A102" s="6" t="n"/>
      <c r="B102" s="6" t="n"/>
      <c r="C102" s="6" t="n"/>
      <c r="D102" s="6" t="n"/>
      <c r="E102" s="6" t="n"/>
      <c r="F102" s="6" t="n"/>
      <c r="G102" s="6" t="n"/>
      <c r="H102" s="6" t="n"/>
      <c r="I102" s="6" t="n"/>
      <c r="J102" s="6" t="inlineStr">
        <is>
          <t>TOTAL DEDUCTION</t>
        </is>
      </c>
      <c r="K102" s="6" t="n"/>
      <c r="L102" s="6" t="n"/>
      <c r="M102" s="6" t="n"/>
      <c r="N102" s="6" t="n"/>
      <c r="O102" s="6" t="n"/>
      <c r="P102" s="7" t="n">
        <v>33.99</v>
      </c>
      <c r="Q102" s="7" t="n"/>
      <c r="R102" s="6" t="n"/>
      <c r="S102" s="6" t="n"/>
      <c r="T102" s="6" t="n"/>
      <c r="U102" s="6" t="n"/>
      <c r="V102" s="6" t="n"/>
      <c r="W102" s="6" t="n"/>
      <c r="X102" s="6" t="n"/>
      <c r="Y102" s="6" t="n"/>
      <c r="Z102" s="6" t="n"/>
      <c r="AA102" s="6" t="n"/>
      <c r="AB102" s="6" t="n"/>
      <c r="AC102" s="6" t="n"/>
      <c r="AD102" s="6" t="n"/>
      <c r="AE102" s="6" t="n"/>
      <c r="AF102" s="6" t="n"/>
      <c r="AG102" s="6" t="n"/>
      <c r="AH102" s="6" t="n"/>
      <c r="AI102" s="6" t="n"/>
      <c r="AJ102" s="6" t="n"/>
      <c r="AK102" s="6" t="n"/>
    </row>
    <row r="103">
      <c r="A103" s="6" t="n"/>
      <c r="B103" s="6" t="n"/>
      <c r="C103" s="6" t="n"/>
      <c r="D103" s="6" t="n"/>
      <c r="E103" s="6" t="n"/>
      <c r="F103" s="6" t="n"/>
      <c r="G103" s="6" t="n"/>
      <c r="H103" s="6" t="n"/>
      <c r="I103" s="6" t="n"/>
      <c r="J103" s="6" t="inlineStr">
        <is>
          <t>ADJUSTMENTS</t>
        </is>
      </c>
      <c r="K103" s="6" t="n"/>
      <c r="L103" s="6" t="n"/>
      <c r="M103" s="6" t="n"/>
      <c r="N103" s="6" t="n"/>
      <c r="O103" s="6" t="n"/>
      <c r="P103" s="7">
        <f>(T87+U87+V87-W87)</f>
        <v/>
      </c>
      <c r="Q103" s="7">
        <f>(T87+U87+V87-W87)</f>
        <v/>
      </c>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row>
    <row r="104"/>
    <row r="105">
      <c r="A105" s="6" t="n"/>
      <c r="B105" s="6" t="n"/>
      <c r="C105" s="6" t="n"/>
      <c r="D105" s="6" t="n"/>
      <c r="E105" s="6" t="n"/>
      <c r="F105" s="6" t="n"/>
      <c r="G105" s="6" t="n"/>
      <c r="H105" s="6" t="n"/>
      <c r="I105" s="6" t="n"/>
      <c r="J105" s="6" t="inlineStr">
        <is>
          <t>NET TOTAL</t>
        </is>
      </c>
      <c r="K105" s="6" t="n"/>
      <c r="L105" s="6" t="n"/>
      <c r="M105" s="6" t="n"/>
      <c r="N105" s="6" t="n"/>
      <c r="O105" s="6" t="n"/>
      <c r="P105" s="7">
        <f>P95+P103</f>
        <v/>
      </c>
      <c r="Q105" s="7">
        <f>Q95+Q103</f>
        <v/>
      </c>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row>
    <row r="106">
      <c r="A106" s="6" t="n"/>
      <c r="B106" s="6" t="n"/>
      <c r="C106" s="6" t="n"/>
      <c r="D106" s="6" t="n"/>
      <c r="E106" s="6" t="n"/>
      <c r="F106" s="6" t="n"/>
      <c r="G106" s="6" t="n"/>
      <c r="H106" s="6" t="n"/>
      <c r="I106" s="6" t="n"/>
      <c r="J106" s="6" t="inlineStr">
        <is>
          <t>INVOICE TOTAL</t>
        </is>
      </c>
      <c r="K106" s="6" t="n"/>
      <c r="L106" s="6" t="n"/>
      <c r="M106" s="6" t="n"/>
      <c r="N106" s="6" t="n"/>
      <c r="O106" s="6" t="n"/>
      <c r="P106" s="7">
        <f>S87</f>
        <v/>
      </c>
      <c r="Q106" s="7"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row>
    <row r="107"/>
    <row r="108">
      <c r="A108" s="10" t="n"/>
      <c r="B108" s="10" t="n"/>
      <c r="C108" s="10" t="n"/>
      <c r="D108" s="10" t="n"/>
      <c r="E108" s="10" t="n"/>
      <c r="F108" s="10" t="n"/>
      <c r="G108" s="10" t="n"/>
      <c r="H108" s="10" t="n"/>
      <c r="I108" s="10" t="n"/>
      <c r="J108" s="10" t="inlineStr">
        <is>
          <t>VARIANCE CHECK</t>
        </is>
      </c>
      <c r="K108" s="10" t="n"/>
      <c r="L108" s="10" t="n"/>
      <c r="M108" s="10" t="n"/>
      <c r="N108" s="10" t="n"/>
      <c r="O108" s="10" t="n"/>
      <c r="P108" s="11">
        <f>S87-P105</f>
        <v/>
      </c>
      <c r="Q108" s="11">
        <f>S87-Q105</f>
        <v/>
      </c>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row>
    <row r="109"/>
    <row r="110">
      <c r="A110" s="14" t="n"/>
      <c r="B110" s="14" t="n"/>
      <c r="C110" s="14" t="n"/>
      <c r="D110" s="14" t="n"/>
      <c r="E110" s="14" t="n"/>
      <c r="F110" s="14" t="n"/>
      <c r="G110" s="14" t="n"/>
      <c r="H110" s="14" t="n"/>
      <c r="I110" s="14" t="n"/>
      <c r="J110" s="14" t="inlineStr">
        <is>
          <t>DUTY ESTIMATION (Classification Cross-Check)</t>
        </is>
      </c>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row>
    <row r="111">
      <c r="A111" s="15" t="n"/>
      <c r="B111" s="15" t="n"/>
      <c r="C111" s="15" t="n"/>
      <c r="D111" s="15" t="n"/>
      <c r="E111" s="15" t="n"/>
      <c r="F111" s="15" t="n"/>
      <c r="G111" s="15" t="n"/>
      <c r="H111" s="15" t="n"/>
      <c r="I111" s="15" t="n"/>
      <c r="J111" s="16" t="inlineStr">
        <is>
          <t>CIF (USD) = InvTotal + Freight + Insurance</t>
        </is>
      </c>
      <c r="K111" s="15" t="n"/>
      <c r="L111" s="15" t="n"/>
      <c r="M111" s="15" t="n"/>
      <c r="N111" s="15" t="n"/>
      <c r="O111" s="15" t="n"/>
      <c r="P111" s="17" t="n">
        <v>44.48</v>
      </c>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row>
    <row r="112">
      <c r="A112" s="15" t="n"/>
      <c r="B112" s="15" t="n"/>
      <c r="C112" s="15" t="n"/>
      <c r="D112" s="15" t="n"/>
      <c r="E112" s="15" t="n"/>
      <c r="F112" s="15" t="n"/>
      <c r="G112" s="15" t="n"/>
      <c r="H112" s="15" t="n"/>
      <c r="I112" s="15" t="n"/>
      <c r="J112" s="16" t="inlineStr">
        <is>
          <t>CIF (XCD) = CIF × 2.7169</t>
        </is>
      </c>
      <c r="K112" s="15" t="n"/>
      <c r="L112" s="15" t="n"/>
      <c r="M112" s="15" t="n"/>
      <c r="N112" s="15" t="n"/>
      <c r="O112" s="15" t="n"/>
      <c r="P112" s="17" t="n">
        <v>120.85</v>
      </c>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row>
    <row r="113">
      <c r="A113" s="15" t="n"/>
      <c r="B113" s="15" t="n"/>
      <c r="C113" s="15" t="n"/>
      <c r="D113" s="15" t="n"/>
      <c r="E113" s="15" t="n"/>
      <c r="F113" s="15" t="n"/>
      <c r="G113" s="15" t="n"/>
      <c r="H113" s="15" t="n"/>
      <c r="I113" s="15" t="n"/>
      <c r="J113" s="16" t="inlineStr">
        <is>
          <t>CET (weighted avg 20.0%)</t>
        </is>
      </c>
      <c r="K113" s="15" t="n"/>
      <c r="L113" s="15" t="n"/>
      <c r="M113" s="15" t="n"/>
      <c r="N113" s="15" t="n"/>
      <c r="O113" s="15" t="n"/>
      <c r="P113" s="17" t="n">
        <v>24.17</v>
      </c>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row>
    <row r="114">
      <c r="A114" s="15" t="n"/>
      <c r="B114" s="15" t="n"/>
      <c r="C114" s="15" t="n"/>
      <c r="D114" s="15" t="n"/>
      <c r="E114" s="15" t="n"/>
      <c r="F114" s="15" t="n"/>
      <c r="G114" s="15" t="n"/>
      <c r="H114" s="15" t="n"/>
      <c r="I114" s="15" t="n"/>
      <c r="J114" s="16" t="inlineStr">
        <is>
          <t xml:space="preserve">  └ 00000000: 20% CET (82% of value)</t>
        </is>
      </c>
      <c r="K114" s="15" t="n"/>
      <c r="L114" s="15" t="n"/>
      <c r="M114" s="15" t="n"/>
      <c r="N114" s="15" t="n"/>
      <c r="O114" s="15" t="n"/>
      <c r="P114" s="17" t="n">
        <v>19.87</v>
      </c>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row>
    <row r="115">
      <c r="A115" s="15" t="n"/>
      <c r="B115" s="15" t="n"/>
      <c r="C115" s="15" t="n"/>
      <c r="D115" s="15" t="n"/>
      <c r="E115" s="15" t="n"/>
      <c r="F115" s="15" t="n"/>
      <c r="G115" s="15" t="n"/>
      <c r="H115" s="15" t="n"/>
      <c r="I115" s="15" t="n"/>
      <c r="J115" s="16" t="inlineStr">
        <is>
          <t xml:space="preserve">  └ 62034290: 20% CET (11% of value)</t>
        </is>
      </c>
      <c r="K115" s="15" t="n"/>
      <c r="L115" s="15" t="n"/>
      <c r="M115" s="15" t="n"/>
      <c r="N115" s="15" t="n"/>
      <c r="O115" s="15" t="n"/>
      <c r="P115" s="17" t="n">
        <v>2.64</v>
      </c>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row>
    <row r="116">
      <c r="A116" s="15" t="n"/>
      <c r="B116" s="15" t="n"/>
      <c r="C116" s="15" t="n"/>
      <c r="D116" s="15" t="n"/>
      <c r="E116" s="15" t="n"/>
      <c r="F116" s="15" t="n"/>
      <c r="G116" s="15" t="n"/>
      <c r="H116" s="15" t="n"/>
      <c r="I116" s="15" t="n"/>
      <c r="J116" s="16" t="inlineStr">
        <is>
          <t xml:space="preserve">  └ 94054000: 20% CET (7% of value)</t>
        </is>
      </c>
      <c r="K116" s="15" t="n"/>
      <c r="L116" s="15" t="n"/>
      <c r="M116" s="15" t="n"/>
      <c r="N116" s="15" t="n"/>
      <c r="O116" s="15" t="n"/>
      <c r="P116" s="17" t="n">
        <v>1.65</v>
      </c>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row>
    <row r="117">
      <c r="A117" s="15" t="n"/>
      <c r="B117" s="15" t="n"/>
      <c r="C117" s="15" t="n"/>
      <c r="D117" s="15" t="n"/>
      <c r="E117" s="15" t="n"/>
      <c r="F117" s="15" t="n"/>
      <c r="G117" s="15" t="n"/>
      <c r="H117" s="15" t="n"/>
      <c r="I117" s="15" t="n"/>
      <c r="J117" s="16" t="inlineStr">
        <is>
          <t>CSC (6%)</t>
        </is>
      </c>
      <c r="K117" s="15" t="n"/>
      <c r="L117" s="15" t="n"/>
      <c r="M117" s="15" t="n"/>
      <c r="N117" s="15" t="n"/>
      <c r="O117" s="15" t="n"/>
      <c r="P117" s="17" t="n">
        <v>7.25</v>
      </c>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row>
    <row r="118">
      <c r="A118" s="15" t="n"/>
      <c r="B118" s="15" t="n"/>
      <c r="C118" s="15" t="n"/>
      <c r="D118" s="15" t="n"/>
      <c r="E118" s="15" t="n"/>
      <c r="F118" s="15" t="n"/>
      <c r="G118" s="15" t="n"/>
      <c r="H118" s="15" t="n"/>
      <c r="I118" s="15" t="n"/>
      <c r="J118" s="16" t="inlineStr">
        <is>
          <t>VAT (15%) on CIF+CET+CSC</t>
        </is>
      </c>
      <c r="K118" s="15" t="n"/>
      <c r="L118" s="15" t="n"/>
      <c r="M118" s="15" t="n"/>
      <c r="N118" s="15" t="n"/>
      <c r="O118" s="15" t="n"/>
      <c r="P118" s="17" t="n">
        <v>22.84</v>
      </c>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row>
    <row r="119">
      <c r="A119" s="18" t="n"/>
      <c r="B119" s="18" t="n"/>
      <c r="C119" s="18" t="n"/>
      <c r="D119" s="18" t="n"/>
      <c r="E119" s="18" t="n"/>
      <c r="F119" s="18" t="n"/>
      <c r="G119" s="18" t="n"/>
      <c r="H119" s="18" t="n"/>
      <c r="I119" s="18" t="n"/>
      <c r="J119" s="14" t="inlineStr">
        <is>
          <t>ESTIMATED TOTAL DUTIES</t>
        </is>
      </c>
      <c r="K119" s="18" t="n"/>
      <c r="L119" s="18" t="n"/>
      <c r="M119" s="18" t="n"/>
      <c r="N119" s="18" t="n"/>
      <c r="O119" s="18" t="n"/>
      <c r="P119" s="19" t="n">
        <v>54.26</v>
      </c>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c r="AJ119" s="18" t="n"/>
      <c r="AK119" s="18" t="n"/>
    </row>
    <row r="120">
      <c r="A120" s="15" t="n"/>
      <c r="B120" s="15" t="n"/>
      <c r="C120" s="15" t="n"/>
      <c r="D120" s="15" t="n"/>
      <c r="E120" s="15" t="n"/>
      <c r="F120" s="15" t="n"/>
      <c r="G120" s="15" t="n"/>
      <c r="H120" s="15" t="n"/>
      <c r="I120" s="15" t="n"/>
      <c r="J120" s="16" t="inlineStr">
        <is>
          <t>Effective Duty Rate</t>
        </is>
      </c>
      <c r="K120" s="15" t="n"/>
      <c r="L120" s="15" t="n"/>
      <c r="M120" s="15" t="n"/>
      <c r="N120" s="15" t="n"/>
      <c r="O120" s="15" t="n"/>
      <c r="P120" s="20" t="n">
        <v>0.4489863467107985</v>
      </c>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c r="AA121" s="21" t="n"/>
      <c r="AB121" s="21" t="n"/>
      <c r="AC121" s="21" t="n"/>
      <c r="AD121" s="21" t="n"/>
      <c r="AE121" s="21" t="n"/>
      <c r="AF121" s="21" t="n"/>
      <c r="AG121" s="21" t="n"/>
      <c r="AH121" s="21" t="n"/>
      <c r="AI121" s="21" t="n"/>
      <c r="AJ121" s="21" t="n"/>
      <c r="AK121" s="21" t="n"/>
    </row>
    <row r="122">
      <c r="A122" s="2" t="inlineStr">
        <is>
          <t>4000-000</t>
        </is>
      </c>
      <c r="B122" s="2" t="n"/>
      <c r="C122" s="2" t="inlineStr">
        <is>
          <t>138984731</t>
        </is>
      </c>
      <c r="D122" s="2" t="inlineStr">
        <is>
          <t>July 17th, 2024</t>
        </is>
      </c>
      <c r="E122" s="2" t="inlineStr">
        <is>
          <t>PRODUCTS</t>
        </is>
      </c>
      <c r="F122" s="2" t="inlineStr">
        <is>
          <t>00000000</t>
        </is>
      </c>
      <c r="G122" s="2" t="n"/>
      <c r="H122" s="2" t="n"/>
      <c r="I122" s="2" t="inlineStr">
        <is>
          <t>00000000</t>
        </is>
      </c>
      <c r="J122" s="2" t="inlineStr">
        <is>
          <t>Harmonized Total . Amount Emma Ribbed Tank - Camel _— (1 items)</t>
        </is>
      </c>
      <c r="K122" s="2" t="n">
        <v>1</v>
      </c>
      <c r="L122" s="2" t="n"/>
      <c r="M122" s="2" t="n"/>
      <c r="N122" s="2" t="inlineStr">
        <is>
          <t>USD</t>
        </is>
      </c>
      <c r="O122" s="3" t="n">
        <v>6</v>
      </c>
      <c r="P122" s="3" t="n">
        <v>6</v>
      </c>
      <c r="Q122" s="3">
        <f>O122*K122</f>
        <v/>
      </c>
      <c r="R122" s="3">
        <f>P122-Q122</f>
        <v/>
      </c>
      <c r="S122" s="3" t="n">
        <v>83.43000000000001</v>
      </c>
      <c r="T122" s="3" t="n">
        <v>0</v>
      </c>
      <c r="U122" s="3" t="n">
        <v>0</v>
      </c>
      <c r="V122" s="3" t="n">
        <v>5.46</v>
      </c>
      <c r="W122" s="3" t="n">
        <v>0</v>
      </c>
      <c r="X122" s="2" t="n">
        <v>1</v>
      </c>
      <c r="Y122" s="2" t="n"/>
      <c r="Z122" s="2" t="inlineStr">
        <is>
          <t>FASHION</t>
        </is>
      </c>
      <c r="AA122" s="2" t="inlineStr">
        <is>
          <t>Fashion Nova</t>
        </is>
      </c>
      <c r="AB122" s="2" t="inlineStr">
        <is>
          <t>2801 E. 46th Street, Vernon, CA 90058</t>
        </is>
      </c>
      <c r="AC122" s="2" t="inlineStr">
        <is>
          <t>US</t>
        </is>
      </c>
      <c r="AD122" s="2" t="n"/>
      <c r="AE122" s="2" t="n"/>
      <c r="AF122" s="2" t="n"/>
      <c r="AG122" s="2" t="n"/>
      <c r="AH122" s="2" t="n"/>
      <c r="AI122" s="2" t="n"/>
      <c r="AJ122" s="2" t="n"/>
      <c r="AK122" s="2" t="inlineStr">
        <is>
          <t>00000000</t>
        </is>
      </c>
    </row>
    <row r="123">
      <c r="A123" s="4" t="n"/>
      <c r="B123" s="4" t="n"/>
      <c r="C123" s="4" t="n"/>
      <c r="D123" s="4" t="n"/>
      <c r="E123" s="4" t="n"/>
      <c r="F123" s="4" t="inlineStr">
        <is>
          <t>00000000</t>
        </is>
      </c>
      <c r="G123" s="4" t="n"/>
      <c r="H123" s="4" t="n"/>
      <c r="I123" s="4" t="inlineStr">
        <is>
          <t>FN-1</t>
        </is>
      </c>
      <c r="J123" s="4" t="inlineStr">
        <is>
          <t>Harmonized Total . Amount Emma Ribbed Tank - Camel _—</t>
        </is>
      </c>
      <c r="K123" s="4" t="n">
        <v>1</v>
      </c>
      <c r="L123" s="4" t="n"/>
      <c r="M123" s="4" t="n"/>
      <c r="N123" s="4" t="inlineStr">
        <is>
          <t>USD</t>
        </is>
      </c>
      <c r="O123" s="5" t="n">
        <v>6</v>
      </c>
      <c r="P123" s="5" t="n">
        <v>6</v>
      </c>
      <c r="Q123" s="5">
        <f>O123*K123</f>
        <v/>
      </c>
      <c r="R123" s="5">
        <f>P123-Q123</f>
        <v/>
      </c>
      <c r="S123" s="4" t="n"/>
      <c r="T123" s="4" t="n"/>
      <c r="U123" s="4" t="n"/>
      <c r="V123" s="4" t="n"/>
      <c r="W123" s="4" t="n"/>
      <c r="X123" s="4" t="n"/>
      <c r="Y123" s="4" t="n"/>
      <c r="Z123" s="4" t="n"/>
      <c r="AA123" s="4" t="n"/>
      <c r="AB123" s="4" t="n"/>
      <c r="AC123" s="4" t="n"/>
      <c r="AD123" s="4" t="n"/>
      <c r="AE123" s="4" t="n"/>
      <c r="AF123" s="4" t="n"/>
      <c r="AG123" s="4" t="n"/>
      <c r="AH123" s="4" t="n"/>
      <c r="AI123" s="4" t="n"/>
      <c r="AJ123" s="4" t="n"/>
      <c r="AK123" s="4" t="n"/>
    </row>
    <row r="124">
      <c r="A124" s="2" t="n"/>
      <c r="B124" s="2" t="n"/>
      <c r="C124" s="2" t="inlineStr">
        <is>
          <t>138984731</t>
        </is>
      </c>
      <c r="D124" s="2" t="inlineStr">
        <is>
          <t>July 17th, 2024</t>
        </is>
      </c>
      <c r="E124" s="2" t="inlineStr">
        <is>
          <t>Trousers and shorts</t>
        </is>
      </c>
      <c r="F124" s="2" t="inlineStr">
        <is>
          <t>62034290</t>
        </is>
      </c>
      <c r="G124" s="2" t="n"/>
      <c r="H124" s="2" t="n"/>
      <c r="I124" s="2" t="inlineStr">
        <is>
          <t>62034290</t>
        </is>
      </c>
      <c r="J124" s="2" t="inlineStr">
        <is>
          <t>Glistening Jeans-Olive-5 1 $11.98 $0.84.» $0.00 ~—«$0.00 $12.82 Always InA Good Mood Pant 1 , (1 items)</t>
        </is>
      </c>
      <c r="K124" s="2" t="n">
        <v>7</v>
      </c>
      <c r="L124" s="2" t="n"/>
      <c r="M124" s="2" t="n"/>
      <c r="N124" s="2" t="inlineStr">
        <is>
          <t>USD</t>
        </is>
      </c>
      <c r="O124" s="3" t="n">
        <v>1.99</v>
      </c>
      <c r="P124" s="3" t="n">
        <v>13.93</v>
      </c>
      <c r="Q124" s="3">
        <f>O124*K124</f>
        <v/>
      </c>
      <c r="R124" s="3">
        <f>P124-Q124</f>
        <v/>
      </c>
      <c r="S124" s="3" t="n"/>
      <c r="T124" s="3" t="n"/>
      <c r="U124" s="3" t="n"/>
      <c r="V124" s="3" t="n"/>
      <c r="W124" s="3" t="n"/>
      <c r="X124" s="2" t="n"/>
      <c r="Y124" s="2" t="n"/>
      <c r="Z124" s="2" t="n"/>
      <c r="AA124" s="2" t="n"/>
      <c r="AB124" s="2" t="n"/>
      <c r="AC124" s="2" t="n"/>
      <c r="AD124" s="2" t="n"/>
      <c r="AE124" s="2" t="n"/>
      <c r="AF124" s="2" t="n"/>
      <c r="AG124" s="2" t="n"/>
      <c r="AH124" s="2" t="n"/>
      <c r="AI124" s="2" t="n"/>
      <c r="AJ124" s="2" t="n"/>
      <c r="AK124" s="2" t="inlineStr">
        <is>
          <t>62034290</t>
        </is>
      </c>
    </row>
    <row r="125">
      <c r="A125" s="4" t="n"/>
      <c r="B125" s="4" t="n"/>
      <c r="C125" s="4" t="n"/>
      <c r="D125" s="4" t="n"/>
      <c r="E125" s="4" t="n"/>
      <c r="F125" s="4" t="inlineStr">
        <is>
          <t>62034290</t>
        </is>
      </c>
      <c r="G125" s="4" t="n"/>
      <c r="H125" s="4" t="n"/>
      <c r="I125" s="4" t="inlineStr">
        <is>
          <t>FN-2</t>
        </is>
      </c>
      <c r="J125" s="4" t="inlineStr">
        <is>
          <t>Glistening Jeans-Olive-5 1 $11.98 $0.84.» $0.00 ~—«$0.00 $12.82 Always InA Good Mood Pant 1 ,</t>
        </is>
      </c>
      <c r="K125" s="4" t="n">
        <v>7</v>
      </c>
      <c r="L125" s="4" t="n"/>
      <c r="M125" s="4" t="n"/>
      <c r="N125" s="4" t="inlineStr">
        <is>
          <t>USD</t>
        </is>
      </c>
      <c r="O125" s="5" t="n">
        <v>1.99</v>
      </c>
      <c r="P125" s="5" t="n">
        <v>13.93</v>
      </c>
      <c r="Q125" s="5">
        <f>O125*K125</f>
        <v/>
      </c>
      <c r="R125" s="5">
        <f>P125-Q125</f>
        <v/>
      </c>
      <c r="S125" s="4" t="n"/>
      <c r="T125" s="4" t="n"/>
      <c r="U125" s="4" t="n"/>
      <c r="V125" s="4" t="n"/>
      <c r="W125" s="4" t="n"/>
      <c r="X125" s="4" t="n"/>
      <c r="Y125" s="4" t="n"/>
      <c r="Z125" s="4" t="n"/>
      <c r="AA125" s="4" t="n"/>
      <c r="AB125" s="4" t="n"/>
      <c r="AC125" s="4" t="n"/>
      <c r="AD125" s="4" t="n"/>
      <c r="AE125" s="4" t="n"/>
      <c r="AF125" s="4" t="n"/>
      <c r="AG125" s="4" t="n"/>
      <c r="AH125" s="4" t="n"/>
      <c r="AI125" s="4" t="n"/>
      <c r="AJ125" s="4" t="n"/>
      <c r="AK125" s="4" t="n"/>
    </row>
    <row r="126">
      <c r="A126" s="2" t="n"/>
      <c r="B126" s="2" t="n"/>
      <c r="C126" s="2" t="inlineStr">
        <is>
          <t>138984731</t>
        </is>
      </c>
      <c r="D126" s="2" t="inlineStr">
        <is>
          <t>July 17th, 2024</t>
        </is>
      </c>
      <c r="E126" s="2" t="inlineStr">
        <is>
          <t>HAND TOOLS</t>
        </is>
      </c>
      <c r="F126" s="2" t="inlineStr">
        <is>
          <t>82059000</t>
        </is>
      </c>
      <c r="G126" s="2" t="n"/>
      <c r="H126" s="2" t="n"/>
      <c r="I126" s="2" t="inlineStr">
        <is>
          <t>82059000</t>
        </is>
      </c>
      <c r="J126" s="2" t="inlineStr">
        <is>
          <t>Set - Green/combo - S Maya Bandage Midi Dress- (1 items)</t>
        </is>
      </c>
      <c r="K126" s="2" t="n">
        <v>1</v>
      </c>
      <c r="L126" s="2" t="n"/>
      <c r="M126" s="2" t="n"/>
      <c r="N126" s="2" t="inlineStr">
        <is>
          <t>USD</t>
        </is>
      </c>
      <c r="O126" s="3" t="n">
        <v>59.99</v>
      </c>
      <c r="P126" s="3" t="n">
        <v>59.99</v>
      </c>
      <c r="Q126" s="3">
        <f>O126*K126</f>
        <v/>
      </c>
      <c r="R126" s="3">
        <f>P126-Q126</f>
        <v/>
      </c>
      <c r="S126" s="3" t="n"/>
      <c r="T126" s="3" t="n"/>
      <c r="U126" s="3" t="n"/>
      <c r="V126" s="3" t="n"/>
      <c r="W126" s="3" t="n"/>
      <c r="X126" s="2" t="n"/>
      <c r="Y126" s="2" t="n"/>
      <c r="Z126" s="2" t="n"/>
      <c r="AA126" s="2" t="n"/>
      <c r="AB126" s="2" t="n"/>
      <c r="AC126" s="2" t="n"/>
      <c r="AD126" s="2" t="n"/>
      <c r="AE126" s="2" t="n"/>
      <c r="AF126" s="2" t="n"/>
      <c r="AG126" s="2" t="n"/>
      <c r="AH126" s="2" t="n"/>
      <c r="AI126" s="2" t="n"/>
      <c r="AJ126" s="2" t="n"/>
      <c r="AK126" s="2" t="inlineStr">
        <is>
          <t>82059000</t>
        </is>
      </c>
    </row>
    <row r="127">
      <c r="A127" s="4" t="n"/>
      <c r="B127" s="4" t="n"/>
      <c r="C127" s="4" t="n"/>
      <c r="D127" s="4" t="n"/>
      <c r="E127" s="4" t="n"/>
      <c r="F127" s="4" t="inlineStr">
        <is>
          <t>82059000</t>
        </is>
      </c>
      <c r="G127" s="4" t="n"/>
      <c r="H127" s="4" t="n"/>
      <c r="I127" s="4" t="inlineStr">
        <is>
          <t>FN-3</t>
        </is>
      </c>
      <c r="J127" s="4" t="inlineStr">
        <is>
          <t>Set - Green/combo - S Maya Bandage Midi Dress-</t>
        </is>
      </c>
      <c r="K127" s="4" t="n">
        <v>1</v>
      </c>
      <c r="L127" s="4" t="n"/>
      <c r="M127" s="4" t="n"/>
      <c r="N127" s="4" t="inlineStr">
        <is>
          <t>USD</t>
        </is>
      </c>
      <c r="O127" s="5" t="n">
        <v>59.99</v>
      </c>
      <c r="P127" s="5" t="n">
        <v>59.99</v>
      </c>
      <c r="Q127" s="5">
        <f>O127*K127</f>
        <v/>
      </c>
      <c r="R127" s="5">
        <f>P127-Q127</f>
        <v/>
      </c>
      <c r="S127" s="4" t="n"/>
      <c r="T127" s="4" t="n"/>
      <c r="U127" s="4" t="n"/>
      <c r="V127" s="4" t="n"/>
      <c r="W127" s="4" t="n"/>
      <c r="X127" s="4" t="n"/>
      <c r="Y127" s="4" t="n"/>
      <c r="Z127" s="4" t="n"/>
      <c r="AA127" s="4" t="n"/>
      <c r="AB127" s="4" t="n"/>
      <c r="AC127" s="4" t="n"/>
      <c r="AD127" s="4" t="n"/>
      <c r="AE127" s="4" t="n"/>
      <c r="AF127" s="4" t="n"/>
      <c r="AG127" s="4" t="n"/>
      <c r="AH127" s="4" t="n"/>
      <c r="AI127" s="4" t="n"/>
      <c r="AJ127" s="4" t="n"/>
      <c r="AK127" s="4" t="n"/>
    </row>
    <row r="128">
      <c r="A128" s="6" t="n"/>
      <c r="B128" s="6" t="n"/>
      <c r="C128" s="6" t="n"/>
      <c r="D128" s="6" t="n"/>
      <c r="E128" s="6" t="n"/>
      <c r="F128" s="6" t="n"/>
      <c r="G128" s="6" t="n"/>
      <c r="H128" s="6" t="n"/>
      <c r="I128" s="6" t="n"/>
      <c r="J128" s="6" t="inlineStr">
        <is>
          <t>SUBTOTAL (GROUPED)</t>
        </is>
      </c>
      <c r="K128" s="6" t="n"/>
      <c r="L128" s="6" t="n"/>
      <c r="M128" s="6" t="n"/>
      <c r="N128" s="6" t="n"/>
      <c r="O128" s="6" t="n"/>
      <c r="P128" s="7">
        <f>P122+P124+P126</f>
        <v/>
      </c>
      <c r="Q128" s="7">
        <f>Q122+Q124+Q126</f>
        <v/>
      </c>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row>
    <row r="129">
      <c r="A129" s="6" t="n"/>
      <c r="B129" s="6" t="n"/>
      <c r="C129" s="6" t="n"/>
      <c r="D129" s="6" t="n"/>
      <c r="E129" s="6" t="n"/>
      <c r="F129" s="6" t="n"/>
      <c r="G129" s="6" t="n"/>
      <c r="H129" s="6" t="n"/>
      <c r="I129" s="6" t="n"/>
      <c r="J129" s="6" t="inlineStr">
        <is>
          <t>SUBTOTAL (DETAILS)</t>
        </is>
      </c>
      <c r="K129" s="6" t="n"/>
      <c r="L129" s="6" t="n"/>
      <c r="M129" s="6" t="n"/>
      <c r="N129" s="6" t="n"/>
      <c r="O129" s="6" t="n"/>
      <c r="P129" s="7">
        <f>SUM(P122:P127)-P128</f>
        <v/>
      </c>
      <c r="Q129" s="7">
        <f>SUM(Q122:Q127)-Q128</f>
        <v/>
      </c>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row>
    <row r="130">
      <c r="A130" s="8" t="n"/>
      <c r="B130" s="8" t="n"/>
      <c r="C130" s="8" t="n"/>
      <c r="D130" s="8" t="n"/>
      <c r="E130" s="8" t="n"/>
      <c r="F130" s="8" t="n"/>
      <c r="G130" s="8" t="n"/>
      <c r="H130" s="8" t="n"/>
      <c r="I130" s="8" t="n"/>
      <c r="J130" s="8" t="inlineStr">
        <is>
          <t>GROUP VERIFICATION</t>
        </is>
      </c>
      <c r="K130" s="8" t="n"/>
      <c r="L130" s="8" t="n"/>
      <c r="M130" s="8" t="n"/>
      <c r="N130" s="8" t="n"/>
      <c r="O130" s="8" t="n"/>
      <c r="P130" s="9">
        <f>P128-P129</f>
        <v/>
      </c>
      <c r="Q130" s="9">
        <f>Q128-Q129</f>
        <v/>
      </c>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row>
    <row r="131"/>
    <row r="132">
      <c r="A132" s="6" t="n"/>
      <c r="B132" s="6" t="n"/>
      <c r="C132" s="6" t="n"/>
      <c r="D132" s="6" t="n"/>
      <c r="E132" s="6" t="n"/>
      <c r="F132" s="6" t="n"/>
      <c r="G132" s="6" t="n"/>
      <c r="H132" s="6" t="n"/>
      <c r="I132" s="6" t="n"/>
      <c r="J132" s="6" t="inlineStr">
        <is>
          <t>TOTAL INTERNAL FREIGHT</t>
        </is>
      </c>
      <c r="K132" s="6" t="n"/>
      <c r="L132" s="6" t="n"/>
      <c r="M132" s="6" t="n"/>
      <c r="N132" s="6" t="n"/>
      <c r="O132" s="6" t="n"/>
      <c r="P132" s="7" t="n">
        <v>0</v>
      </c>
      <c r="Q132" s="7"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row>
    <row r="133">
      <c r="A133" s="6" t="n"/>
      <c r="B133" s="6" t="n"/>
      <c r="C133" s="6" t="n"/>
      <c r="D133" s="6" t="n"/>
      <c r="E133" s="6" t="n"/>
      <c r="F133" s="6" t="n"/>
      <c r="G133" s="6" t="n"/>
      <c r="H133" s="6" t="n"/>
      <c r="I133" s="6" t="n"/>
      <c r="J133" s="6" t="inlineStr">
        <is>
          <t>TOTAL INSURANCE</t>
        </is>
      </c>
      <c r="K133" s="6" t="n"/>
      <c r="L133" s="6" t="n"/>
      <c r="M133" s="6" t="n"/>
      <c r="N133" s="6" t="n"/>
      <c r="O133" s="6" t="n"/>
      <c r="P133" s="7" t="n">
        <v>0</v>
      </c>
      <c r="Q133" s="7"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row>
    <row r="134">
      <c r="A134" s="6" t="n"/>
      <c r="B134" s="6" t="n"/>
      <c r="C134" s="6" t="n"/>
      <c r="D134" s="6" t="n"/>
      <c r="E134" s="6" t="n"/>
      <c r="F134" s="6" t="n"/>
      <c r="G134" s="6" t="n"/>
      <c r="H134" s="6" t="n"/>
      <c r="I134" s="6" t="n"/>
      <c r="J134" s="6" t="inlineStr">
        <is>
          <t>TOTAL OTHER COST</t>
        </is>
      </c>
      <c r="K134" s="6" t="n"/>
      <c r="L134" s="6" t="n"/>
      <c r="M134" s="6" t="n"/>
      <c r="N134" s="6" t="n"/>
      <c r="O134" s="6" t="n"/>
      <c r="P134" s="7" t="n">
        <v>5.46</v>
      </c>
      <c r="Q134" s="7"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row>
    <row r="135">
      <c r="A135" s="6" t="n"/>
      <c r="B135" s="6" t="n"/>
      <c r="C135" s="6" t="n"/>
      <c r="D135" s="6" t="n"/>
      <c r="E135" s="6" t="n"/>
      <c r="F135" s="6" t="n"/>
      <c r="G135" s="6" t="n"/>
      <c r="H135" s="6" t="n"/>
      <c r="I135" s="6" t="n"/>
      <c r="J135" s="6" t="inlineStr">
        <is>
          <t>TOTAL DEDUCTION</t>
        </is>
      </c>
      <c r="K135" s="6" t="n"/>
      <c r="L135" s="6" t="n"/>
      <c r="M135" s="6" t="n"/>
      <c r="N135" s="6" t="n"/>
      <c r="O135" s="6" t="n"/>
      <c r="P135" s="7" t="n">
        <v>0</v>
      </c>
      <c r="Q135" s="7"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row>
    <row r="136">
      <c r="A136" s="6" t="n"/>
      <c r="B136" s="6" t="n"/>
      <c r="C136" s="6" t="n"/>
      <c r="D136" s="6" t="n"/>
      <c r="E136" s="6" t="n"/>
      <c r="F136" s="6" t="n"/>
      <c r="G136" s="6" t="n"/>
      <c r="H136" s="6" t="n"/>
      <c r="I136" s="6" t="n"/>
      <c r="J136" s="6" t="inlineStr">
        <is>
          <t>ADJUSTMENTS</t>
        </is>
      </c>
      <c r="K136" s="6" t="n"/>
      <c r="L136" s="6" t="n"/>
      <c r="M136" s="6" t="n"/>
      <c r="N136" s="6" t="n"/>
      <c r="O136" s="6" t="n"/>
      <c r="P136" s="7">
        <f>(T122+U122+V122-W122)</f>
        <v/>
      </c>
      <c r="Q136" s="7">
        <f>(T122+U122+V122-W122)</f>
        <v/>
      </c>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row>
    <row r="137"/>
    <row r="138">
      <c r="A138" s="6" t="n"/>
      <c r="B138" s="6" t="n"/>
      <c r="C138" s="6" t="n"/>
      <c r="D138" s="6" t="n"/>
      <c r="E138" s="6" t="n"/>
      <c r="F138" s="6" t="n"/>
      <c r="G138" s="6" t="n"/>
      <c r="H138" s="6" t="n"/>
      <c r="I138" s="6" t="n"/>
      <c r="J138" s="6" t="inlineStr">
        <is>
          <t>NET TOTAL</t>
        </is>
      </c>
      <c r="K138" s="6" t="n"/>
      <c r="L138" s="6" t="n"/>
      <c r="M138" s="6" t="n"/>
      <c r="N138" s="6" t="n"/>
      <c r="O138" s="6" t="n"/>
      <c r="P138" s="7">
        <f>P128+P136</f>
        <v/>
      </c>
      <c r="Q138" s="7">
        <f>Q128+Q136</f>
        <v/>
      </c>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row>
    <row r="139">
      <c r="A139" s="6" t="n"/>
      <c r="B139" s="6" t="n"/>
      <c r="C139" s="6" t="n"/>
      <c r="D139" s="6" t="n"/>
      <c r="E139" s="6" t="n"/>
      <c r="F139" s="6" t="n"/>
      <c r="G139" s="6" t="n"/>
      <c r="H139" s="6" t="n"/>
      <c r="I139" s="6" t="n"/>
      <c r="J139" s="6" t="inlineStr">
        <is>
          <t>INVOICE TOTAL</t>
        </is>
      </c>
      <c r="K139" s="6" t="n"/>
      <c r="L139" s="6" t="n"/>
      <c r="M139" s="6" t="n"/>
      <c r="N139" s="6" t="n"/>
      <c r="O139" s="6" t="n"/>
      <c r="P139" s="7">
        <f>S122</f>
        <v/>
      </c>
      <c r="Q139" s="7"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row>
    <row r="140"/>
    <row r="141">
      <c r="A141" s="10" t="n"/>
      <c r="B141" s="10" t="n"/>
      <c r="C141" s="10" t="n"/>
      <c r="D141" s="10" t="n"/>
      <c r="E141" s="10" t="n"/>
      <c r="F141" s="10" t="n"/>
      <c r="G141" s="10" t="n"/>
      <c r="H141" s="10" t="n"/>
      <c r="I141" s="10" t="n"/>
      <c r="J141" s="10" t="inlineStr">
        <is>
          <t>VARIANCE CHECK</t>
        </is>
      </c>
      <c r="K141" s="10" t="n"/>
      <c r="L141" s="10" t="n"/>
      <c r="M141" s="10" t="n"/>
      <c r="N141" s="10" t="n"/>
      <c r="O141" s="10" t="n"/>
      <c r="P141" s="11">
        <f>S122-P138</f>
        <v/>
      </c>
      <c r="Q141" s="11">
        <f>S122-Q138</f>
        <v/>
      </c>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row>
    <row r="142"/>
    <row r="143">
      <c r="A143" s="14" t="n"/>
      <c r="B143" s="14" t="n"/>
      <c r="C143" s="14" t="n"/>
      <c r="D143" s="14" t="n"/>
      <c r="E143" s="14" t="n"/>
      <c r="F143" s="14" t="n"/>
      <c r="G143" s="14" t="n"/>
      <c r="H143" s="14" t="n"/>
      <c r="I143" s="14" t="n"/>
      <c r="J143" s="14" t="inlineStr">
        <is>
          <t>DUTY ESTIMATION (Classification Cross-Check)</t>
        </is>
      </c>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row>
    <row r="144">
      <c r="A144" s="15" t="n"/>
      <c r="B144" s="15" t="n"/>
      <c r="C144" s="15" t="n"/>
      <c r="D144" s="15" t="n"/>
      <c r="E144" s="15" t="n"/>
      <c r="F144" s="15" t="n"/>
      <c r="G144" s="15" t="n"/>
      <c r="H144" s="15" t="n"/>
      <c r="I144" s="15" t="n"/>
      <c r="J144" s="16" t="inlineStr">
        <is>
          <t>CIF (USD) = InvTotal + Freight + Insurance</t>
        </is>
      </c>
      <c r="K144" s="15" t="n"/>
      <c r="L144" s="15" t="n"/>
      <c r="M144" s="15" t="n"/>
      <c r="N144" s="15" t="n"/>
      <c r="O144" s="15" t="n"/>
      <c r="P144" s="17" t="n">
        <v>83.43000000000001</v>
      </c>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row>
    <row r="145">
      <c r="A145" s="15" t="n"/>
      <c r="B145" s="15" t="n"/>
      <c r="C145" s="15" t="n"/>
      <c r="D145" s="15" t="n"/>
      <c r="E145" s="15" t="n"/>
      <c r="F145" s="15" t="n"/>
      <c r="G145" s="15" t="n"/>
      <c r="H145" s="15" t="n"/>
      <c r="I145" s="15" t="n"/>
      <c r="J145" s="16" t="inlineStr">
        <is>
          <t>CIF (XCD) = CIF × 2.7169</t>
        </is>
      </c>
      <c r="K145" s="15" t="n"/>
      <c r="L145" s="15" t="n"/>
      <c r="M145" s="15" t="n"/>
      <c r="N145" s="15" t="n"/>
      <c r="O145" s="15" t="n"/>
      <c r="P145" s="17" t="n">
        <v>226.67</v>
      </c>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row>
    <row r="146">
      <c r="A146" s="15" t="n"/>
      <c r="B146" s="15" t="n"/>
      <c r="C146" s="15" t="n"/>
      <c r="D146" s="15" t="n"/>
      <c r="E146" s="15" t="n"/>
      <c r="F146" s="15" t="n"/>
      <c r="G146" s="15" t="n"/>
      <c r="H146" s="15" t="n"/>
      <c r="I146" s="15" t="n"/>
      <c r="J146" s="16" t="inlineStr">
        <is>
          <t>CET (weighted avg 8.7%)</t>
        </is>
      </c>
      <c r="K146" s="15" t="n"/>
      <c r="L146" s="15" t="n"/>
      <c r="M146" s="15" t="n"/>
      <c r="N146" s="15" t="n"/>
      <c r="O146" s="15" t="n"/>
      <c r="P146" s="17" t="n">
        <v>19.81</v>
      </c>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row>
    <row r="147">
      <c r="A147" s="15" t="n"/>
      <c r="B147" s="15" t="n"/>
      <c r="C147" s="15" t="n"/>
      <c r="D147" s="15" t="n"/>
      <c r="E147" s="15" t="n"/>
      <c r="F147" s="15" t="n"/>
      <c r="G147" s="15" t="n"/>
      <c r="H147" s="15" t="n"/>
      <c r="I147" s="15" t="n"/>
      <c r="J147" s="16" t="inlineStr">
        <is>
          <t xml:space="preserve">  └ 00000000: 20% CET (8% of value)</t>
        </is>
      </c>
      <c r="K147" s="15" t="n"/>
      <c r="L147" s="15" t="n"/>
      <c r="M147" s="15" t="n"/>
      <c r="N147" s="15" t="n"/>
      <c r="O147" s="15" t="n"/>
      <c r="P147" s="17" t="n">
        <v>3.4</v>
      </c>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row>
    <row r="148">
      <c r="A148" s="15" t="n"/>
      <c r="B148" s="15" t="n"/>
      <c r="C148" s="15" t="n"/>
      <c r="D148" s="15" t="n"/>
      <c r="E148" s="15" t="n"/>
      <c r="F148" s="15" t="n"/>
      <c r="G148" s="15" t="n"/>
      <c r="H148" s="15" t="n"/>
      <c r="I148" s="15" t="n"/>
      <c r="J148" s="16" t="inlineStr">
        <is>
          <t xml:space="preserve">  └ 62034290: 20% CET (17% of value)</t>
        </is>
      </c>
      <c r="K148" s="15" t="n"/>
      <c r="L148" s="15" t="n"/>
      <c r="M148" s="15" t="n"/>
      <c r="N148" s="15" t="n"/>
      <c r="O148" s="15" t="n"/>
      <c r="P148" s="17" t="n">
        <v>7.9</v>
      </c>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row>
    <row r="149">
      <c r="A149" s="15" t="n"/>
      <c r="B149" s="15" t="n"/>
      <c r="C149" s="15" t="n"/>
      <c r="D149" s="15" t="n"/>
      <c r="E149" s="15" t="n"/>
      <c r="F149" s="15" t="n"/>
      <c r="G149" s="15" t="n"/>
      <c r="H149" s="15" t="n"/>
      <c r="I149" s="15" t="n"/>
      <c r="J149" s="16" t="inlineStr">
        <is>
          <t xml:space="preserve">  └ 82059000: 5% CET (75% of value)</t>
        </is>
      </c>
      <c r="K149" s="15" t="n"/>
      <c r="L149" s="15" t="n"/>
      <c r="M149" s="15" t="n"/>
      <c r="N149" s="15" t="n"/>
      <c r="O149" s="15" t="n"/>
      <c r="P149" s="17" t="n">
        <v>8.51</v>
      </c>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row>
    <row r="150">
      <c r="A150" s="15" t="n"/>
      <c r="B150" s="15" t="n"/>
      <c r="C150" s="15" t="n"/>
      <c r="D150" s="15" t="n"/>
      <c r="E150" s="15" t="n"/>
      <c r="F150" s="15" t="n"/>
      <c r="G150" s="15" t="n"/>
      <c r="H150" s="15" t="n"/>
      <c r="I150" s="15" t="n"/>
      <c r="J150" s="16" t="inlineStr">
        <is>
          <t>CSC (6%)</t>
        </is>
      </c>
      <c r="K150" s="15" t="n"/>
      <c r="L150" s="15" t="n"/>
      <c r="M150" s="15" t="n"/>
      <c r="N150" s="15" t="n"/>
      <c r="O150" s="15" t="n"/>
      <c r="P150" s="17" t="n">
        <v>13.6</v>
      </c>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row>
    <row r="151">
      <c r="A151" s="15" t="n"/>
      <c r="B151" s="15" t="n"/>
      <c r="C151" s="15" t="n"/>
      <c r="D151" s="15" t="n"/>
      <c r="E151" s="15" t="n"/>
      <c r="F151" s="15" t="n"/>
      <c r="G151" s="15" t="n"/>
      <c r="H151" s="15" t="n"/>
      <c r="I151" s="15" t="n"/>
      <c r="J151" s="16" t="inlineStr">
        <is>
          <t>VAT (15%) on CIF+CET+CSC</t>
        </is>
      </c>
      <c r="K151" s="15" t="n"/>
      <c r="L151" s="15" t="n"/>
      <c r="M151" s="15" t="n"/>
      <c r="N151" s="15" t="n"/>
      <c r="O151" s="15" t="n"/>
      <c r="P151" s="17" t="n">
        <v>39.01</v>
      </c>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row>
    <row r="152">
      <c r="A152" s="18" t="n"/>
      <c r="B152" s="18" t="n"/>
      <c r="C152" s="18" t="n"/>
      <c r="D152" s="18" t="n"/>
      <c r="E152" s="18" t="n"/>
      <c r="F152" s="18" t="n"/>
      <c r="G152" s="18" t="n"/>
      <c r="H152" s="18" t="n"/>
      <c r="I152" s="18" t="n"/>
      <c r="J152" s="14" t="inlineStr">
        <is>
          <t>ESTIMATED TOTAL DUTIES</t>
        </is>
      </c>
      <c r="K152" s="18" t="n"/>
      <c r="L152" s="18" t="n"/>
      <c r="M152" s="18" t="n"/>
      <c r="N152" s="18" t="n"/>
      <c r="O152" s="18" t="n"/>
      <c r="P152" s="19" t="n">
        <v>72.42</v>
      </c>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c r="AJ152" s="18" t="n"/>
      <c r="AK152" s="18" t="n"/>
    </row>
    <row r="153">
      <c r="A153" s="15" t="n"/>
      <c r="B153" s="15" t="n"/>
      <c r="C153" s="15" t="n"/>
      <c r="D153" s="15" t="n"/>
      <c r="E153" s="15" t="n"/>
      <c r="F153" s="15" t="n"/>
      <c r="G153" s="15" t="n"/>
      <c r="H153" s="15" t="n"/>
      <c r="I153" s="15" t="n"/>
      <c r="J153" s="16" t="inlineStr">
        <is>
          <t>Effective Duty Rate</t>
        </is>
      </c>
      <c r="K153" s="15" t="n"/>
      <c r="L153" s="15" t="n"/>
      <c r="M153" s="15" t="n"/>
      <c r="N153" s="15" t="n"/>
      <c r="O153" s="15" t="n"/>
      <c r="P153" s="20" t="n">
        <v>0.3194953015396833</v>
      </c>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c r="AA154" s="21" t="n"/>
      <c r="AB154" s="21" t="n"/>
      <c r="AC154" s="21" t="n"/>
      <c r="AD154" s="21" t="n"/>
      <c r="AE154" s="21" t="n"/>
      <c r="AF154" s="21" t="n"/>
      <c r="AG154" s="21" t="n"/>
      <c r="AH154" s="21" t="n"/>
      <c r="AI154" s="21" t="n"/>
      <c r="AJ154" s="21" t="n"/>
      <c r="AK154" s="21" t="n"/>
    </row>
    <row r="155">
      <c r="A155" s="2" t="inlineStr">
        <is>
          <t>4000-000</t>
        </is>
      </c>
      <c r="B155" s="2" t="n"/>
      <c r="C155" s="2" t="inlineStr">
        <is>
          <t>1504495444_Invoice</t>
        </is>
      </c>
      <c r="D155" s="2" t="inlineStr">
        <is>
          <t>2024-07-21</t>
        </is>
      </c>
      <c r="E155" s="2" t="inlineStr">
        <is>
          <t>SIGNALING ARTICLES</t>
        </is>
      </c>
      <c r="F155" s="2" t="inlineStr">
        <is>
          <t>36049000</t>
        </is>
      </c>
      <c r="G155" s="2" t="n"/>
      <c r="H155" s="2" t="n"/>
      <c r="I155" s="2" t="inlineStr">
        <is>
          <t>36049000</t>
        </is>
      </c>
      <c r="J155" s="2" t="inlineStr">
        <is>
          <t>Flared (+1 more) (2 items)</t>
        </is>
      </c>
      <c r="K155" s="2" t="n">
        <v>2</v>
      </c>
      <c r="L155" s="2" t="n"/>
      <c r="M155" s="2" t="n"/>
      <c r="N155" s="2" t="inlineStr">
        <is>
          <t>USD</t>
        </is>
      </c>
      <c r="O155" s="3" t="n">
        <v>20.99</v>
      </c>
      <c r="P155" s="3" t="n">
        <v>41.98</v>
      </c>
      <c r="Q155" s="3">
        <f>O155*K155</f>
        <v/>
      </c>
      <c r="R155" s="3">
        <f>P155-Q155</f>
        <v/>
      </c>
      <c r="S155" s="3" t="n">
        <v>128.93</v>
      </c>
      <c r="T155" s="3" t="n">
        <v>0</v>
      </c>
      <c r="U155" s="3" t="n">
        <v>0</v>
      </c>
      <c r="V155" s="3" t="n">
        <v>0</v>
      </c>
      <c r="W155" s="3" t="n">
        <v>0</v>
      </c>
      <c r="X155" s="2" t="n">
        <v>1</v>
      </c>
      <c r="Y155" s="2" t="n"/>
      <c r="Z155" s="2" t="inlineStr">
        <is>
          <t>UNK</t>
        </is>
      </c>
      <c r="AA155" s="2" t="n"/>
      <c r="AB155" s="2" t="n"/>
      <c r="AC155" s="2" t="inlineStr">
        <is>
          <t>US</t>
        </is>
      </c>
      <c r="AD155" s="2" t="n"/>
      <c r="AE155" s="2" t="n"/>
      <c r="AF155" s="2" t="n"/>
      <c r="AG155" s="2" t="n"/>
      <c r="AH155" s="2" t="n"/>
      <c r="AI155" s="2" t="n"/>
      <c r="AJ155" s="2" t="n"/>
      <c r="AK155" s="2" t="inlineStr">
        <is>
          <t>36049000</t>
        </is>
      </c>
    </row>
    <row r="156">
      <c r="A156" s="4" t="n"/>
      <c r="B156" s="4" t="n"/>
      <c r="C156" s="4" t="n"/>
      <c r="D156" s="4" t="n"/>
      <c r="E156" s="4" t="n"/>
      <c r="F156" s="4" t="inlineStr">
        <is>
          <t>36049000</t>
        </is>
      </c>
      <c r="G156" s="4" t="n"/>
      <c r="H156" s="4" t="n"/>
      <c r="I156" s="4" t="inlineStr">
        <is>
          <t>1206305006007</t>
        </is>
      </c>
      <c r="J156" s="4" t="inlineStr">
        <is>
          <t>Flared</t>
        </is>
      </c>
      <c r="K156" s="4" t="n">
        <v>1</v>
      </c>
      <c r="L156" s="4" t="n"/>
      <c r="M156" s="4" t="n"/>
      <c r="N156" s="4" t="inlineStr">
        <is>
          <t>USD</t>
        </is>
      </c>
      <c r="O156" s="5" t="n">
        <v>20.99</v>
      </c>
      <c r="P156" s="5" t="n">
        <v>20.99</v>
      </c>
      <c r="Q156" s="5">
        <f>O156*K156</f>
        <v/>
      </c>
      <c r="R156" s="5">
        <f>P156-Q156</f>
        <v/>
      </c>
      <c r="S156" s="4" t="n"/>
      <c r="T156" s="4" t="n"/>
      <c r="U156" s="4" t="n"/>
      <c r="V156" s="4" t="n"/>
      <c r="W156" s="4" t="n"/>
      <c r="X156" s="4" t="n"/>
      <c r="Y156" s="4" t="n"/>
      <c r="Z156" s="4" t="n"/>
      <c r="AA156" s="4" t="n"/>
      <c r="AB156" s="4" t="n"/>
      <c r="AC156" s="4" t="n"/>
      <c r="AD156" s="4" t="n"/>
      <c r="AE156" s="4" t="n"/>
      <c r="AF156" s="4" t="n"/>
      <c r="AG156" s="4" t="n"/>
      <c r="AH156" s="4" t="n"/>
      <c r="AI156" s="4" t="n"/>
      <c r="AJ156" s="4" t="n"/>
      <c r="AK156" s="4" t="n"/>
    </row>
    <row r="157">
      <c r="A157" s="4" t="n"/>
      <c r="B157" s="4" t="n"/>
      <c r="C157" s="4" t="n"/>
      <c r="D157" s="4" t="n"/>
      <c r="E157" s="4" t="n"/>
      <c r="F157" s="4" t="inlineStr">
        <is>
          <t>36049000</t>
        </is>
      </c>
      <c r="G157" s="4" t="n"/>
      <c r="H157" s="4" t="n"/>
      <c r="I157" s="4" t="inlineStr">
        <is>
          <t>1206305005007</t>
        </is>
      </c>
      <c r="J157" s="4" t="inlineStr">
        <is>
          <t>Flared</t>
        </is>
      </c>
      <c r="K157" s="4" t="n">
        <v>1</v>
      </c>
      <c r="L157" s="4" t="n"/>
      <c r="M157" s="4" t="n"/>
      <c r="N157" s="4" t="inlineStr">
        <is>
          <t>USD</t>
        </is>
      </c>
      <c r="O157" s="5" t="n">
        <v>20.99</v>
      </c>
      <c r="P157" s="5" t="n">
        <v>20.99</v>
      </c>
      <c r="Q157" s="5">
        <f>O157*K157</f>
        <v/>
      </c>
      <c r="R157" s="5">
        <f>P157-Q157</f>
        <v/>
      </c>
      <c r="S157" s="4" t="n"/>
      <c r="T157" s="4" t="n"/>
      <c r="U157" s="4" t="n"/>
      <c r="V157" s="4" t="n"/>
      <c r="W157" s="4" t="n"/>
      <c r="X157" s="4" t="n"/>
      <c r="Y157" s="4" t="n"/>
      <c r="Z157" s="4" t="n"/>
      <c r="AA157" s="4" t="n"/>
      <c r="AB157" s="4" t="n"/>
      <c r="AC157" s="4" t="n"/>
      <c r="AD157" s="4" t="n"/>
      <c r="AE157" s="4" t="n"/>
      <c r="AF157" s="4" t="n"/>
      <c r="AG157" s="4" t="n"/>
      <c r="AH157" s="4" t="n"/>
      <c r="AI157" s="4" t="n"/>
      <c r="AJ157" s="4" t="n"/>
      <c r="AK157" s="4" t="n"/>
    </row>
    <row r="158">
      <c r="A158" s="2" t="n"/>
      <c r="B158" s="2" t="n"/>
      <c r="C158" s="2" t="inlineStr">
        <is>
          <t>1504495444_Invoice</t>
        </is>
      </c>
      <c r="D158" s="2" t="inlineStr">
        <is>
          <t>2024-07-21</t>
        </is>
      </c>
      <c r="E158" s="2" t="inlineStr">
        <is>
          <t>HATS AND OTHER HEADGEAR, PLAITED OR MADE BY ASSEMBLING STRIPS</t>
        </is>
      </c>
      <c r="F158" s="2" t="inlineStr">
        <is>
          <t>65040000</t>
        </is>
      </c>
      <c r="G158" s="2" t="n"/>
      <c r="H158" s="2" t="n"/>
      <c r="I158" s="2" t="inlineStr">
        <is>
          <t>65040000</t>
        </is>
      </c>
      <c r="J158" s="2" t="inlineStr">
        <is>
          <t>Straw Hat (+2 more) (3 items)</t>
        </is>
      </c>
      <c r="K158" s="2" t="n">
        <v>3</v>
      </c>
      <c r="L158" s="2" t="n"/>
      <c r="M158" s="2" t="n"/>
      <c r="N158" s="2" t="inlineStr">
        <is>
          <t>USD</t>
        </is>
      </c>
      <c r="O158" s="3" t="n">
        <v>16.99</v>
      </c>
      <c r="P158" s="3" t="n">
        <v>50.97</v>
      </c>
      <c r="Q158" s="3">
        <f>O158*K158</f>
        <v/>
      </c>
      <c r="R158" s="3">
        <f>P158-Q158</f>
        <v/>
      </c>
      <c r="S158" s="3" t="n"/>
      <c r="T158" s="3" t="n"/>
      <c r="U158" s="3" t="n"/>
      <c r="V158" s="3" t="n"/>
      <c r="W158" s="3" t="n"/>
      <c r="X158" s="2" t="n"/>
      <c r="Y158" s="2" t="n"/>
      <c r="Z158" s="2" t="n"/>
      <c r="AA158" s="2" t="n"/>
      <c r="AB158" s="2" t="n"/>
      <c r="AC158" s="2" t="n"/>
      <c r="AD158" s="2" t="n"/>
      <c r="AE158" s="2" t="n"/>
      <c r="AF158" s="2" t="n"/>
      <c r="AG158" s="2" t="n"/>
      <c r="AH158" s="2" t="n"/>
      <c r="AI158" s="2" t="n"/>
      <c r="AJ158" s="2" t="n"/>
      <c r="AK158" s="2" t="inlineStr">
        <is>
          <t>65040000</t>
        </is>
      </c>
    </row>
    <row r="159">
      <c r="A159" s="4" t="n"/>
      <c r="B159" s="4" t="n"/>
      <c r="C159" s="4" t="n"/>
      <c r="D159" s="4" t="n"/>
      <c r="E159" s="4" t="n"/>
      <c r="F159" s="4" t="inlineStr">
        <is>
          <t>65040000</t>
        </is>
      </c>
      <c r="G159" s="4" t="n"/>
      <c r="H159" s="4" t="n"/>
      <c r="I159" s="4" t="inlineStr">
        <is>
          <t>1215205001003</t>
        </is>
      </c>
      <c r="J159" s="4" t="inlineStr">
        <is>
          <t>Straw Hat</t>
        </is>
      </c>
      <c r="K159" s="4" t="n">
        <v>1</v>
      </c>
      <c r="L159" s="4" t="n"/>
      <c r="M159" s="4" t="n"/>
      <c r="N159" s="4" t="inlineStr">
        <is>
          <t>USD</t>
        </is>
      </c>
      <c r="O159" s="5" t="n">
        <v>19.99</v>
      </c>
      <c r="P159" s="5" t="n">
        <v>19.99</v>
      </c>
      <c r="Q159" s="5">
        <f>O159*K159</f>
        <v/>
      </c>
      <c r="R159" s="5">
        <f>P159-Q159</f>
        <v/>
      </c>
      <c r="S159" s="4" t="n"/>
      <c r="T159" s="4" t="n"/>
      <c r="U159" s="4" t="n"/>
      <c r="V159" s="4" t="n"/>
      <c r="W159" s="4" t="n"/>
      <c r="X159" s="4" t="n"/>
      <c r="Y159" s="4" t="n"/>
      <c r="Z159" s="4" t="n"/>
      <c r="AA159" s="4" t="n"/>
      <c r="AB159" s="4" t="n"/>
      <c r="AC159" s="4" t="n"/>
      <c r="AD159" s="4" t="n"/>
      <c r="AE159" s="4" t="n"/>
      <c r="AF159" s="4" t="n"/>
      <c r="AG159" s="4" t="n"/>
      <c r="AH159" s="4" t="n"/>
      <c r="AI159" s="4" t="n"/>
      <c r="AJ159" s="4" t="n"/>
      <c r="AK159" s="4" t="n"/>
    </row>
    <row r="160">
      <c r="A160" s="4" t="n"/>
      <c r="B160" s="4" t="n"/>
      <c r="C160" s="4" t="n"/>
      <c r="D160" s="4" t="n"/>
      <c r="E160" s="4" t="n"/>
      <c r="F160" s="4" t="inlineStr">
        <is>
          <t>65040000</t>
        </is>
      </c>
      <c r="G160" s="4" t="n"/>
      <c r="H160" s="4" t="n"/>
      <c r="I160" s="4" t="inlineStr">
        <is>
          <t>1057731002004</t>
        </is>
      </c>
      <c r="J160" s="4" t="inlineStr">
        <is>
          <t>Straw Hat</t>
        </is>
      </c>
      <c r="K160" s="4" t="n">
        <v>1</v>
      </c>
      <c r="L160" s="4" t="n"/>
      <c r="M160" s="4" t="n"/>
      <c r="N160" s="4" t="inlineStr">
        <is>
          <t>USD</t>
        </is>
      </c>
      <c r="O160" s="5" t="n">
        <v>17.99</v>
      </c>
      <c r="P160" s="5" t="n">
        <v>17.99</v>
      </c>
      <c r="Q160" s="5">
        <f>O160*K160</f>
        <v/>
      </c>
      <c r="R160" s="5">
        <f>P160-Q160</f>
        <v/>
      </c>
      <c r="S160" s="4" t="n"/>
      <c r="T160" s="4" t="n"/>
      <c r="U160" s="4" t="n"/>
      <c r="V160" s="4" t="n"/>
      <c r="W160" s="4" t="n"/>
      <c r="X160" s="4" t="n"/>
      <c r="Y160" s="4" t="n"/>
      <c r="Z160" s="4" t="n"/>
      <c r="AA160" s="4" t="n"/>
      <c r="AB160" s="4" t="n"/>
      <c r="AC160" s="4" t="n"/>
      <c r="AD160" s="4" t="n"/>
      <c r="AE160" s="4" t="n"/>
      <c r="AF160" s="4" t="n"/>
      <c r="AG160" s="4" t="n"/>
      <c r="AH160" s="4" t="n"/>
      <c r="AI160" s="4" t="n"/>
      <c r="AJ160" s="4" t="n"/>
      <c r="AK160" s="4" t="n"/>
    </row>
    <row r="161">
      <c r="A161" s="4" t="n"/>
      <c r="B161" s="4" t="n"/>
      <c r="C161" s="4" t="n"/>
      <c r="D161" s="4" t="n"/>
      <c r="E161" s="4" t="n"/>
      <c r="F161" s="4" t="inlineStr">
        <is>
          <t>65040000</t>
        </is>
      </c>
      <c r="G161" s="4" t="n"/>
      <c r="H161" s="4" t="n"/>
      <c r="I161" s="4" t="inlineStr">
        <is>
          <t>1229647001004</t>
        </is>
      </c>
      <c r="J161" s="4" t="inlineStr">
        <is>
          <t>Frayed-edge Straw Hat</t>
        </is>
      </c>
      <c r="K161" s="4" t="n">
        <v>1</v>
      </c>
      <c r="L161" s="4" t="n"/>
      <c r="M161" s="4" t="n"/>
      <c r="N161" s="4" t="inlineStr">
        <is>
          <t>USD</t>
        </is>
      </c>
      <c r="O161" s="5" t="n">
        <v>12.99</v>
      </c>
      <c r="P161" s="5" t="n">
        <v>12.99</v>
      </c>
      <c r="Q161" s="5">
        <f>O161*K161</f>
        <v/>
      </c>
      <c r="R161" s="5">
        <f>P161-Q161</f>
        <v/>
      </c>
      <c r="S161" s="4" t="n"/>
      <c r="T161" s="4" t="n"/>
      <c r="U161" s="4" t="n"/>
      <c r="V161" s="4" t="n"/>
      <c r="W161" s="4" t="n"/>
      <c r="X161" s="4" t="n"/>
      <c r="Y161" s="4" t="n"/>
      <c r="Z161" s="4" t="n"/>
      <c r="AA161" s="4" t="n"/>
      <c r="AB161" s="4" t="n"/>
      <c r="AC161" s="4" t="n"/>
      <c r="AD161" s="4" t="n"/>
      <c r="AE161" s="4" t="n"/>
      <c r="AF161" s="4" t="n"/>
      <c r="AG161" s="4" t="n"/>
      <c r="AH161" s="4" t="n"/>
      <c r="AI161" s="4" t="n"/>
      <c r="AJ161" s="4" t="n"/>
      <c r="AK161" s="4" t="n"/>
    </row>
    <row r="162">
      <c r="A162" s="6" t="n"/>
      <c r="B162" s="6" t="n"/>
      <c r="C162" s="6" t="n"/>
      <c r="D162" s="6" t="n"/>
      <c r="E162" s="6" t="n"/>
      <c r="F162" s="6" t="n"/>
      <c r="G162" s="6" t="n"/>
      <c r="H162" s="6" t="n"/>
      <c r="I162" s="6" t="n"/>
      <c r="J162" s="6" t="inlineStr">
        <is>
          <t>SUBTOTAL (GROUPED)</t>
        </is>
      </c>
      <c r="K162" s="6" t="n"/>
      <c r="L162" s="6" t="n"/>
      <c r="M162" s="6" t="n"/>
      <c r="N162" s="6" t="n"/>
      <c r="O162" s="6" t="n"/>
      <c r="P162" s="7">
        <f>P155+P158</f>
        <v/>
      </c>
      <c r="Q162" s="7">
        <f>Q155+Q158</f>
        <v/>
      </c>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row>
    <row r="163">
      <c r="A163" s="6" t="n"/>
      <c r="B163" s="6" t="n"/>
      <c r="C163" s="6" t="n"/>
      <c r="D163" s="6" t="n"/>
      <c r="E163" s="6" t="n"/>
      <c r="F163" s="6" t="n"/>
      <c r="G163" s="6" t="n"/>
      <c r="H163" s="6" t="n"/>
      <c r="I163" s="6" t="n"/>
      <c r="J163" s="6" t="inlineStr">
        <is>
          <t>SUBTOTAL (DETAILS)</t>
        </is>
      </c>
      <c r="K163" s="6" t="n"/>
      <c r="L163" s="6" t="n"/>
      <c r="M163" s="6" t="n"/>
      <c r="N163" s="6" t="n"/>
      <c r="O163" s="6" t="n"/>
      <c r="P163" s="7">
        <f>SUM(P155:P161)-P162</f>
        <v/>
      </c>
      <c r="Q163" s="7">
        <f>SUM(Q155:Q161)-Q162</f>
        <v/>
      </c>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row>
    <row r="164">
      <c r="A164" s="8" t="n"/>
      <c r="B164" s="8" t="n"/>
      <c r="C164" s="8" t="n"/>
      <c r="D164" s="8" t="n"/>
      <c r="E164" s="8" t="n"/>
      <c r="F164" s="8" t="n"/>
      <c r="G164" s="8" t="n"/>
      <c r="H164" s="8" t="n"/>
      <c r="I164" s="8" t="n"/>
      <c r="J164" s="8" t="inlineStr">
        <is>
          <t>GROUP VERIFICATION</t>
        </is>
      </c>
      <c r="K164" s="8" t="n"/>
      <c r="L164" s="8" t="n"/>
      <c r="M164" s="8" t="n"/>
      <c r="N164" s="8" t="n"/>
      <c r="O164" s="8" t="n"/>
      <c r="P164" s="9">
        <f>P162-P163</f>
        <v/>
      </c>
      <c r="Q164" s="9">
        <f>Q162-Q163</f>
        <v/>
      </c>
      <c r="R164" s="8" t="n"/>
      <c r="S164" s="8" t="n"/>
      <c r="T164" s="8" t="n"/>
      <c r="U164" s="8" t="n"/>
      <c r="V164" s="8" t="n"/>
      <c r="W164" s="8" t="n"/>
      <c r="X164" s="8" t="n"/>
      <c r="Y164" s="8" t="n"/>
      <c r="Z164" s="8" t="n"/>
      <c r="AA164" s="8" t="n"/>
      <c r="AB164" s="8" t="n"/>
      <c r="AC164" s="8" t="n"/>
      <c r="AD164" s="8" t="n"/>
      <c r="AE164" s="8" t="n"/>
      <c r="AF164" s="8" t="n"/>
      <c r="AG164" s="8" t="n"/>
      <c r="AH164" s="8" t="n"/>
      <c r="AI164" s="8" t="n"/>
      <c r="AJ164" s="8" t="n"/>
      <c r="AK164" s="8" t="n"/>
    </row>
    <row r="165"/>
    <row r="166">
      <c r="A166" s="6" t="n"/>
      <c r="B166" s="6" t="n"/>
      <c r="C166" s="6" t="n"/>
      <c r="D166" s="6" t="n"/>
      <c r="E166" s="6" t="n"/>
      <c r="F166" s="6" t="n"/>
      <c r="G166" s="6" t="n"/>
      <c r="H166" s="6" t="n"/>
      <c r="I166" s="6" t="n"/>
      <c r="J166" s="6" t="inlineStr">
        <is>
          <t>TOTAL INTERNAL FREIGHT</t>
        </is>
      </c>
      <c r="K166" s="6" t="n"/>
      <c r="L166" s="6" t="n"/>
      <c r="M166" s="6" t="n"/>
      <c r="N166" s="6" t="n"/>
      <c r="O166" s="6" t="n"/>
      <c r="P166" s="7" t="n">
        <v>0</v>
      </c>
      <c r="Q166" s="7"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row>
    <row r="167">
      <c r="A167" s="6" t="n"/>
      <c r="B167" s="6" t="n"/>
      <c r="C167" s="6" t="n"/>
      <c r="D167" s="6" t="n"/>
      <c r="E167" s="6" t="n"/>
      <c r="F167" s="6" t="n"/>
      <c r="G167" s="6" t="n"/>
      <c r="H167" s="6" t="n"/>
      <c r="I167" s="6" t="n"/>
      <c r="J167" s="6" t="inlineStr">
        <is>
          <t>TOTAL INSURANCE</t>
        </is>
      </c>
      <c r="K167" s="6" t="n"/>
      <c r="L167" s="6" t="n"/>
      <c r="M167" s="6" t="n"/>
      <c r="N167" s="6" t="n"/>
      <c r="O167" s="6" t="n"/>
      <c r="P167" s="7" t="n">
        <v>0</v>
      </c>
      <c r="Q167" s="7"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row>
    <row r="168">
      <c r="A168" s="6" t="n"/>
      <c r="B168" s="6" t="n"/>
      <c r="C168" s="6" t="n"/>
      <c r="D168" s="6" t="n"/>
      <c r="E168" s="6" t="n"/>
      <c r="F168" s="6" t="n"/>
      <c r="G168" s="6" t="n"/>
      <c r="H168" s="6" t="n"/>
      <c r="I168" s="6" t="n"/>
      <c r="J168" s="6" t="inlineStr">
        <is>
          <t>TOTAL OTHER COST</t>
        </is>
      </c>
      <c r="K168" s="6" t="n"/>
      <c r="L168" s="6" t="n"/>
      <c r="M168" s="6" t="n"/>
      <c r="N168" s="6" t="n"/>
      <c r="O168" s="6" t="n"/>
      <c r="P168" s="7" t="n">
        <v>0</v>
      </c>
      <c r="Q168" s="7"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row>
    <row r="169">
      <c r="A169" s="6" t="n"/>
      <c r="B169" s="6" t="n"/>
      <c r="C169" s="6" t="n"/>
      <c r="D169" s="6" t="n"/>
      <c r="E169" s="6" t="n"/>
      <c r="F169" s="6" t="n"/>
      <c r="G169" s="6" t="n"/>
      <c r="H169" s="6" t="n"/>
      <c r="I169" s="6" t="n"/>
      <c r="J169" s="6" t="inlineStr">
        <is>
          <t>TOTAL DEDUCTION</t>
        </is>
      </c>
      <c r="K169" s="6" t="n"/>
      <c r="L169" s="6" t="n"/>
      <c r="M169" s="6" t="n"/>
      <c r="N169" s="6" t="n"/>
      <c r="O169" s="6" t="n"/>
      <c r="P169" s="7" t="n">
        <v>0</v>
      </c>
      <c r="Q169" s="7"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row>
    <row r="170">
      <c r="A170" s="6" t="n"/>
      <c r="B170" s="6" t="n"/>
      <c r="C170" s="6" t="n"/>
      <c r="D170" s="6" t="n"/>
      <c r="E170" s="6" t="n"/>
      <c r="F170" s="6" t="n"/>
      <c r="G170" s="6" t="n"/>
      <c r="H170" s="6" t="n"/>
      <c r="I170" s="6" t="n"/>
      <c r="J170" s="6" t="inlineStr">
        <is>
          <t>ADJUSTMENTS</t>
        </is>
      </c>
      <c r="K170" s="6" t="n"/>
      <c r="L170" s="6" t="n"/>
      <c r="M170" s="6" t="n"/>
      <c r="N170" s="6" t="n"/>
      <c r="O170" s="6" t="n"/>
      <c r="P170" s="7">
        <f>(T155+U155+V155-W155)</f>
        <v/>
      </c>
      <c r="Q170" s="7">
        <f>(T155+U155+V155-W155)</f>
        <v/>
      </c>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row>
    <row r="171"/>
    <row r="172">
      <c r="A172" s="6" t="n"/>
      <c r="B172" s="6" t="n"/>
      <c r="C172" s="6" t="n"/>
      <c r="D172" s="6" t="n"/>
      <c r="E172" s="6" t="n"/>
      <c r="F172" s="6" t="n"/>
      <c r="G172" s="6" t="n"/>
      <c r="H172" s="6" t="n"/>
      <c r="I172" s="6" t="n"/>
      <c r="J172" s="6" t="inlineStr">
        <is>
          <t>NET TOTAL</t>
        </is>
      </c>
      <c r="K172" s="6" t="n"/>
      <c r="L172" s="6" t="n"/>
      <c r="M172" s="6" t="n"/>
      <c r="N172" s="6" t="n"/>
      <c r="O172" s="6" t="n"/>
      <c r="P172" s="7">
        <f>P162+P170</f>
        <v/>
      </c>
      <c r="Q172" s="7">
        <f>Q162+Q170</f>
        <v/>
      </c>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row>
    <row r="173">
      <c r="A173" s="6" t="n"/>
      <c r="B173" s="6" t="n"/>
      <c r="C173" s="6" t="n"/>
      <c r="D173" s="6" t="n"/>
      <c r="E173" s="6" t="n"/>
      <c r="F173" s="6" t="n"/>
      <c r="G173" s="6" t="n"/>
      <c r="H173" s="6" t="n"/>
      <c r="I173" s="6" t="n"/>
      <c r="J173" s="6" t="inlineStr">
        <is>
          <t>INVOICE TOTAL</t>
        </is>
      </c>
      <c r="K173" s="6" t="n"/>
      <c r="L173" s="6" t="n"/>
      <c r="M173" s="6" t="n"/>
      <c r="N173" s="6" t="n"/>
      <c r="O173" s="6" t="n"/>
      <c r="P173" s="7">
        <f>S155</f>
        <v/>
      </c>
      <c r="Q173" s="7"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row>
    <row r="174"/>
    <row r="175">
      <c r="A175" s="10" t="n"/>
      <c r="B175" s="10" t="n"/>
      <c r="C175" s="10" t="n"/>
      <c r="D175" s="10" t="n"/>
      <c r="E175" s="10" t="n"/>
      <c r="F175" s="10" t="n"/>
      <c r="G175" s="10" t="n"/>
      <c r="H175" s="10" t="n"/>
      <c r="I175" s="10" t="n"/>
      <c r="J175" s="10" t="inlineStr">
        <is>
          <t>VARIANCE CHECK</t>
        </is>
      </c>
      <c r="K175" s="10" t="n"/>
      <c r="L175" s="10" t="n"/>
      <c r="M175" s="10" t="n"/>
      <c r="N175" s="10" t="n"/>
      <c r="O175" s="10" t="n"/>
      <c r="P175" s="11">
        <f>S155-P172</f>
        <v/>
      </c>
      <c r="Q175" s="11">
        <f>S155-Q172</f>
        <v/>
      </c>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row>
    <row r="176"/>
    <row r="177">
      <c r="A177" s="14" t="n"/>
      <c r="B177" s="14" t="n"/>
      <c r="C177" s="14" t="n"/>
      <c r="D177" s="14" t="n"/>
      <c r="E177" s="14" t="n"/>
      <c r="F177" s="14" t="n"/>
      <c r="G177" s="14" t="n"/>
      <c r="H177" s="14" t="n"/>
      <c r="I177" s="14" t="n"/>
      <c r="J177" s="14" t="inlineStr">
        <is>
          <t>DUTY ESTIMATION (Classification Cross-Check)</t>
        </is>
      </c>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row>
    <row r="178">
      <c r="A178" s="15" t="n"/>
      <c r="B178" s="15" t="n"/>
      <c r="C178" s="15" t="n"/>
      <c r="D178" s="15" t="n"/>
      <c r="E178" s="15" t="n"/>
      <c r="F178" s="15" t="n"/>
      <c r="G178" s="15" t="n"/>
      <c r="H178" s="15" t="n"/>
      <c r="I178" s="15" t="n"/>
      <c r="J178" s="16" t="inlineStr">
        <is>
          <t>CIF (USD) = InvTotal + Freight + Insurance</t>
        </is>
      </c>
      <c r="K178" s="15" t="n"/>
      <c r="L178" s="15" t="n"/>
      <c r="M178" s="15" t="n"/>
      <c r="N178" s="15" t="n"/>
      <c r="O178" s="15" t="n"/>
      <c r="P178" s="17" t="n">
        <v>128.93</v>
      </c>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row>
    <row r="179">
      <c r="A179" s="15" t="n"/>
      <c r="B179" s="15" t="n"/>
      <c r="C179" s="15" t="n"/>
      <c r="D179" s="15" t="n"/>
      <c r="E179" s="15" t="n"/>
      <c r="F179" s="15" t="n"/>
      <c r="G179" s="15" t="n"/>
      <c r="H179" s="15" t="n"/>
      <c r="I179" s="15" t="n"/>
      <c r="J179" s="16" t="inlineStr">
        <is>
          <t>CIF (XCD) = CIF × 2.7169</t>
        </is>
      </c>
      <c r="K179" s="15" t="n"/>
      <c r="L179" s="15" t="n"/>
      <c r="M179" s="15" t="n"/>
      <c r="N179" s="15" t="n"/>
      <c r="O179" s="15" t="n"/>
      <c r="P179" s="17" t="n">
        <v>350.29</v>
      </c>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row>
    <row r="180">
      <c r="A180" s="15" t="n"/>
      <c r="B180" s="15" t="n"/>
      <c r="C180" s="15" t="n"/>
      <c r="D180" s="15" t="n"/>
      <c r="E180" s="15" t="n"/>
      <c r="F180" s="15" t="n"/>
      <c r="G180" s="15" t="n"/>
      <c r="H180" s="15" t="n"/>
      <c r="I180" s="15" t="n"/>
      <c r="J180" s="16" t="inlineStr">
        <is>
          <t>CET (weighted avg 20.0%)</t>
        </is>
      </c>
      <c r="K180" s="15" t="n"/>
      <c r="L180" s="15" t="n"/>
      <c r="M180" s="15" t="n"/>
      <c r="N180" s="15" t="n"/>
      <c r="O180" s="15" t="n"/>
      <c r="P180" s="17" t="n">
        <v>70.06</v>
      </c>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row>
    <row r="181">
      <c r="A181" s="15" t="n"/>
      <c r="B181" s="15" t="n"/>
      <c r="C181" s="15" t="n"/>
      <c r="D181" s="15" t="n"/>
      <c r="E181" s="15" t="n"/>
      <c r="F181" s="15" t="n"/>
      <c r="G181" s="15" t="n"/>
      <c r="H181" s="15" t="n"/>
      <c r="I181" s="15" t="n"/>
      <c r="J181" s="16" t="inlineStr">
        <is>
          <t xml:space="preserve">  └ 36049000: 20% CET (45% of value)</t>
        </is>
      </c>
      <c r="K181" s="15" t="n"/>
      <c r="L181" s="15" t="n"/>
      <c r="M181" s="15" t="n"/>
      <c r="N181" s="15" t="n"/>
      <c r="O181" s="15" t="n"/>
      <c r="P181" s="17" t="n">
        <v>31.64</v>
      </c>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row>
    <row r="182">
      <c r="A182" s="15" t="n"/>
      <c r="B182" s="15" t="n"/>
      <c r="C182" s="15" t="n"/>
      <c r="D182" s="15" t="n"/>
      <c r="E182" s="15" t="n"/>
      <c r="F182" s="15" t="n"/>
      <c r="G182" s="15" t="n"/>
      <c r="H182" s="15" t="n"/>
      <c r="I182" s="15" t="n"/>
      <c r="J182" s="16" t="inlineStr">
        <is>
          <t xml:space="preserve">  └ 65040000: 20% CET (55% of value)</t>
        </is>
      </c>
      <c r="K182" s="15" t="n"/>
      <c r="L182" s="15" t="n"/>
      <c r="M182" s="15" t="n"/>
      <c r="N182" s="15" t="n"/>
      <c r="O182" s="15" t="n"/>
      <c r="P182" s="17" t="n">
        <v>38.42</v>
      </c>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row>
    <row r="183">
      <c r="A183" s="15" t="n"/>
      <c r="B183" s="15" t="n"/>
      <c r="C183" s="15" t="n"/>
      <c r="D183" s="15" t="n"/>
      <c r="E183" s="15" t="n"/>
      <c r="F183" s="15" t="n"/>
      <c r="G183" s="15" t="n"/>
      <c r="H183" s="15" t="n"/>
      <c r="I183" s="15" t="n"/>
      <c r="J183" s="16" t="inlineStr">
        <is>
          <t>CSC (6%)</t>
        </is>
      </c>
      <c r="K183" s="15" t="n"/>
      <c r="L183" s="15" t="n"/>
      <c r="M183" s="15" t="n"/>
      <c r="N183" s="15" t="n"/>
      <c r="O183" s="15" t="n"/>
      <c r="P183" s="17" t="n">
        <v>21.02</v>
      </c>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row>
    <row r="184">
      <c r="A184" s="15" t="n"/>
      <c r="B184" s="15" t="n"/>
      <c r="C184" s="15" t="n"/>
      <c r="D184" s="15" t="n"/>
      <c r="E184" s="15" t="n"/>
      <c r="F184" s="15" t="n"/>
      <c r="G184" s="15" t="n"/>
      <c r="H184" s="15" t="n"/>
      <c r="I184" s="15" t="n"/>
      <c r="J184" s="16" t="inlineStr">
        <is>
          <t>VAT (15%) on CIF+CET+CSC</t>
        </is>
      </c>
      <c r="K184" s="15" t="n"/>
      <c r="L184" s="15" t="n"/>
      <c r="M184" s="15" t="n"/>
      <c r="N184" s="15" t="n"/>
      <c r="O184" s="15" t="n"/>
      <c r="P184" s="17" t="n">
        <v>66.20999999999999</v>
      </c>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row>
    <row r="185">
      <c r="A185" s="18" t="n"/>
      <c r="B185" s="18" t="n"/>
      <c r="C185" s="18" t="n"/>
      <c r="D185" s="18" t="n"/>
      <c r="E185" s="18" t="n"/>
      <c r="F185" s="18" t="n"/>
      <c r="G185" s="18" t="n"/>
      <c r="H185" s="18" t="n"/>
      <c r="I185" s="18" t="n"/>
      <c r="J185" s="14" t="inlineStr">
        <is>
          <t>ESTIMATED TOTAL DUTIES</t>
        </is>
      </c>
      <c r="K185" s="18" t="n"/>
      <c r="L185" s="18" t="n"/>
      <c r="M185" s="18" t="n"/>
      <c r="N185" s="18" t="n"/>
      <c r="O185" s="18" t="n"/>
      <c r="P185" s="19" t="n">
        <v>157.29</v>
      </c>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c r="AJ185" s="18" t="n"/>
      <c r="AK185" s="18" t="n"/>
    </row>
    <row r="186">
      <c r="A186" s="15" t="n"/>
      <c r="B186" s="15" t="n"/>
      <c r="C186" s="15" t="n"/>
      <c r="D186" s="15" t="n"/>
      <c r="E186" s="15" t="n"/>
      <c r="F186" s="15" t="n"/>
      <c r="G186" s="15" t="n"/>
      <c r="H186" s="15" t="n"/>
      <c r="I186" s="15" t="n"/>
      <c r="J186" s="16" t="inlineStr">
        <is>
          <t>Effective Duty Rate</t>
        </is>
      </c>
      <c r="K186" s="15" t="n"/>
      <c r="L186" s="15" t="n"/>
      <c r="M186" s="15" t="n"/>
      <c r="N186" s="15" t="n"/>
      <c r="O186" s="15" t="n"/>
      <c r="P186" s="20" t="n">
        <v>0.4490279482714322</v>
      </c>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c r="AA187" s="21" t="n"/>
      <c r="AB187" s="21" t="n"/>
      <c r="AC187" s="21" t="n"/>
      <c r="AD187" s="21" t="n"/>
      <c r="AE187" s="21" t="n"/>
      <c r="AF187" s="21" t="n"/>
      <c r="AG187" s="21" t="n"/>
      <c r="AH187" s="21" t="n"/>
      <c r="AI187" s="21" t="n"/>
      <c r="AJ187" s="21" t="n"/>
      <c r="AK187" s="21" t="n"/>
    </row>
    <row r="188">
      <c r="A188" s="2" t="inlineStr">
        <is>
          <t>4000-000</t>
        </is>
      </c>
      <c r="B188" s="2" t="n"/>
      <c r="C188" s="2" t="inlineStr">
        <is>
          <t>INVUS20240717001998094</t>
        </is>
      </c>
      <c r="D188" s="2" t="n"/>
      <c r="E188" s="2" t="inlineStr">
        <is>
          <t>PRODUCTS</t>
        </is>
      </c>
      <c r="F188" s="2" t="inlineStr">
        <is>
          <t>00000000</t>
        </is>
      </c>
      <c r="G188" s="2" t="n"/>
      <c r="H188" s="2" t="n"/>
      <c r="I188" s="2" t="inlineStr">
        <is>
          <t>00000000</t>
        </is>
      </c>
      <c r="J188" s="2" t="inlineStr">
        <is>
          <t>SRS Aaa a rT Sis ae eet ete Men rl Ei ea prey re RAIS ne Meena opeMlahcas mer... (1 items)</t>
        </is>
      </c>
      <c r="K188" s="2" t="n">
        <v>1</v>
      </c>
      <c r="L188" s="2" t="n"/>
      <c r="M188" s="2" t="n"/>
      <c r="N188" s="2" t="inlineStr">
        <is>
          <t>USD</t>
        </is>
      </c>
      <c r="O188" s="3" t="n">
        <v>6.45</v>
      </c>
      <c r="P188" s="3" t="n">
        <v>6.45</v>
      </c>
      <c r="Q188" s="3">
        <f>O188*K188</f>
        <v/>
      </c>
      <c r="R188" s="3">
        <f>P188-Q188</f>
        <v/>
      </c>
      <c r="S188" s="3" t="n">
        <v>6.92</v>
      </c>
      <c r="T188" s="3" t="n">
        <v>0</v>
      </c>
      <c r="U188" s="3" t="n">
        <v>0</v>
      </c>
      <c r="V188" s="3" t="n">
        <v>0.47</v>
      </c>
      <c r="W188" s="3" t="n">
        <v>0</v>
      </c>
      <c r="X188" s="2" t="n">
        <v>1</v>
      </c>
      <c r="Y188" s="2" t="n"/>
      <c r="Z188" s="2" t="inlineStr">
        <is>
          <t>SHEIN</t>
        </is>
      </c>
      <c r="AA188" s="2" t="inlineStr">
        <is>
          <t>SHEIN US Services, LLC</t>
        </is>
      </c>
      <c r="AB188" s="2" t="inlineStr">
        <is>
          <t>777 S. Alameda St., Second Floor, Los Angeles, CA 90021</t>
        </is>
      </c>
      <c r="AC188" s="2" t="inlineStr">
        <is>
          <t>US</t>
        </is>
      </c>
      <c r="AD188" s="2" t="n"/>
      <c r="AE188" s="2" t="n"/>
      <c r="AF188" s="2" t="n"/>
      <c r="AG188" s="2" t="n"/>
      <c r="AH188" s="2" t="n"/>
      <c r="AI188" s="2" t="n"/>
      <c r="AJ188" s="2" t="n"/>
      <c r="AK188" s="2" t="inlineStr">
        <is>
          <t>00000000</t>
        </is>
      </c>
    </row>
    <row r="189">
      <c r="A189" s="4" t="n"/>
      <c r="B189" s="4" t="n"/>
      <c r="C189" s="4" t="n"/>
      <c r="D189" s="4" t="n"/>
      <c r="E189" s="4" t="n"/>
      <c r="F189" s="4" t="inlineStr">
        <is>
          <t>00000000</t>
        </is>
      </c>
      <c r="G189" s="4" t="n"/>
      <c r="H189" s="4" t="n"/>
      <c r="I189" s="4" t="inlineStr">
        <is>
          <t>SHEIN-1</t>
        </is>
      </c>
      <c r="J189" s="4" t="inlineStr">
        <is>
          <t>SRS Aaa a rT Sis ae eet ete Men rl Ei ea prey re RAIS ne Meena opeMlahcas mer...</t>
        </is>
      </c>
      <c r="K189" s="4" t="n">
        <v>1</v>
      </c>
      <c r="L189" s="4" t="n"/>
      <c r="M189" s="4" t="n"/>
      <c r="N189" s="4" t="inlineStr">
        <is>
          <t>USD</t>
        </is>
      </c>
      <c r="O189" s="5" t="n">
        <v>6.45</v>
      </c>
      <c r="P189" s="5" t="n">
        <v>6.45</v>
      </c>
      <c r="Q189" s="5">
        <f>O189*K189</f>
        <v/>
      </c>
      <c r="R189" s="5">
        <f>P189-Q189</f>
        <v/>
      </c>
      <c r="S189" s="4" t="n"/>
      <c r="T189" s="4" t="n"/>
      <c r="U189" s="4" t="n"/>
      <c r="V189" s="4" t="n"/>
      <c r="W189" s="4" t="n"/>
      <c r="X189" s="4" t="n"/>
      <c r="Y189" s="4" t="n"/>
      <c r="Z189" s="4" t="n"/>
      <c r="AA189" s="4" t="n"/>
      <c r="AB189" s="4" t="n"/>
      <c r="AC189" s="4" t="n"/>
      <c r="AD189" s="4" t="n"/>
      <c r="AE189" s="4" t="n"/>
      <c r="AF189" s="4" t="n"/>
      <c r="AG189" s="4" t="n"/>
      <c r="AH189" s="4" t="n"/>
      <c r="AI189" s="4" t="n"/>
      <c r="AJ189" s="4" t="n"/>
      <c r="AK189" s="4" t="n"/>
    </row>
    <row r="190">
      <c r="A190" s="6" t="n"/>
      <c r="B190" s="6" t="n"/>
      <c r="C190" s="6" t="n"/>
      <c r="D190" s="6" t="n"/>
      <c r="E190" s="6" t="n"/>
      <c r="F190" s="6" t="n"/>
      <c r="G190" s="6" t="n"/>
      <c r="H190" s="6" t="n"/>
      <c r="I190" s="6" t="n"/>
      <c r="J190" s="6" t="inlineStr">
        <is>
          <t>SUBTOTAL (GROUPED)</t>
        </is>
      </c>
      <c r="K190" s="6" t="n"/>
      <c r="L190" s="6" t="n"/>
      <c r="M190" s="6" t="n"/>
      <c r="N190" s="6" t="n"/>
      <c r="O190" s="6" t="n"/>
      <c r="P190" s="7">
        <f>P188</f>
        <v/>
      </c>
      <c r="Q190" s="7">
        <f>Q188</f>
        <v/>
      </c>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row>
    <row r="191">
      <c r="A191" s="6" t="n"/>
      <c r="B191" s="6" t="n"/>
      <c r="C191" s="6" t="n"/>
      <c r="D191" s="6" t="n"/>
      <c r="E191" s="6" t="n"/>
      <c r="F191" s="6" t="n"/>
      <c r="G191" s="6" t="n"/>
      <c r="H191" s="6" t="n"/>
      <c r="I191" s="6" t="n"/>
      <c r="J191" s="6" t="inlineStr">
        <is>
          <t>SUBTOTAL (DETAILS)</t>
        </is>
      </c>
      <c r="K191" s="6" t="n"/>
      <c r="L191" s="6" t="n"/>
      <c r="M191" s="6" t="n"/>
      <c r="N191" s="6" t="n"/>
      <c r="O191" s="6" t="n"/>
      <c r="P191" s="7">
        <f>SUM(P188:P189)-P190</f>
        <v/>
      </c>
      <c r="Q191" s="7">
        <f>SUM(Q188:Q189)-Q190</f>
        <v/>
      </c>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row>
    <row r="192">
      <c r="A192" s="8" t="n"/>
      <c r="B192" s="8" t="n"/>
      <c r="C192" s="8" t="n"/>
      <c r="D192" s="8" t="n"/>
      <c r="E192" s="8" t="n"/>
      <c r="F192" s="8" t="n"/>
      <c r="G192" s="8" t="n"/>
      <c r="H192" s="8" t="n"/>
      <c r="I192" s="8" t="n"/>
      <c r="J192" s="8" t="inlineStr">
        <is>
          <t>GROUP VERIFICATION</t>
        </is>
      </c>
      <c r="K192" s="8" t="n"/>
      <c r="L192" s="8" t="n"/>
      <c r="M192" s="8" t="n"/>
      <c r="N192" s="8" t="n"/>
      <c r="O192" s="8" t="n"/>
      <c r="P192" s="9">
        <f>P190-P191</f>
        <v/>
      </c>
      <c r="Q192" s="9">
        <f>Q190-Q191</f>
        <v/>
      </c>
      <c r="R192" s="8" t="n"/>
      <c r="S192" s="8" t="n"/>
      <c r="T192" s="8" t="n"/>
      <c r="U192" s="8" t="n"/>
      <c r="V192" s="8" t="n"/>
      <c r="W192" s="8" t="n"/>
      <c r="X192" s="8" t="n"/>
      <c r="Y192" s="8" t="n"/>
      <c r="Z192" s="8" t="n"/>
      <c r="AA192" s="8" t="n"/>
      <c r="AB192" s="8" t="n"/>
      <c r="AC192" s="8" t="n"/>
      <c r="AD192" s="8" t="n"/>
      <c r="AE192" s="8" t="n"/>
      <c r="AF192" s="8" t="n"/>
      <c r="AG192" s="8" t="n"/>
      <c r="AH192" s="8" t="n"/>
      <c r="AI192" s="8" t="n"/>
      <c r="AJ192" s="8" t="n"/>
      <c r="AK192" s="8" t="n"/>
    </row>
    <row r="193"/>
    <row r="194">
      <c r="A194" s="6" t="n"/>
      <c r="B194" s="6" t="n"/>
      <c r="C194" s="6" t="n"/>
      <c r="D194" s="6" t="n"/>
      <c r="E194" s="6" t="n"/>
      <c r="F194" s="6" t="n"/>
      <c r="G194" s="6" t="n"/>
      <c r="H194" s="6" t="n"/>
      <c r="I194" s="6" t="n"/>
      <c r="J194" s="6" t="inlineStr">
        <is>
          <t>TOTAL INTERNAL FREIGHT</t>
        </is>
      </c>
      <c r="K194" s="6" t="n"/>
      <c r="L194" s="6" t="n"/>
      <c r="M194" s="6" t="n"/>
      <c r="N194" s="6" t="n"/>
      <c r="O194" s="6" t="n"/>
      <c r="P194" s="7" t="n">
        <v>0</v>
      </c>
      <c r="Q194" s="7"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row>
    <row r="195">
      <c r="A195" s="6" t="n"/>
      <c r="B195" s="6" t="n"/>
      <c r="C195" s="6" t="n"/>
      <c r="D195" s="6" t="n"/>
      <c r="E195" s="6" t="n"/>
      <c r="F195" s="6" t="n"/>
      <c r="G195" s="6" t="n"/>
      <c r="H195" s="6" t="n"/>
      <c r="I195" s="6" t="n"/>
      <c r="J195" s="6" t="inlineStr">
        <is>
          <t>TOTAL INSURANCE</t>
        </is>
      </c>
      <c r="K195" s="6" t="n"/>
      <c r="L195" s="6" t="n"/>
      <c r="M195" s="6" t="n"/>
      <c r="N195" s="6" t="n"/>
      <c r="O195" s="6" t="n"/>
      <c r="P195" s="7" t="n">
        <v>0</v>
      </c>
      <c r="Q195" s="7"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row>
    <row r="196">
      <c r="A196" s="6" t="n"/>
      <c r="B196" s="6" t="n"/>
      <c r="C196" s="6" t="n"/>
      <c r="D196" s="6" t="n"/>
      <c r="E196" s="6" t="n"/>
      <c r="F196" s="6" t="n"/>
      <c r="G196" s="6" t="n"/>
      <c r="H196" s="6" t="n"/>
      <c r="I196" s="6" t="n"/>
      <c r="J196" s="6" t="inlineStr">
        <is>
          <t>TOTAL OTHER COST</t>
        </is>
      </c>
      <c r="K196" s="6" t="n"/>
      <c r="L196" s="6" t="n"/>
      <c r="M196" s="6" t="n"/>
      <c r="N196" s="6" t="n"/>
      <c r="O196" s="6" t="n"/>
      <c r="P196" s="7" t="n">
        <v>0.47</v>
      </c>
      <c r="Q196" s="7"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row>
    <row r="197">
      <c r="A197" s="6" t="n"/>
      <c r="B197" s="6" t="n"/>
      <c r="C197" s="6" t="n"/>
      <c r="D197" s="6" t="n"/>
      <c r="E197" s="6" t="n"/>
      <c r="F197" s="6" t="n"/>
      <c r="G197" s="6" t="n"/>
      <c r="H197" s="6" t="n"/>
      <c r="I197" s="6" t="n"/>
      <c r="J197" s="6" t="inlineStr">
        <is>
          <t>TOTAL DEDUCTION</t>
        </is>
      </c>
      <c r="K197" s="6" t="n"/>
      <c r="L197" s="6" t="n"/>
      <c r="M197" s="6" t="n"/>
      <c r="N197" s="6" t="n"/>
      <c r="O197" s="6" t="n"/>
      <c r="P197" s="7" t="n">
        <v>0</v>
      </c>
      <c r="Q197" s="7"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row>
    <row r="198">
      <c r="A198" s="6" t="n"/>
      <c r="B198" s="6" t="n"/>
      <c r="C198" s="6" t="n"/>
      <c r="D198" s="6" t="n"/>
      <c r="E198" s="6" t="n"/>
      <c r="F198" s="6" t="n"/>
      <c r="G198" s="6" t="n"/>
      <c r="H198" s="6" t="n"/>
      <c r="I198" s="6" t="n"/>
      <c r="J198" s="6" t="inlineStr">
        <is>
          <t>ADJUSTMENTS</t>
        </is>
      </c>
      <c r="K198" s="6" t="n"/>
      <c r="L198" s="6" t="n"/>
      <c r="M198" s="6" t="n"/>
      <c r="N198" s="6" t="n"/>
      <c r="O198" s="6" t="n"/>
      <c r="P198" s="7">
        <f>(T188+U188+V188-W188)</f>
        <v/>
      </c>
      <c r="Q198" s="7">
        <f>(T188+U188+V188-W188)</f>
        <v/>
      </c>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row>
    <row r="199"/>
    <row r="200">
      <c r="A200" s="6" t="n"/>
      <c r="B200" s="6" t="n"/>
      <c r="C200" s="6" t="n"/>
      <c r="D200" s="6" t="n"/>
      <c r="E200" s="6" t="n"/>
      <c r="F200" s="6" t="n"/>
      <c r="G200" s="6" t="n"/>
      <c r="H200" s="6" t="n"/>
      <c r="I200" s="6" t="n"/>
      <c r="J200" s="6" t="inlineStr">
        <is>
          <t>NET TOTAL</t>
        </is>
      </c>
      <c r="K200" s="6" t="n"/>
      <c r="L200" s="6" t="n"/>
      <c r="M200" s="6" t="n"/>
      <c r="N200" s="6" t="n"/>
      <c r="O200" s="6" t="n"/>
      <c r="P200" s="7">
        <f>P190+P198</f>
        <v/>
      </c>
      <c r="Q200" s="7">
        <f>Q190+Q198</f>
        <v/>
      </c>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row>
    <row r="201">
      <c r="A201" s="6" t="n"/>
      <c r="B201" s="6" t="n"/>
      <c r="C201" s="6" t="n"/>
      <c r="D201" s="6" t="n"/>
      <c r="E201" s="6" t="n"/>
      <c r="F201" s="6" t="n"/>
      <c r="G201" s="6" t="n"/>
      <c r="H201" s="6" t="n"/>
      <c r="I201" s="6" t="n"/>
      <c r="J201" s="6" t="inlineStr">
        <is>
          <t>INVOICE TOTAL</t>
        </is>
      </c>
      <c r="K201" s="6" t="n"/>
      <c r="L201" s="6" t="n"/>
      <c r="M201" s="6" t="n"/>
      <c r="N201" s="6" t="n"/>
      <c r="O201" s="6" t="n"/>
      <c r="P201" s="7">
        <f>S188</f>
        <v/>
      </c>
      <c r="Q201" s="7"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row>
    <row r="202"/>
    <row r="203">
      <c r="A203" s="10" t="n"/>
      <c r="B203" s="10" t="n"/>
      <c r="C203" s="10" t="n"/>
      <c r="D203" s="10" t="n"/>
      <c r="E203" s="10" t="n"/>
      <c r="F203" s="10" t="n"/>
      <c r="G203" s="10" t="n"/>
      <c r="H203" s="10" t="n"/>
      <c r="I203" s="10" t="n"/>
      <c r="J203" s="10" t="inlineStr">
        <is>
          <t>VARIANCE CHECK</t>
        </is>
      </c>
      <c r="K203" s="10" t="n"/>
      <c r="L203" s="10" t="n"/>
      <c r="M203" s="10" t="n"/>
      <c r="N203" s="10" t="n"/>
      <c r="O203" s="10" t="n"/>
      <c r="P203" s="11">
        <f>S188-P200</f>
        <v/>
      </c>
      <c r="Q203" s="11">
        <f>S188-Q200</f>
        <v/>
      </c>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c r="AJ203" s="10" t="n"/>
      <c r="AK203" s="10" t="n"/>
    </row>
    <row r="204"/>
    <row r="205">
      <c r="A205" s="14" t="n"/>
      <c r="B205" s="14" t="n"/>
      <c r="C205" s="14" t="n"/>
      <c r="D205" s="14" t="n"/>
      <c r="E205" s="14" t="n"/>
      <c r="F205" s="14" t="n"/>
      <c r="G205" s="14" t="n"/>
      <c r="H205" s="14" t="n"/>
      <c r="I205" s="14" t="n"/>
      <c r="J205" s="14" t="inlineStr">
        <is>
          <t>DUTY ESTIMATION (Classification Cross-Check)</t>
        </is>
      </c>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row>
    <row r="206">
      <c r="A206" s="15" t="n"/>
      <c r="B206" s="15" t="n"/>
      <c r="C206" s="15" t="n"/>
      <c r="D206" s="15" t="n"/>
      <c r="E206" s="15" t="n"/>
      <c r="F206" s="15" t="n"/>
      <c r="G206" s="15" t="n"/>
      <c r="H206" s="15" t="n"/>
      <c r="I206" s="15" t="n"/>
      <c r="J206" s="16" t="inlineStr">
        <is>
          <t>CIF (USD) = InvTotal + Freight + Insurance</t>
        </is>
      </c>
      <c r="K206" s="15" t="n"/>
      <c r="L206" s="15" t="n"/>
      <c r="M206" s="15" t="n"/>
      <c r="N206" s="15" t="n"/>
      <c r="O206" s="15" t="n"/>
      <c r="P206" s="17" t="n">
        <v>6.92</v>
      </c>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row>
    <row r="207">
      <c r="A207" s="15" t="n"/>
      <c r="B207" s="15" t="n"/>
      <c r="C207" s="15" t="n"/>
      <c r="D207" s="15" t="n"/>
      <c r="E207" s="15" t="n"/>
      <c r="F207" s="15" t="n"/>
      <c r="G207" s="15" t="n"/>
      <c r="H207" s="15" t="n"/>
      <c r="I207" s="15" t="n"/>
      <c r="J207" s="16" t="inlineStr">
        <is>
          <t>CIF (XCD) = CIF × 2.7169</t>
        </is>
      </c>
      <c r="K207" s="15" t="n"/>
      <c r="L207" s="15" t="n"/>
      <c r="M207" s="15" t="n"/>
      <c r="N207" s="15" t="n"/>
      <c r="O207" s="15" t="n"/>
      <c r="P207" s="17" t="n">
        <v>18.8</v>
      </c>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row>
    <row r="208">
      <c r="A208" s="15" t="n"/>
      <c r="B208" s="15" t="n"/>
      <c r="C208" s="15" t="n"/>
      <c r="D208" s="15" t="n"/>
      <c r="E208" s="15" t="n"/>
      <c r="F208" s="15" t="n"/>
      <c r="G208" s="15" t="n"/>
      <c r="H208" s="15" t="n"/>
      <c r="I208" s="15" t="n"/>
      <c r="J208" s="16" t="inlineStr">
        <is>
          <t>CET (20%) — Tariff 00000000</t>
        </is>
      </c>
      <c r="K208" s="15" t="n"/>
      <c r="L208" s="15" t="n"/>
      <c r="M208" s="15" t="n"/>
      <c r="N208" s="15" t="n"/>
      <c r="O208" s="15" t="n"/>
      <c r="P208" s="17" t="n">
        <v>3.76</v>
      </c>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row>
    <row r="209">
      <c r="A209" s="15" t="n"/>
      <c r="B209" s="15" t="n"/>
      <c r="C209" s="15" t="n"/>
      <c r="D209" s="15" t="n"/>
      <c r="E209" s="15" t="n"/>
      <c r="F209" s="15" t="n"/>
      <c r="G209" s="15" t="n"/>
      <c r="H209" s="15" t="n"/>
      <c r="I209" s="15" t="n"/>
      <c r="J209" s="16" t="inlineStr">
        <is>
          <t>CSC (6%)</t>
        </is>
      </c>
      <c r="K209" s="15" t="n"/>
      <c r="L209" s="15" t="n"/>
      <c r="M209" s="15" t="n"/>
      <c r="N209" s="15" t="n"/>
      <c r="O209" s="15" t="n"/>
      <c r="P209" s="17" t="n">
        <v>1.13</v>
      </c>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row>
    <row r="210">
      <c r="A210" s="15" t="n"/>
      <c r="B210" s="15" t="n"/>
      <c r="C210" s="15" t="n"/>
      <c r="D210" s="15" t="n"/>
      <c r="E210" s="15" t="n"/>
      <c r="F210" s="15" t="n"/>
      <c r="G210" s="15" t="n"/>
      <c r="H210" s="15" t="n"/>
      <c r="I210" s="15" t="n"/>
      <c r="J210" s="16" t="inlineStr">
        <is>
          <t>VAT (15%) on CIF+CET+CSC</t>
        </is>
      </c>
      <c r="K210" s="15" t="n"/>
      <c r="L210" s="15" t="n"/>
      <c r="M210" s="15" t="n"/>
      <c r="N210" s="15" t="n"/>
      <c r="O210" s="15" t="n"/>
      <c r="P210" s="17" t="n">
        <v>3.55</v>
      </c>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row>
    <row r="211">
      <c r="A211" s="18" t="n"/>
      <c r="B211" s="18" t="n"/>
      <c r="C211" s="18" t="n"/>
      <c r="D211" s="18" t="n"/>
      <c r="E211" s="18" t="n"/>
      <c r="F211" s="18" t="n"/>
      <c r="G211" s="18" t="n"/>
      <c r="H211" s="18" t="n"/>
      <c r="I211" s="18" t="n"/>
      <c r="J211" s="14" t="inlineStr">
        <is>
          <t>ESTIMATED TOTAL DUTIES</t>
        </is>
      </c>
      <c r="K211" s="18" t="n"/>
      <c r="L211" s="18" t="n"/>
      <c r="M211" s="18" t="n"/>
      <c r="N211" s="18" t="n"/>
      <c r="O211" s="18" t="n"/>
      <c r="P211" s="19" t="n">
        <v>8.44</v>
      </c>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c r="AJ211" s="18" t="n"/>
      <c r="AK211" s="18" t="n"/>
    </row>
    <row r="212">
      <c r="A212" s="15" t="n"/>
      <c r="B212" s="15" t="n"/>
      <c r="C212" s="15" t="n"/>
      <c r="D212" s="15" t="n"/>
      <c r="E212" s="15" t="n"/>
      <c r="F212" s="15" t="n"/>
      <c r="G212" s="15" t="n"/>
      <c r="H212" s="15" t="n"/>
      <c r="I212" s="15" t="n"/>
      <c r="J212" s="16" t="inlineStr">
        <is>
          <t>Effective Duty Rate</t>
        </is>
      </c>
      <c r="K212" s="15" t="n"/>
      <c r="L212" s="15" t="n"/>
      <c r="M212" s="15" t="n"/>
      <c r="N212" s="15" t="n"/>
      <c r="O212" s="15" t="n"/>
      <c r="P212" s="20" t="n">
        <v>0.4489361702127659</v>
      </c>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c r="AA213" s="21" t="n"/>
      <c r="AB213" s="21" t="n"/>
      <c r="AC213" s="21" t="n"/>
      <c r="AD213" s="21" t="n"/>
      <c r="AE213" s="21" t="n"/>
      <c r="AF213" s="21" t="n"/>
      <c r="AG213" s="21" t="n"/>
      <c r="AH213" s="21" t="n"/>
      <c r="AI213" s="21" t="n"/>
      <c r="AJ213" s="21" t="n"/>
      <c r="AK213" s="21" t="n"/>
    </row>
    <row r="214">
      <c r="A214" s="2" t="inlineStr">
        <is>
          <t>4000-000</t>
        </is>
      </c>
      <c r="B214" s="2" t="n"/>
      <c r="C214" s="2" t="inlineStr">
        <is>
          <t>INVUS20240714003388571</t>
        </is>
      </c>
      <c r="D214" s="2" t="inlineStr">
        <is>
          <t>2024-07-14</t>
        </is>
      </c>
      <c r="E214" s="2" t="inlineStr">
        <is>
          <t>HOSIERY</t>
        </is>
      </c>
      <c r="F214" s="2" t="inlineStr">
        <is>
          <t>61159910</t>
        </is>
      </c>
      <c r="G214" s="2" t="n"/>
      <c r="H214" s="2" t="n"/>
      <c r="I214" s="2" t="inlineStr">
        <is>
          <t>61159910</t>
        </is>
      </c>
      <c r="J214" s="2" t="inlineStr">
        <is>
          <t>20 Pairs Children' Pure Black Simple Mid-Calf Socks, Skin-Friendly, Comfortab... (1 items)</t>
        </is>
      </c>
      <c r="K214" s="2" t="n">
        <v>1</v>
      </c>
      <c r="L214" s="2" t="n"/>
      <c r="M214" s="2" t="n"/>
      <c r="N214" s="2" t="inlineStr">
        <is>
          <t>USD</t>
        </is>
      </c>
      <c r="O214" s="3" t="n">
        <v>9.369999999999999</v>
      </c>
      <c r="P214" s="3" t="n">
        <v>9.369999999999999</v>
      </c>
      <c r="Q214" s="3">
        <f>O214*K214</f>
        <v/>
      </c>
      <c r="R214" s="3">
        <f>P214-Q214</f>
        <v/>
      </c>
      <c r="S214" s="3" t="n">
        <v>10.05</v>
      </c>
      <c r="T214" s="3" t="n">
        <v>0</v>
      </c>
      <c r="U214" s="3" t="n">
        <v>0</v>
      </c>
      <c r="V214" s="3" t="n">
        <v>0.68</v>
      </c>
      <c r="W214" s="3" t="n">
        <v>0</v>
      </c>
      <c r="X214" s="2" t="n">
        <v>1</v>
      </c>
      <c r="Y214" s="2" t="n"/>
      <c r="Z214" s="2" t="inlineStr">
        <is>
          <t>SHEIN</t>
        </is>
      </c>
      <c r="AA214" s="2" t="inlineStr">
        <is>
          <t>SHEIN US Services, LLC</t>
        </is>
      </c>
      <c r="AB214" s="2" t="inlineStr">
        <is>
          <t>777 S. Alameda St., Second Floor, Los Angeles, CA 90021</t>
        </is>
      </c>
      <c r="AC214" s="2" t="inlineStr">
        <is>
          <t>US</t>
        </is>
      </c>
      <c r="AD214" s="2" t="n"/>
      <c r="AE214" s="2" t="n"/>
      <c r="AF214" s="2" t="n"/>
      <c r="AG214" s="2" t="n"/>
      <c r="AH214" s="2" t="n"/>
      <c r="AI214" s="2" t="n"/>
      <c r="AJ214" s="2" t="n"/>
      <c r="AK214" s="2" t="inlineStr">
        <is>
          <t>61159910</t>
        </is>
      </c>
    </row>
    <row r="215">
      <c r="A215" s="4" t="n"/>
      <c r="B215" s="4" t="n"/>
      <c r="C215" s="4" t="n"/>
      <c r="D215" s="4" t="n"/>
      <c r="E215" s="4" t="n"/>
      <c r="F215" s="4" t="inlineStr">
        <is>
          <t>61159910</t>
        </is>
      </c>
      <c r="G215" s="4" t="n"/>
      <c r="H215" s="4" t="n"/>
      <c r="I215" s="4" t="inlineStr">
        <is>
          <t>SHEIN-1</t>
        </is>
      </c>
      <c r="J215" s="4" t="inlineStr">
        <is>
          <t>20 Pairs Children' Pure Black Simple Mid-Calf Socks, Skin-Friendly, Comfortab...</t>
        </is>
      </c>
      <c r="K215" s="4" t="n">
        <v>1</v>
      </c>
      <c r="L215" s="4" t="n"/>
      <c r="M215" s="4" t="n"/>
      <c r="N215" s="4" t="inlineStr">
        <is>
          <t>USD</t>
        </is>
      </c>
      <c r="O215" s="5" t="n">
        <v>9.369999999999999</v>
      </c>
      <c r="P215" s="5" t="n">
        <v>9.369999999999999</v>
      </c>
      <c r="Q215" s="5">
        <f>O215*K215</f>
        <v/>
      </c>
      <c r="R215" s="5">
        <f>P215-Q215</f>
        <v/>
      </c>
      <c r="S215" s="4" t="n"/>
      <c r="T215" s="4" t="n"/>
      <c r="U215" s="4" t="n"/>
      <c r="V215" s="4" t="n"/>
      <c r="W215" s="4" t="n"/>
      <c r="X215" s="4" t="n"/>
      <c r="Y215" s="4" t="n"/>
      <c r="Z215" s="4" t="n"/>
      <c r="AA215" s="4" t="n"/>
      <c r="AB215" s="4" t="n"/>
      <c r="AC215" s="4" t="n"/>
      <c r="AD215" s="4" t="n"/>
      <c r="AE215" s="4" t="n"/>
      <c r="AF215" s="4" t="n"/>
      <c r="AG215" s="4" t="n"/>
      <c r="AH215" s="4" t="n"/>
      <c r="AI215" s="4" t="n"/>
      <c r="AJ215" s="4" t="n"/>
      <c r="AK215" s="4" t="n"/>
    </row>
    <row r="216">
      <c r="A216" s="6" t="n"/>
      <c r="B216" s="6" t="n"/>
      <c r="C216" s="6" t="n"/>
      <c r="D216" s="6" t="n"/>
      <c r="E216" s="6" t="n"/>
      <c r="F216" s="6" t="n"/>
      <c r="G216" s="6" t="n"/>
      <c r="H216" s="6" t="n"/>
      <c r="I216" s="6" t="n"/>
      <c r="J216" s="6" t="inlineStr">
        <is>
          <t>SUBTOTAL (GROUPED)</t>
        </is>
      </c>
      <c r="K216" s="6" t="n"/>
      <c r="L216" s="6" t="n"/>
      <c r="M216" s="6" t="n"/>
      <c r="N216" s="6" t="n"/>
      <c r="O216" s="6" t="n"/>
      <c r="P216" s="7">
        <f>P214</f>
        <v/>
      </c>
      <c r="Q216" s="7">
        <f>Q214</f>
        <v/>
      </c>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row>
    <row r="217">
      <c r="A217" s="6" t="n"/>
      <c r="B217" s="6" t="n"/>
      <c r="C217" s="6" t="n"/>
      <c r="D217" s="6" t="n"/>
      <c r="E217" s="6" t="n"/>
      <c r="F217" s="6" t="n"/>
      <c r="G217" s="6" t="n"/>
      <c r="H217" s="6" t="n"/>
      <c r="I217" s="6" t="n"/>
      <c r="J217" s="6" t="inlineStr">
        <is>
          <t>SUBTOTAL (DETAILS)</t>
        </is>
      </c>
      <c r="K217" s="6" t="n"/>
      <c r="L217" s="6" t="n"/>
      <c r="M217" s="6" t="n"/>
      <c r="N217" s="6" t="n"/>
      <c r="O217" s="6" t="n"/>
      <c r="P217" s="7">
        <f>SUM(P214:P215)-P216</f>
        <v/>
      </c>
      <c r="Q217" s="7">
        <f>SUM(Q214:Q215)-Q216</f>
        <v/>
      </c>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row>
    <row r="218">
      <c r="A218" s="8" t="n"/>
      <c r="B218" s="8" t="n"/>
      <c r="C218" s="8" t="n"/>
      <c r="D218" s="8" t="n"/>
      <c r="E218" s="8" t="n"/>
      <c r="F218" s="8" t="n"/>
      <c r="G218" s="8" t="n"/>
      <c r="H218" s="8" t="n"/>
      <c r="I218" s="8" t="n"/>
      <c r="J218" s="8" t="inlineStr">
        <is>
          <t>GROUP VERIFICATION</t>
        </is>
      </c>
      <c r="K218" s="8" t="n"/>
      <c r="L218" s="8" t="n"/>
      <c r="M218" s="8" t="n"/>
      <c r="N218" s="8" t="n"/>
      <c r="O218" s="8" t="n"/>
      <c r="P218" s="9">
        <f>P216-P217</f>
        <v/>
      </c>
      <c r="Q218" s="9">
        <f>Q216-Q217</f>
        <v/>
      </c>
      <c r="R218" s="8" t="n"/>
      <c r="S218" s="8" t="n"/>
      <c r="T218" s="8" t="n"/>
      <c r="U218" s="8" t="n"/>
      <c r="V218" s="8" t="n"/>
      <c r="W218" s="8" t="n"/>
      <c r="X218" s="8" t="n"/>
      <c r="Y218" s="8" t="n"/>
      <c r="Z218" s="8" t="n"/>
      <c r="AA218" s="8" t="n"/>
      <c r="AB218" s="8" t="n"/>
      <c r="AC218" s="8" t="n"/>
      <c r="AD218" s="8" t="n"/>
      <c r="AE218" s="8" t="n"/>
      <c r="AF218" s="8" t="n"/>
      <c r="AG218" s="8" t="n"/>
      <c r="AH218" s="8" t="n"/>
      <c r="AI218" s="8" t="n"/>
      <c r="AJ218" s="8" t="n"/>
      <c r="AK218" s="8" t="n"/>
    </row>
    <row r="219"/>
    <row r="220">
      <c r="A220" s="6" t="n"/>
      <c r="B220" s="6" t="n"/>
      <c r="C220" s="6" t="n"/>
      <c r="D220" s="6" t="n"/>
      <c r="E220" s="6" t="n"/>
      <c r="F220" s="6" t="n"/>
      <c r="G220" s="6" t="n"/>
      <c r="H220" s="6" t="n"/>
      <c r="I220" s="6" t="n"/>
      <c r="J220" s="6" t="inlineStr">
        <is>
          <t>TOTAL INTERNAL FREIGHT</t>
        </is>
      </c>
      <c r="K220" s="6" t="n"/>
      <c r="L220" s="6" t="n"/>
      <c r="M220" s="6" t="n"/>
      <c r="N220" s="6" t="n"/>
      <c r="O220" s="6" t="n"/>
      <c r="P220" s="7" t="n">
        <v>0</v>
      </c>
      <c r="Q220" s="7"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row>
    <row r="221">
      <c r="A221" s="6" t="n"/>
      <c r="B221" s="6" t="n"/>
      <c r="C221" s="6" t="n"/>
      <c r="D221" s="6" t="n"/>
      <c r="E221" s="6" t="n"/>
      <c r="F221" s="6" t="n"/>
      <c r="G221" s="6" t="n"/>
      <c r="H221" s="6" t="n"/>
      <c r="I221" s="6" t="n"/>
      <c r="J221" s="6" t="inlineStr">
        <is>
          <t>TOTAL INSURANCE</t>
        </is>
      </c>
      <c r="K221" s="6" t="n"/>
      <c r="L221" s="6" t="n"/>
      <c r="M221" s="6" t="n"/>
      <c r="N221" s="6" t="n"/>
      <c r="O221" s="6" t="n"/>
      <c r="P221" s="7" t="n">
        <v>0</v>
      </c>
      <c r="Q221" s="7"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row>
    <row r="222">
      <c r="A222" s="6" t="n"/>
      <c r="B222" s="6" t="n"/>
      <c r="C222" s="6" t="n"/>
      <c r="D222" s="6" t="n"/>
      <c r="E222" s="6" t="n"/>
      <c r="F222" s="6" t="n"/>
      <c r="G222" s="6" t="n"/>
      <c r="H222" s="6" t="n"/>
      <c r="I222" s="6" t="n"/>
      <c r="J222" s="6" t="inlineStr">
        <is>
          <t>TOTAL OTHER COST</t>
        </is>
      </c>
      <c r="K222" s="6" t="n"/>
      <c r="L222" s="6" t="n"/>
      <c r="M222" s="6" t="n"/>
      <c r="N222" s="6" t="n"/>
      <c r="O222" s="6" t="n"/>
      <c r="P222" s="7" t="n">
        <v>0.68</v>
      </c>
      <c r="Q222" s="7"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row>
    <row r="223">
      <c r="A223" s="6" t="n"/>
      <c r="B223" s="6" t="n"/>
      <c r="C223" s="6" t="n"/>
      <c r="D223" s="6" t="n"/>
      <c r="E223" s="6" t="n"/>
      <c r="F223" s="6" t="n"/>
      <c r="G223" s="6" t="n"/>
      <c r="H223" s="6" t="n"/>
      <c r="I223" s="6" t="n"/>
      <c r="J223" s="6" t="inlineStr">
        <is>
          <t>TOTAL DEDUCTION</t>
        </is>
      </c>
      <c r="K223" s="6" t="n"/>
      <c r="L223" s="6" t="n"/>
      <c r="M223" s="6" t="n"/>
      <c r="N223" s="6" t="n"/>
      <c r="O223" s="6" t="n"/>
      <c r="P223" s="7" t="n">
        <v>0</v>
      </c>
      <c r="Q223" s="7"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row>
    <row r="224">
      <c r="A224" s="6" t="n"/>
      <c r="B224" s="6" t="n"/>
      <c r="C224" s="6" t="n"/>
      <c r="D224" s="6" t="n"/>
      <c r="E224" s="6" t="n"/>
      <c r="F224" s="6" t="n"/>
      <c r="G224" s="6" t="n"/>
      <c r="H224" s="6" t="n"/>
      <c r="I224" s="6" t="n"/>
      <c r="J224" s="6" t="inlineStr">
        <is>
          <t>ADJUSTMENTS</t>
        </is>
      </c>
      <c r="K224" s="6" t="n"/>
      <c r="L224" s="6" t="n"/>
      <c r="M224" s="6" t="n"/>
      <c r="N224" s="6" t="n"/>
      <c r="O224" s="6" t="n"/>
      <c r="P224" s="7">
        <f>(T214+U214+V214-W214)</f>
        <v/>
      </c>
      <c r="Q224" s="7">
        <f>(T214+U214+V214-W214)</f>
        <v/>
      </c>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row>
    <row r="225"/>
    <row r="226">
      <c r="A226" s="6" t="n"/>
      <c r="B226" s="6" t="n"/>
      <c r="C226" s="6" t="n"/>
      <c r="D226" s="6" t="n"/>
      <c r="E226" s="6" t="n"/>
      <c r="F226" s="6" t="n"/>
      <c r="G226" s="6" t="n"/>
      <c r="H226" s="6" t="n"/>
      <c r="I226" s="6" t="n"/>
      <c r="J226" s="6" t="inlineStr">
        <is>
          <t>NET TOTAL</t>
        </is>
      </c>
      <c r="K226" s="6" t="n"/>
      <c r="L226" s="6" t="n"/>
      <c r="M226" s="6" t="n"/>
      <c r="N226" s="6" t="n"/>
      <c r="O226" s="6" t="n"/>
      <c r="P226" s="7">
        <f>P216+P224</f>
        <v/>
      </c>
      <c r="Q226" s="7">
        <f>Q216+Q224</f>
        <v/>
      </c>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row>
    <row r="227">
      <c r="A227" s="6" t="n"/>
      <c r="B227" s="6" t="n"/>
      <c r="C227" s="6" t="n"/>
      <c r="D227" s="6" t="n"/>
      <c r="E227" s="6" t="n"/>
      <c r="F227" s="6" t="n"/>
      <c r="G227" s="6" t="n"/>
      <c r="H227" s="6" t="n"/>
      <c r="I227" s="6" t="n"/>
      <c r="J227" s="6" t="inlineStr">
        <is>
          <t>INVOICE TOTAL</t>
        </is>
      </c>
      <c r="K227" s="6" t="n"/>
      <c r="L227" s="6" t="n"/>
      <c r="M227" s="6" t="n"/>
      <c r="N227" s="6" t="n"/>
      <c r="O227" s="6" t="n"/>
      <c r="P227" s="7">
        <f>S214</f>
        <v/>
      </c>
      <c r="Q227" s="7"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row>
    <row r="228"/>
    <row r="229">
      <c r="A229" s="10" t="n"/>
      <c r="B229" s="10" t="n"/>
      <c r="C229" s="10" t="n"/>
      <c r="D229" s="10" t="n"/>
      <c r="E229" s="10" t="n"/>
      <c r="F229" s="10" t="n"/>
      <c r="G229" s="10" t="n"/>
      <c r="H229" s="10" t="n"/>
      <c r="I229" s="10" t="n"/>
      <c r="J229" s="10" t="inlineStr">
        <is>
          <t>VARIANCE CHECK</t>
        </is>
      </c>
      <c r="K229" s="10" t="n"/>
      <c r="L229" s="10" t="n"/>
      <c r="M229" s="10" t="n"/>
      <c r="N229" s="10" t="n"/>
      <c r="O229" s="10" t="n"/>
      <c r="P229" s="11">
        <f>S214-P226</f>
        <v/>
      </c>
      <c r="Q229" s="11">
        <f>S214-Q226</f>
        <v/>
      </c>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c r="AJ229" s="10" t="n"/>
      <c r="AK229" s="10" t="n"/>
    </row>
    <row r="230"/>
    <row r="231">
      <c r="A231" s="14" t="n"/>
      <c r="B231" s="14" t="n"/>
      <c r="C231" s="14" t="n"/>
      <c r="D231" s="14" t="n"/>
      <c r="E231" s="14" t="n"/>
      <c r="F231" s="14" t="n"/>
      <c r="G231" s="14" t="n"/>
      <c r="H231" s="14" t="n"/>
      <c r="I231" s="14" t="n"/>
      <c r="J231" s="14" t="inlineStr">
        <is>
          <t>DUTY ESTIMATION (Classification Cross-Check)</t>
        </is>
      </c>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c r="AH231" s="14" t="n"/>
      <c r="AI231" s="14" t="n"/>
      <c r="AJ231" s="14" t="n"/>
      <c r="AK231" s="14" t="n"/>
    </row>
    <row r="232">
      <c r="A232" s="15" t="n"/>
      <c r="B232" s="15" t="n"/>
      <c r="C232" s="15" t="n"/>
      <c r="D232" s="15" t="n"/>
      <c r="E232" s="15" t="n"/>
      <c r="F232" s="15" t="n"/>
      <c r="G232" s="15" t="n"/>
      <c r="H232" s="15" t="n"/>
      <c r="I232" s="15" t="n"/>
      <c r="J232" s="16" t="inlineStr">
        <is>
          <t>CIF (USD) = InvTotal + Freight + Insurance</t>
        </is>
      </c>
      <c r="K232" s="15" t="n"/>
      <c r="L232" s="15" t="n"/>
      <c r="M232" s="15" t="n"/>
      <c r="N232" s="15" t="n"/>
      <c r="O232" s="15" t="n"/>
      <c r="P232" s="17" t="n">
        <v>10.05</v>
      </c>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row>
    <row r="233">
      <c r="A233" s="15" t="n"/>
      <c r="B233" s="15" t="n"/>
      <c r="C233" s="15" t="n"/>
      <c r="D233" s="15" t="n"/>
      <c r="E233" s="15" t="n"/>
      <c r="F233" s="15" t="n"/>
      <c r="G233" s="15" t="n"/>
      <c r="H233" s="15" t="n"/>
      <c r="I233" s="15" t="n"/>
      <c r="J233" s="16" t="inlineStr">
        <is>
          <t>CIF (XCD) = CIF × 2.7169</t>
        </is>
      </c>
      <c r="K233" s="15" t="n"/>
      <c r="L233" s="15" t="n"/>
      <c r="M233" s="15" t="n"/>
      <c r="N233" s="15" t="n"/>
      <c r="O233" s="15" t="n"/>
      <c r="P233" s="17" t="n">
        <v>27.3</v>
      </c>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row>
    <row r="234">
      <c r="A234" s="15" t="n"/>
      <c r="B234" s="15" t="n"/>
      <c r="C234" s="15" t="n"/>
      <c r="D234" s="15" t="n"/>
      <c r="E234" s="15" t="n"/>
      <c r="F234" s="15" t="n"/>
      <c r="G234" s="15" t="n"/>
      <c r="H234" s="15" t="n"/>
      <c r="I234" s="15" t="n"/>
      <c r="J234" s="16" t="inlineStr">
        <is>
          <t>CET (20%) — Tariff 61159910</t>
        </is>
      </c>
      <c r="K234" s="15" t="n"/>
      <c r="L234" s="15" t="n"/>
      <c r="M234" s="15" t="n"/>
      <c r="N234" s="15" t="n"/>
      <c r="O234" s="15" t="n"/>
      <c r="P234" s="17" t="n">
        <v>5.46</v>
      </c>
      <c r="Q234" s="15" t="n"/>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row>
    <row r="235">
      <c r="A235" s="15" t="n"/>
      <c r="B235" s="15" t="n"/>
      <c r="C235" s="15" t="n"/>
      <c r="D235" s="15" t="n"/>
      <c r="E235" s="15" t="n"/>
      <c r="F235" s="15" t="n"/>
      <c r="G235" s="15" t="n"/>
      <c r="H235" s="15" t="n"/>
      <c r="I235" s="15" t="n"/>
      <c r="J235" s="16" t="inlineStr">
        <is>
          <t>CSC (6%)</t>
        </is>
      </c>
      <c r="K235" s="15" t="n"/>
      <c r="L235" s="15" t="n"/>
      <c r="M235" s="15" t="n"/>
      <c r="N235" s="15" t="n"/>
      <c r="O235" s="15" t="n"/>
      <c r="P235" s="17" t="n">
        <v>1.64</v>
      </c>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row>
    <row r="236">
      <c r="A236" s="15" t="n"/>
      <c r="B236" s="15" t="n"/>
      <c r="C236" s="15" t="n"/>
      <c r="D236" s="15" t="n"/>
      <c r="E236" s="15" t="n"/>
      <c r="F236" s="15" t="n"/>
      <c r="G236" s="15" t="n"/>
      <c r="H236" s="15" t="n"/>
      <c r="I236" s="15" t="n"/>
      <c r="J236" s="16" t="inlineStr">
        <is>
          <t>VAT (15%) on CIF+CET+CSC</t>
        </is>
      </c>
      <c r="K236" s="15" t="n"/>
      <c r="L236" s="15" t="n"/>
      <c r="M236" s="15" t="n"/>
      <c r="N236" s="15" t="n"/>
      <c r="O236" s="15" t="n"/>
      <c r="P236" s="17" t="n">
        <v>5.16</v>
      </c>
      <c r="Q236" s="15" t="n"/>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row>
    <row r="237">
      <c r="A237" s="18" t="n"/>
      <c r="B237" s="18" t="n"/>
      <c r="C237" s="18" t="n"/>
      <c r="D237" s="18" t="n"/>
      <c r="E237" s="18" t="n"/>
      <c r="F237" s="18" t="n"/>
      <c r="G237" s="18" t="n"/>
      <c r="H237" s="18" t="n"/>
      <c r="I237" s="18" t="n"/>
      <c r="J237" s="14" t="inlineStr">
        <is>
          <t>ESTIMATED TOTAL DUTIES</t>
        </is>
      </c>
      <c r="K237" s="18" t="n"/>
      <c r="L237" s="18" t="n"/>
      <c r="M237" s="18" t="n"/>
      <c r="N237" s="18" t="n"/>
      <c r="O237" s="18" t="n"/>
      <c r="P237" s="19" t="n">
        <v>12.26</v>
      </c>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c r="AJ237" s="18" t="n"/>
      <c r="AK237" s="18" t="n"/>
    </row>
    <row r="238">
      <c r="A238" s="15" t="n"/>
      <c r="B238" s="15" t="n"/>
      <c r="C238" s="15" t="n"/>
      <c r="D238" s="15" t="n"/>
      <c r="E238" s="15" t="n"/>
      <c r="F238" s="15" t="n"/>
      <c r="G238" s="15" t="n"/>
      <c r="H238" s="15" t="n"/>
      <c r="I238" s="15" t="n"/>
      <c r="J238" s="16" t="inlineStr">
        <is>
          <t>Effective Duty Rate</t>
        </is>
      </c>
      <c r="K238" s="15" t="n"/>
      <c r="L238" s="15" t="n"/>
      <c r="M238" s="15" t="n"/>
      <c r="N238" s="15" t="n"/>
      <c r="O238" s="15" t="n"/>
      <c r="P238" s="20" t="n">
        <v>0.449084249084249</v>
      </c>
      <c r="Q238" s="15" t="n"/>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c r="AA239" s="21" t="n"/>
      <c r="AB239" s="21" t="n"/>
      <c r="AC239" s="21" t="n"/>
      <c r="AD239" s="21" t="n"/>
      <c r="AE239" s="21" t="n"/>
      <c r="AF239" s="21" t="n"/>
      <c r="AG239" s="21" t="n"/>
      <c r="AH239" s="21" t="n"/>
      <c r="AI239" s="21" t="n"/>
      <c r="AJ239" s="21" t="n"/>
      <c r="AK239" s="21" t="n"/>
    </row>
    <row r="240">
      <c r="A240" s="2" t="inlineStr">
        <is>
          <t>4000-000</t>
        </is>
      </c>
      <c r="B240" s="2" t="n"/>
      <c r="C240" s="2" t="inlineStr">
        <is>
          <t>INVUS20240714003391892</t>
        </is>
      </c>
      <c r="D240" s="2" t="inlineStr">
        <is>
          <t>2024-07-14</t>
        </is>
      </c>
      <c r="E240" s="2" t="inlineStr">
        <is>
          <t>Impregnated, coated or covered with plastics or rubber</t>
        </is>
      </c>
      <c r="F240" s="2" t="inlineStr">
        <is>
          <t>61161000</t>
        </is>
      </c>
      <c r="G240" s="2" t="n"/>
      <c r="H240" s="2" t="n"/>
      <c r="I240" s="2" t="inlineStr">
        <is>
          <t>61161000</t>
        </is>
      </c>
      <c r="J240" s="2" t="inlineStr">
        <is>
          <t>4PCS Manual Pencil Sharpeners Double Hole Compact Handheld Design For Kids, S... (1 items)</t>
        </is>
      </c>
      <c r="K240" s="2" t="n">
        <v>1</v>
      </c>
      <c r="L240" s="2" t="n"/>
      <c r="M240" s="2" t="n"/>
      <c r="N240" s="2" t="inlineStr">
        <is>
          <t>USD</t>
        </is>
      </c>
      <c r="O240" s="3" t="n">
        <v>0.91</v>
      </c>
      <c r="P240" s="3" t="n">
        <v>0.91</v>
      </c>
      <c r="Q240" s="3">
        <f>O240*K240</f>
        <v/>
      </c>
      <c r="R240" s="3">
        <f>P240-Q240</f>
        <v/>
      </c>
      <c r="S240" s="3" t="n">
        <v>0.98</v>
      </c>
      <c r="T240" s="3" t="n">
        <v>0</v>
      </c>
      <c r="U240" s="3" t="n">
        <v>0</v>
      </c>
      <c r="V240" s="3" t="n">
        <v>0.07000000000000001</v>
      </c>
      <c r="W240" s="3" t="n">
        <v>0</v>
      </c>
      <c r="X240" s="2" t="n">
        <v>1</v>
      </c>
      <c r="Y240" s="2" t="n"/>
      <c r="Z240" s="2" t="inlineStr">
        <is>
          <t>SHEIN</t>
        </is>
      </c>
      <c r="AA240" s="2" t="inlineStr">
        <is>
          <t>SHEIN US Services, LLC</t>
        </is>
      </c>
      <c r="AB240" s="2" t="inlineStr">
        <is>
          <t>777 S. Alameda St., Second Floor, Los Angeles, CA 90021</t>
        </is>
      </c>
      <c r="AC240" s="2" t="inlineStr">
        <is>
          <t>US</t>
        </is>
      </c>
      <c r="AD240" s="2" t="n"/>
      <c r="AE240" s="2" t="n"/>
      <c r="AF240" s="2" t="n"/>
      <c r="AG240" s="2" t="n"/>
      <c r="AH240" s="2" t="n"/>
      <c r="AI240" s="2" t="n"/>
      <c r="AJ240" s="2" t="n"/>
      <c r="AK240" s="2" t="inlineStr">
        <is>
          <t>61161000</t>
        </is>
      </c>
    </row>
    <row r="241">
      <c r="A241" s="4" t="n"/>
      <c r="B241" s="4" t="n"/>
      <c r="C241" s="4" t="n"/>
      <c r="D241" s="4" t="n"/>
      <c r="E241" s="4" t="n"/>
      <c r="F241" s="4" t="inlineStr">
        <is>
          <t>61161000</t>
        </is>
      </c>
      <c r="G241" s="4" t="n"/>
      <c r="H241" s="4" t="n"/>
      <c r="I241" s="4" t="inlineStr">
        <is>
          <t>SHEIN-1</t>
        </is>
      </c>
      <c r="J241" s="4" t="inlineStr">
        <is>
          <t>4PCS Manual Pencil Sharpeners Double Hole Compact Handheld Design For Kids, S...</t>
        </is>
      </c>
      <c r="K241" s="4" t="n">
        <v>1</v>
      </c>
      <c r="L241" s="4" t="n"/>
      <c r="M241" s="4" t="n"/>
      <c r="N241" s="4" t="inlineStr">
        <is>
          <t>USD</t>
        </is>
      </c>
      <c r="O241" s="5" t="n">
        <v>0.91</v>
      </c>
      <c r="P241" s="5" t="n">
        <v>0.91</v>
      </c>
      <c r="Q241" s="5">
        <f>O241*K241</f>
        <v/>
      </c>
      <c r="R241" s="5">
        <f>P241-Q241</f>
        <v/>
      </c>
      <c r="S241" s="4" t="n"/>
      <c r="T241" s="4" t="n"/>
      <c r="U241" s="4" t="n"/>
      <c r="V241" s="4" t="n"/>
      <c r="W241" s="4" t="n"/>
      <c r="X241" s="4" t="n"/>
      <c r="Y241" s="4" t="n"/>
      <c r="Z241" s="4" t="n"/>
      <c r="AA241" s="4" t="n"/>
      <c r="AB241" s="4" t="n"/>
      <c r="AC241" s="4" t="n"/>
      <c r="AD241" s="4" t="n"/>
      <c r="AE241" s="4" t="n"/>
      <c r="AF241" s="4" t="n"/>
      <c r="AG241" s="4" t="n"/>
      <c r="AH241" s="4" t="n"/>
      <c r="AI241" s="4" t="n"/>
      <c r="AJ241" s="4" t="n"/>
      <c r="AK241" s="4" t="n"/>
    </row>
    <row r="242">
      <c r="A242" s="6" t="n"/>
      <c r="B242" s="6" t="n"/>
      <c r="C242" s="6" t="n"/>
      <c r="D242" s="6" t="n"/>
      <c r="E242" s="6" t="n"/>
      <c r="F242" s="6" t="n"/>
      <c r="G242" s="6" t="n"/>
      <c r="H242" s="6" t="n"/>
      <c r="I242" s="6" t="n"/>
      <c r="J242" s="6" t="inlineStr">
        <is>
          <t>SUBTOTAL (GROUPED)</t>
        </is>
      </c>
      <c r="K242" s="6" t="n"/>
      <c r="L242" s="6" t="n"/>
      <c r="M242" s="6" t="n"/>
      <c r="N242" s="6" t="n"/>
      <c r="O242" s="6" t="n"/>
      <c r="P242" s="7">
        <f>P240</f>
        <v/>
      </c>
      <c r="Q242" s="7">
        <f>Q240</f>
        <v/>
      </c>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row>
    <row r="243">
      <c r="A243" s="6" t="n"/>
      <c r="B243" s="6" t="n"/>
      <c r="C243" s="6" t="n"/>
      <c r="D243" s="6" t="n"/>
      <c r="E243" s="6" t="n"/>
      <c r="F243" s="6" t="n"/>
      <c r="G243" s="6" t="n"/>
      <c r="H243" s="6" t="n"/>
      <c r="I243" s="6" t="n"/>
      <c r="J243" s="6" t="inlineStr">
        <is>
          <t>SUBTOTAL (DETAILS)</t>
        </is>
      </c>
      <c r="K243" s="6" t="n"/>
      <c r="L243" s="6" t="n"/>
      <c r="M243" s="6" t="n"/>
      <c r="N243" s="6" t="n"/>
      <c r="O243" s="6" t="n"/>
      <c r="P243" s="7">
        <f>SUM(P240:P241)-P242</f>
        <v/>
      </c>
      <c r="Q243" s="7">
        <f>SUM(Q240:Q241)-Q242</f>
        <v/>
      </c>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row>
    <row r="244">
      <c r="A244" s="8" t="n"/>
      <c r="B244" s="8" t="n"/>
      <c r="C244" s="8" t="n"/>
      <c r="D244" s="8" t="n"/>
      <c r="E244" s="8" t="n"/>
      <c r="F244" s="8" t="n"/>
      <c r="G244" s="8" t="n"/>
      <c r="H244" s="8" t="n"/>
      <c r="I244" s="8" t="n"/>
      <c r="J244" s="8" t="inlineStr">
        <is>
          <t>GROUP VERIFICATION</t>
        </is>
      </c>
      <c r="K244" s="8" t="n"/>
      <c r="L244" s="8" t="n"/>
      <c r="M244" s="8" t="n"/>
      <c r="N244" s="8" t="n"/>
      <c r="O244" s="8" t="n"/>
      <c r="P244" s="9">
        <f>P242-P243</f>
        <v/>
      </c>
      <c r="Q244" s="9">
        <f>Q242-Q243</f>
        <v/>
      </c>
      <c r="R244" s="8" t="n"/>
      <c r="S244" s="8" t="n"/>
      <c r="T244" s="8" t="n"/>
      <c r="U244" s="8" t="n"/>
      <c r="V244" s="8" t="n"/>
      <c r="W244" s="8" t="n"/>
      <c r="X244" s="8" t="n"/>
      <c r="Y244" s="8" t="n"/>
      <c r="Z244" s="8" t="n"/>
      <c r="AA244" s="8" t="n"/>
      <c r="AB244" s="8" t="n"/>
      <c r="AC244" s="8" t="n"/>
      <c r="AD244" s="8" t="n"/>
      <c r="AE244" s="8" t="n"/>
      <c r="AF244" s="8" t="n"/>
      <c r="AG244" s="8" t="n"/>
      <c r="AH244" s="8" t="n"/>
      <c r="AI244" s="8" t="n"/>
      <c r="AJ244" s="8" t="n"/>
      <c r="AK244" s="8" t="n"/>
    </row>
    <row r="245"/>
    <row r="246">
      <c r="A246" s="6" t="n"/>
      <c r="B246" s="6" t="n"/>
      <c r="C246" s="6" t="n"/>
      <c r="D246" s="6" t="n"/>
      <c r="E246" s="6" t="n"/>
      <c r="F246" s="6" t="n"/>
      <c r="G246" s="6" t="n"/>
      <c r="H246" s="6" t="n"/>
      <c r="I246" s="6" t="n"/>
      <c r="J246" s="6" t="inlineStr">
        <is>
          <t>TOTAL INTERNAL FREIGHT</t>
        </is>
      </c>
      <c r="K246" s="6" t="n"/>
      <c r="L246" s="6" t="n"/>
      <c r="M246" s="6" t="n"/>
      <c r="N246" s="6" t="n"/>
      <c r="O246" s="6" t="n"/>
      <c r="P246" s="7" t="n">
        <v>0</v>
      </c>
      <c r="Q246" s="7"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row>
    <row r="247">
      <c r="A247" s="6" t="n"/>
      <c r="B247" s="6" t="n"/>
      <c r="C247" s="6" t="n"/>
      <c r="D247" s="6" t="n"/>
      <c r="E247" s="6" t="n"/>
      <c r="F247" s="6" t="n"/>
      <c r="G247" s="6" t="n"/>
      <c r="H247" s="6" t="n"/>
      <c r="I247" s="6" t="n"/>
      <c r="J247" s="6" t="inlineStr">
        <is>
          <t>TOTAL INSURANCE</t>
        </is>
      </c>
      <c r="K247" s="6" t="n"/>
      <c r="L247" s="6" t="n"/>
      <c r="M247" s="6" t="n"/>
      <c r="N247" s="6" t="n"/>
      <c r="O247" s="6" t="n"/>
      <c r="P247" s="7" t="n">
        <v>0</v>
      </c>
      <c r="Q247" s="7"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row>
    <row r="248">
      <c r="A248" s="6" t="n"/>
      <c r="B248" s="6" t="n"/>
      <c r="C248" s="6" t="n"/>
      <c r="D248" s="6" t="n"/>
      <c r="E248" s="6" t="n"/>
      <c r="F248" s="6" t="n"/>
      <c r="G248" s="6" t="n"/>
      <c r="H248" s="6" t="n"/>
      <c r="I248" s="6" t="n"/>
      <c r="J248" s="6" t="inlineStr">
        <is>
          <t>TOTAL OTHER COST</t>
        </is>
      </c>
      <c r="K248" s="6" t="n"/>
      <c r="L248" s="6" t="n"/>
      <c r="M248" s="6" t="n"/>
      <c r="N248" s="6" t="n"/>
      <c r="O248" s="6" t="n"/>
      <c r="P248" s="7" t="n">
        <v>0.07000000000000001</v>
      </c>
      <c r="Q248" s="7"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row>
    <row r="249">
      <c r="A249" s="6" t="n"/>
      <c r="B249" s="6" t="n"/>
      <c r="C249" s="6" t="n"/>
      <c r="D249" s="6" t="n"/>
      <c r="E249" s="6" t="n"/>
      <c r="F249" s="6" t="n"/>
      <c r="G249" s="6" t="n"/>
      <c r="H249" s="6" t="n"/>
      <c r="I249" s="6" t="n"/>
      <c r="J249" s="6" t="inlineStr">
        <is>
          <t>TOTAL DEDUCTION</t>
        </is>
      </c>
      <c r="K249" s="6" t="n"/>
      <c r="L249" s="6" t="n"/>
      <c r="M249" s="6" t="n"/>
      <c r="N249" s="6" t="n"/>
      <c r="O249" s="6" t="n"/>
      <c r="P249" s="7" t="n">
        <v>0</v>
      </c>
      <c r="Q249" s="7"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row>
    <row r="250">
      <c r="A250" s="6" t="n"/>
      <c r="B250" s="6" t="n"/>
      <c r="C250" s="6" t="n"/>
      <c r="D250" s="6" t="n"/>
      <c r="E250" s="6" t="n"/>
      <c r="F250" s="6" t="n"/>
      <c r="G250" s="6" t="n"/>
      <c r="H250" s="6" t="n"/>
      <c r="I250" s="6" t="n"/>
      <c r="J250" s="6" t="inlineStr">
        <is>
          <t>ADJUSTMENTS</t>
        </is>
      </c>
      <c r="K250" s="6" t="n"/>
      <c r="L250" s="6" t="n"/>
      <c r="M250" s="6" t="n"/>
      <c r="N250" s="6" t="n"/>
      <c r="O250" s="6" t="n"/>
      <c r="P250" s="7">
        <f>(T240+U240+V240-W240)</f>
        <v/>
      </c>
      <c r="Q250" s="7">
        <f>(T240+U240+V240-W240)</f>
        <v/>
      </c>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row>
    <row r="251"/>
    <row r="252">
      <c r="A252" s="6" t="n"/>
      <c r="B252" s="6" t="n"/>
      <c r="C252" s="6" t="n"/>
      <c r="D252" s="6" t="n"/>
      <c r="E252" s="6" t="n"/>
      <c r="F252" s="6" t="n"/>
      <c r="G252" s="6" t="n"/>
      <c r="H252" s="6" t="n"/>
      <c r="I252" s="6" t="n"/>
      <c r="J252" s="6" t="inlineStr">
        <is>
          <t>NET TOTAL</t>
        </is>
      </c>
      <c r="K252" s="6" t="n"/>
      <c r="L252" s="6" t="n"/>
      <c r="M252" s="6" t="n"/>
      <c r="N252" s="6" t="n"/>
      <c r="O252" s="6" t="n"/>
      <c r="P252" s="7">
        <f>P242+P250</f>
        <v/>
      </c>
      <c r="Q252" s="7">
        <f>Q242+Q250</f>
        <v/>
      </c>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row>
    <row r="253">
      <c r="A253" s="6" t="n"/>
      <c r="B253" s="6" t="n"/>
      <c r="C253" s="6" t="n"/>
      <c r="D253" s="6" t="n"/>
      <c r="E253" s="6" t="n"/>
      <c r="F253" s="6" t="n"/>
      <c r="G253" s="6" t="n"/>
      <c r="H253" s="6" t="n"/>
      <c r="I253" s="6" t="n"/>
      <c r="J253" s="6" t="inlineStr">
        <is>
          <t>INVOICE TOTAL</t>
        </is>
      </c>
      <c r="K253" s="6" t="n"/>
      <c r="L253" s="6" t="n"/>
      <c r="M253" s="6" t="n"/>
      <c r="N253" s="6" t="n"/>
      <c r="O253" s="6" t="n"/>
      <c r="P253" s="7">
        <f>S240</f>
        <v/>
      </c>
      <c r="Q253" s="7"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row>
    <row r="254"/>
    <row r="255">
      <c r="A255" s="10" t="n"/>
      <c r="B255" s="10" t="n"/>
      <c r="C255" s="10" t="n"/>
      <c r="D255" s="10" t="n"/>
      <c r="E255" s="10" t="n"/>
      <c r="F255" s="10" t="n"/>
      <c r="G255" s="10" t="n"/>
      <c r="H255" s="10" t="n"/>
      <c r="I255" s="10" t="n"/>
      <c r="J255" s="10" t="inlineStr">
        <is>
          <t>VARIANCE CHECK</t>
        </is>
      </c>
      <c r="K255" s="10" t="n"/>
      <c r="L255" s="10" t="n"/>
      <c r="M255" s="10" t="n"/>
      <c r="N255" s="10" t="n"/>
      <c r="O255" s="10" t="n"/>
      <c r="P255" s="11">
        <f>S240-P252</f>
        <v/>
      </c>
      <c r="Q255" s="11">
        <f>S240-Q252</f>
        <v/>
      </c>
      <c r="R255" s="10" t="n"/>
      <c r="S255" s="10" t="n"/>
      <c r="T255" s="10" t="n"/>
      <c r="U255" s="10" t="n"/>
      <c r="V255" s="10" t="n"/>
      <c r="W255" s="10" t="n"/>
      <c r="X255" s="10" t="n"/>
      <c r="Y255" s="10" t="n"/>
      <c r="Z255" s="10" t="n"/>
      <c r="AA255" s="10" t="n"/>
      <c r="AB255" s="10" t="n"/>
      <c r="AC255" s="10" t="n"/>
      <c r="AD255" s="10" t="n"/>
      <c r="AE255" s="10" t="n"/>
      <c r="AF255" s="10" t="n"/>
      <c r="AG255" s="10" t="n"/>
      <c r="AH255" s="10" t="n"/>
      <c r="AI255" s="10" t="n"/>
      <c r="AJ255" s="10" t="n"/>
      <c r="AK255" s="10" t="n"/>
    </row>
    <row r="256"/>
    <row r="257">
      <c r="A257" s="14" t="n"/>
      <c r="B257" s="14" t="n"/>
      <c r="C257" s="14" t="n"/>
      <c r="D257" s="14" t="n"/>
      <c r="E257" s="14" t="n"/>
      <c r="F257" s="14" t="n"/>
      <c r="G257" s="14" t="n"/>
      <c r="H257" s="14" t="n"/>
      <c r="I257" s="14" t="n"/>
      <c r="J257" s="14" t="inlineStr">
        <is>
          <t>DUTY ESTIMATION (Classification Cross-Check)</t>
        </is>
      </c>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c r="AH257" s="14" t="n"/>
      <c r="AI257" s="14" t="n"/>
      <c r="AJ257" s="14" t="n"/>
      <c r="AK257" s="14" t="n"/>
    </row>
    <row r="258">
      <c r="A258" s="15" t="n"/>
      <c r="B258" s="15" t="n"/>
      <c r="C258" s="15" t="n"/>
      <c r="D258" s="15" t="n"/>
      <c r="E258" s="15" t="n"/>
      <c r="F258" s="15" t="n"/>
      <c r="G258" s="15" t="n"/>
      <c r="H258" s="15" t="n"/>
      <c r="I258" s="15" t="n"/>
      <c r="J258" s="16" t="inlineStr">
        <is>
          <t>CIF (USD) = InvTotal + Freight + Insurance</t>
        </is>
      </c>
      <c r="K258" s="15" t="n"/>
      <c r="L258" s="15" t="n"/>
      <c r="M258" s="15" t="n"/>
      <c r="N258" s="15" t="n"/>
      <c r="O258" s="15" t="n"/>
      <c r="P258" s="17" t="n">
        <v>0.98</v>
      </c>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row>
    <row r="259">
      <c r="A259" s="15" t="n"/>
      <c r="B259" s="15" t="n"/>
      <c r="C259" s="15" t="n"/>
      <c r="D259" s="15" t="n"/>
      <c r="E259" s="15" t="n"/>
      <c r="F259" s="15" t="n"/>
      <c r="G259" s="15" t="n"/>
      <c r="H259" s="15" t="n"/>
      <c r="I259" s="15" t="n"/>
      <c r="J259" s="16" t="inlineStr">
        <is>
          <t>CIF (XCD) = CIF × 2.7169</t>
        </is>
      </c>
      <c r="K259" s="15" t="n"/>
      <c r="L259" s="15" t="n"/>
      <c r="M259" s="15" t="n"/>
      <c r="N259" s="15" t="n"/>
      <c r="O259" s="15" t="n"/>
      <c r="P259" s="17" t="n">
        <v>2.66</v>
      </c>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row>
    <row r="260">
      <c r="A260" s="15" t="n"/>
      <c r="B260" s="15" t="n"/>
      <c r="C260" s="15" t="n"/>
      <c r="D260" s="15" t="n"/>
      <c r="E260" s="15" t="n"/>
      <c r="F260" s="15" t="n"/>
      <c r="G260" s="15" t="n"/>
      <c r="H260" s="15" t="n"/>
      <c r="I260" s="15" t="n"/>
      <c r="J260" s="16" t="inlineStr">
        <is>
          <t>CET (20%) — Tariff 61161000</t>
        </is>
      </c>
      <c r="K260" s="15" t="n"/>
      <c r="L260" s="15" t="n"/>
      <c r="M260" s="15" t="n"/>
      <c r="N260" s="15" t="n"/>
      <c r="O260" s="15" t="n"/>
      <c r="P260" s="17" t="n">
        <v>0.53</v>
      </c>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row>
    <row r="261">
      <c r="A261" s="15" t="n"/>
      <c r="B261" s="15" t="n"/>
      <c r="C261" s="15" t="n"/>
      <c r="D261" s="15" t="n"/>
      <c r="E261" s="15" t="n"/>
      <c r="F261" s="15" t="n"/>
      <c r="G261" s="15" t="n"/>
      <c r="H261" s="15" t="n"/>
      <c r="I261" s="15" t="n"/>
      <c r="J261" s="16" t="inlineStr">
        <is>
          <t>CSC (6%)</t>
        </is>
      </c>
      <c r="K261" s="15" t="n"/>
      <c r="L261" s="15" t="n"/>
      <c r="M261" s="15" t="n"/>
      <c r="N261" s="15" t="n"/>
      <c r="O261" s="15" t="n"/>
      <c r="P261" s="17" t="n">
        <v>0.16</v>
      </c>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row>
    <row r="262">
      <c r="A262" s="15" t="n"/>
      <c r="B262" s="15" t="n"/>
      <c r="C262" s="15" t="n"/>
      <c r="D262" s="15" t="n"/>
      <c r="E262" s="15" t="n"/>
      <c r="F262" s="15" t="n"/>
      <c r="G262" s="15" t="n"/>
      <c r="H262" s="15" t="n"/>
      <c r="I262" s="15" t="n"/>
      <c r="J262" s="16" t="inlineStr">
        <is>
          <t>VAT (15%) on CIF+CET+CSC</t>
        </is>
      </c>
      <c r="K262" s="15" t="n"/>
      <c r="L262" s="15" t="n"/>
      <c r="M262" s="15" t="n"/>
      <c r="N262" s="15" t="n"/>
      <c r="O262" s="15" t="n"/>
      <c r="P262" s="17" t="n">
        <v>0.5</v>
      </c>
      <c r="Q262" s="15" t="n"/>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row>
    <row r="263">
      <c r="A263" s="18" t="n"/>
      <c r="B263" s="18" t="n"/>
      <c r="C263" s="18" t="n"/>
      <c r="D263" s="18" t="n"/>
      <c r="E263" s="18" t="n"/>
      <c r="F263" s="18" t="n"/>
      <c r="G263" s="18" t="n"/>
      <c r="H263" s="18" t="n"/>
      <c r="I263" s="18" t="n"/>
      <c r="J263" s="14" t="inlineStr">
        <is>
          <t>ESTIMATED TOTAL DUTIES</t>
        </is>
      </c>
      <c r="K263" s="18" t="n"/>
      <c r="L263" s="18" t="n"/>
      <c r="M263" s="18" t="n"/>
      <c r="N263" s="18" t="n"/>
      <c r="O263" s="18" t="n"/>
      <c r="P263" s="19" t="n">
        <v>1.19</v>
      </c>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c r="AJ263" s="18" t="n"/>
      <c r="AK263" s="18" t="n"/>
    </row>
    <row r="264">
      <c r="A264" s="15" t="n"/>
      <c r="B264" s="15" t="n"/>
      <c r="C264" s="15" t="n"/>
      <c r="D264" s="15" t="n"/>
      <c r="E264" s="15" t="n"/>
      <c r="F264" s="15" t="n"/>
      <c r="G264" s="15" t="n"/>
      <c r="H264" s="15" t="n"/>
      <c r="I264" s="15" t="n"/>
      <c r="J264" s="16" t="inlineStr">
        <is>
          <t>Effective Duty Rate</t>
        </is>
      </c>
      <c r="K264" s="15" t="n"/>
      <c r="L264" s="15" t="n"/>
      <c r="M264" s="15" t="n"/>
      <c r="N264" s="15" t="n"/>
      <c r="O264" s="15" t="n"/>
      <c r="P264" s="20" t="n">
        <v>0.4473684210526315</v>
      </c>
      <c r="Q264" s="15" t="n"/>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c r="AJ264" s="15" t="n"/>
      <c r="AK264" s="15"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c r="AA265" s="21" t="n"/>
      <c r="AB265" s="21" t="n"/>
      <c r="AC265" s="21" t="n"/>
      <c r="AD265" s="21" t="n"/>
      <c r="AE265" s="21" t="n"/>
      <c r="AF265" s="21" t="n"/>
      <c r="AG265" s="21" t="n"/>
      <c r="AH265" s="21" t="n"/>
      <c r="AI265" s="21" t="n"/>
      <c r="AJ265" s="21" t="n"/>
      <c r="AK265" s="21" t="n"/>
    </row>
    <row r="266">
      <c r="A266" s="2" t="inlineStr">
        <is>
          <t>4000-000</t>
        </is>
      </c>
      <c r="B266" s="2" t="n"/>
      <c r="C266" s="2" t="inlineStr">
        <is>
          <t>INVUS20240717002005487</t>
        </is>
      </c>
      <c r="D266" s="2" t="inlineStr">
        <is>
          <t>2024-07-17</t>
        </is>
      </c>
      <c r="E266" s="2" t="inlineStr">
        <is>
          <t>FOOTWEAR</t>
        </is>
      </c>
      <c r="F266" s="2" t="inlineStr">
        <is>
          <t>64029910</t>
        </is>
      </c>
      <c r="G266" s="2" t="n"/>
      <c r="H266" s="2" t="n"/>
      <c r="I266" s="2" t="inlineStr">
        <is>
          <t>64029910</t>
        </is>
      </c>
      <c r="J266" s="2" t="inlineStr">
        <is>
          <t>Women' Thick-Soled Slippers, Summer Anti-Skid Waterproof Beach Sandals, Suita... (1 items)</t>
        </is>
      </c>
      <c r="K266" s="2" t="n">
        <v>1</v>
      </c>
      <c r="L266" s="2" t="n"/>
      <c r="M266" s="2" t="n"/>
      <c r="N266" s="2" t="inlineStr">
        <is>
          <t>USD</t>
        </is>
      </c>
      <c r="O266" s="3" t="n">
        <v>2.86</v>
      </c>
      <c r="P266" s="3" t="n">
        <v>2.86</v>
      </c>
      <c r="Q266" s="3">
        <f>O266*K266</f>
        <v/>
      </c>
      <c r="R266" s="3">
        <f>P266-Q266</f>
        <v/>
      </c>
      <c r="S266" s="3" t="n">
        <v>3.07</v>
      </c>
      <c r="T266" s="3" t="n">
        <v>0</v>
      </c>
      <c r="U266" s="3" t="n">
        <v>0</v>
      </c>
      <c r="V266" s="3" t="n">
        <v>0.21</v>
      </c>
      <c r="W266" s="3" t="n">
        <v>0</v>
      </c>
      <c r="X266" s="2" t="n">
        <v>1</v>
      </c>
      <c r="Y266" s="2" t="n"/>
      <c r="Z266" s="2" t="inlineStr">
        <is>
          <t>SHEIN</t>
        </is>
      </c>
      <c r="AA266" s="2" t="inlineStr">
        <is>
          <t>SHEIN US Services, LLC</t>
        </is>
      </c>
      <c r="AB266" s="2" t="inlineStr">
        <is>
          <t>777 S. Alameda St., Second Floor, Los Angeles, CA 90021</t>
        </is>
      </c>
      <c r="AC266" s="2" t="inlineStr">
        <is>
          <t>US</t>
        </is>
      </c>
      <c r="AD266" s="2" t="n"/>
      <c r="AE266" s="2" t="n"/>
      <c r="AF266" s="2" t="n"/>
      <c r="AG266" s="2" t="n"/>
      <c r="AH266" s="2" t="n"/>
      <c r="AI266" s="2" t="n"/>
      <c r="AJ266" s="2" t="n"/>
      <c r="AK266" s="2" t="inlineStr">
        <is>
          <t>64029910</t>
        </is>
      </c>
    </row>
    <row r="267">
      <c r="A267" s="4" t="n"/>
      <c r="B267" s="4" t="n"/>
      <c r="C267" s="4" t="n"/>
      <c r="D267" s="4" t="n"/>
      <c r="E267" s="4" t="n"/>
      <c r="F267" s="4" t="inlineStr">
        <is>
          <t>64029910</t>
        </is>
      </c>
      <c r="G267" s="4" t="n"/>
      <c r="H267" s="4" t="n"/>
      <c r="I267" s="4" t="inlineStr">
        <is>
          <t>SHEIN-1</t>
        </is>
      </c>
      <c r="J267" s="4" t="inlineStr">
        <is>
          <t>Women' Thick-Soled Slippers, Summer Anti-Skid Waterproof Beach Sandals, Suita...</t>
        </is>
      </c>
      <c r="K267" s="4" t="n">
        <v>1</v>
      </c>
      <c r="L267" s="4" t="n"/>
      <c r="M267" s="4" t="n"/>
      <c r="N267" s="4" t="inlineStr">
        <is>
          <t>USD</t>
        </is>
      </c>
      <c r="O267" s="5" t="n">
        <v>2.86</v>
      </c>
      <c r="P267" s="5" t="n">
        <v>2.86</v>
      </c>
      <c r="Q267" s="5">
        <f>O267*K267</f>
        <v/>
      </c>
      <c r="R267" s="5">
        <f>P267-Q267</f>
        <v/>
      </c>
      <c r="S267" s="4" t="n"/>
      <c r="T267" s="4" t="n"/>
      <c r="U267" s="4" t="n"/>
      <c r="V267" s="4" t="n"/>
      <c r="W267" s="4" t="n"/>
      <c r="X267" s="4" t="n"/>
      <c r="Y267" s="4" t="n"/>
      <c r="Z267" s="4" t="n"/>
      <c r="AA267" s="4" t="n"/>
      <c r="AB267" s="4" t="n"/>
      <c r="AC267" s="4" t="n"/>
      <c r="AD267" s="4" t="n"/>
      <c r="AE267" s="4" t="n"/>
      <c r="AF267" s="4" t="n"/>
      <c r="AG267" s="4" t="n"/>
      <c r="AH267" s="4" t="n"/>
      <c r="AI267" s="4" t="n"/>
      <c r="AJ267" s="4" t="n"/>
      <c r="AK267" s="4" t="n"/>
    </row>
    <row r="268">
      <c r="A268" s="6" t="n"/>
      <c r="B268" s="6" t="n"/>
      <c r="C268" s="6" t="n"/>
      <c r="D268" s="6" t="n"/>
      <c r="E268" s="6" t="n"/>
      <c r="F268" s="6" t="n"/>
      <c r="G268" s="6" t="n"/>
      <c r="H268" s="6" t="n"/>
      <c r="I268" s="6" t="n"/>
      <c r="J268" s="6" t="inlineStr">
        <is>
          <t>SUBTOTAL (GROUPED)</t>
        </is>
      </c>
      <c r="K268" s="6" t="n"/>
      <c r="L268" s="6" t="n"/>
      <c r="M268" s="6" t="n"/>
      <c r="N268" s="6" t="n"/>
      <c r="O268" s="6" t="n"/>
      <c r="P268" s="7">
        <f>P266</f>
        <v/>
      </c>
      <c r="Q268" s="7">
        <f>Q266</f>
        <v/>
      </c>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row>
    <row r="269">
      <c r="A269" s="6" t="n"/>
      <c r="B269" s="6" t="n"/>
      <c r="C269" s="6" t="n"/>
      <c r="D269" s="6" t="n"/>
      <c r="E269" s="6" t="n"/>
      <c r="F269" s="6" t="n"/>
      <c r="G269" s="6" t="n"/>
      <c r="H269" s="6" t="n"/>
      <c r="I269" s="6" t="n"/>
      <c r="J269" s="6" t="inlineStr">
        <is>
          <t>SUBTOTAL (DETAILS)</t>
        </is>
      </c>
      <c r="K269" s="6" t="n"/>
      <c r="L269" s="6" t="n"/>
      <c r="M269" s="6" t="n"/>
      <c r="N269" s="6" t="n"/>
      <c r="O269" s="6" t="n"/>
      <c r="P269" s="7">
        <f>SUM(P266:P267)-P268</f>
        <v/>
      </c>
      <c r="Q269" s="7">
        <f>SUM(Q266:Q267)-Q268</f>
        <v/>
      </c>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row>
    <row r="270">
      <c r="A270" s="8" t="n"/>
      <c r="B270" s="8" t="n"/>
      <c r="C270" s="8" t="n"/>
      <c r="D270" s="8" t="n"/>
      <c r="E270" s="8" t="n"/>
      <c r="F270" s="8" t="n"/>
      <c r="G270" s="8" t="n"/>
      <c r="H270" s="8" t="n"/>
      <c r="I270" s="8" t="n"/>
      <c r="J270" s="8" t="inlineStr">
        <is>
          <t>GROUP VERIFICATION</t>
        </is>
      </c>
      <c r="K270" s="8" t="n"/>
      <c r="L270" s="8" t="n"/>
      <c r="M270" s="8" t="n"/>
      <c r="N270" s="8" t="n"/>
      <c r="O270" s="8" t="n"/>
      <c r="P270" s="9">
        <f>P268-P269</f>
        <v/>
      </c>
      <c r="Q270" s="9">
        <f>Q268-Q269</f>
        <v/>
      </c>
      <c r="R270" s="8" t="n"/>
      <c r="S270" s="8" t="n"/>
      <c r="T270" s="8" t="n"/>
      <c r="U270" s="8" t="n"/>
      <c r="V270" s="8" t="n"/>
      <c r="W270" s="8" t="n"/>
      <c r="X270" s="8" t="n"/>
      <c r="Y270" s="8" t="n"/>
      <c r="Z270" s="8" t="n"/>
      <c r="AA270" s="8" t="n"/>
      <c r="AB270" s="8" t="n"/>
      <c r="AC270" s="8" t="n"/>
      <c r="AD270" s="8" t="n"/>
      <c r="AE270" s="8" t="n"/>
      <c r="AF270" s="8" t="n"/>
      <c r="AG270" s="8" t="n"/>
      <c r="AH270" s="8" t="n"/>
      <c r="AI270" s="8" t="n"/>
      <c r="AJ270" s="8" t="n"/>
      <c r="AK270" s="8" t="n"/>
    </row>
    <row r="271"/>
    <row r="272">
      <c r="A272" s="6" t="n"/>
      <c r="B272" s="6" t="n"/>
      <c r="C272" s="6" t="n"/>
      <c r="D272" s="6" t="n"/>
      <c r="E272" s="6" t="n"/>
      <c r="F272" s="6" t="n"/>
      <c r="G272" s="6" t="n"/>
      <c r="H272" s="6" t="n"/>
      <c r="I272" s="6" t="n"/>
      <c r="J272" s="6" t="inlineStr">
        <is>
          <t>TOTAL INTERNAL FREIGHT</t>
        </is>
      </c>
      <c r="K272" s="6" t="n"/>
      <c r="L272" s="6" t="n"/>
      <c r="M272" s="6" t="n"/>
      <c r="N272" s="6" t="n"/>
      <c r="O272" s="6" t="n"/>
      <c r="P272" s="7" t="n">
        <v>0</v>
      </c>
      <c r="Q272" s="7"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row>
    <row r="273">
      <c r="A273" s="6" t="n"/>
      <c r="B273" s="6" t="n"/>
      <c r="C273" s="6" t="n"/>
      <c r="D273" s="6" t="n"/>
      <c r="E273" s="6" t="n"/>
      <c r="F273" s="6" t="n"/>
      <c r="G273" s="6" t="n"/>
      <c r="H273" s="6" t="n"/>
      <c r="I273" s="6" t="n"/>
      <c r="J273" s="6" t="inlineStr">
        <is>
          <t>TOTAL INSURANCE</t>
        </is>
      </c>
      <c r="K273" s="6" t="n"/>
      <c r="L273" s="6" t="n"/>
      <c r="M273" s="6" t="n"/>
      <c r="N273" s="6" t="n"/>
      <c r="O273" s="6" t="n"/>
      <c r="P273" s="7" t="n">
        <v>0</v>
      </c>
      <c r="Q273" s="7"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row>
    <row r="274">
      <c r="A274" s="6" t="n"/>
      <c r="B274" s="6" t="n"/>
      <c r="C274" s="6" t="n"/>
      <c r="D274" s="6" t="n"/>
      <c r="E274" s="6" t="n"/>
      <c r="F274" s="6" t="n"/>
      <c r="G274" s="6" t="n"/>
      <c r="H274" s="6" t="n"/>
      <c r="I274" s="6" t="n"/>
      <c r="J274" s="6" t="inlineStr">
        <is>
          <t>TOTAL OTHER COST</t>
        </is>
      </c>
      <c r="K274" s="6" t="n"/>
      <c r="L274" s="6" t="n"/>
      <c r="M274" s="6" t="n"/>
      <c r="N274" s="6" t="n"/>
      <c r="O274" s="6" t="n"/>
      <c r="P274" s="7" t="n">
        <v>0.21</v>
      </c>
      <c r="Q274" s="7"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row>
    <row r="275">
      <c r="A275" s="6" t="n"/>
      <c r="B275" s="6" t="n"/>
      <c r="C275" s="6" t="n"/>
      <c r="D275" s="6" t="n"/>
      <c r="E275" s="6" t="n"/>
      <c r="F275" s="6" t="n"/>
      <c r="G275" s="6" t="n"/>
      <c r="H275" s="6" t="n"/>
      <c r="I275" s="6" t="n"/>
      <c r="J275" s="6" t="inlineStr">
        <is>
          <t>TOTAL DEDUCTION</t>
        </is>
      </c>
      <c r="K275" s="6" t="n"/>
      <c r="L275" s="6" t="n"/>
      <c r="M275" s="6" t="n"/>
      <c r="N275" s="6" t="n"/>
      <c r="O275" s="6" t="n"/>
      <c r="P275" s="7" t="n">
        <v>0</v>
      </c>
      <c r="Q275" s="7"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row>
    <row r="276">
      <c r="A276" s="6" t="n"/>
      <c r="B276" s="6" t="n"/>
      <c r="C276" s="6" t="n"/>
      <c r="D276" s="6" t="n"/>
      <c r="E276" s="6" t="n"/>
      <c r="F276" s="6" t="n"/>
      <c r="G276" s="6" t="n"/>
      <c r="H276" s="6" t="n"/>
      <c r="I276" s="6" t="n"/>
      <c r="J276" s="6" t="inlineStr">
        <is>
          <t>ADJUSTMENTS</t>
        </is>
      </c>
      <c r="K276" s="6" t="n"/>
      <c r="L276" s="6" t="n"/>
      <c r="M276" s="6" t="n"/>
      <c r="N276" s="6" t="n"/>
      <c r="O276" s="6" t="n"/>
      <c r="P276" s="7">
        <f>(T266+U266+V266-W266)</f>
        <v/>
      </c>
      <c r="Q276" s="7">
        <f>(T266+U266+V266-W266)</f>
        <v/>
      </c>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row>
    <row r="277"/>
    <row r="278">
      <c r="A278" s="6" t="n"/>
      <c r="B278" s="6" t="n"/>
      <c r="C278" s="6" t="n"/>
      <c r="D278" s="6" t="n"/>
      <c r="E278" s="6" t="n"/>
      <c r="F278" s="6" t="n"/>
      <c r="G278" s="6" t="n"/>
      <c r="H278" s="6" t="n"/>
      <c r="I278" s="6" t="n"/>
      <c r="J278" s="6" t="inlineStr">
        <is>
          <t>NET TOTAL</t>
        </is>
      </c>
      <c r="K278" s="6" t="n"/>
      <c r="L278" s="6" t="n"/>
      <c r="M278" s="6" t="n"/>
      <c r="N278" s="6" t="n"/>
      <c r="O278" s="6" t="n"/>
      <c r="P278" s="7">
        <f>P268+P276</f>
        <v/>
      </c>
      <c r="Q278" s="7">
        <f>Q268+Q276</f>
        <v/>
      </c>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row>
    <row r="279">
      <c r="A279" s="6" t="n"/>
      <c r="B279" s="6" t="n"/>
      <c r="C279" s="6" t="n"/>
      <c r="D279" s="6" t="n"/>
      <c r="E279" s="6" t="n"/>
      <c r="F279" s="6" t="n"/>
      <c r="G279" s="6" t="n"/>
      <c r="H279" s="6" t="n"/>
      <c r="I279" s="6" t="n"/>
      <c r="J279" s="6" t="inlineStr">
        <is>
          <t>INVOICE TOTAL</t>
        </is>
      </c>
      <c r="K279" s="6" t="n"/>
      <c r="L279" s="6" t="n"/>
      <c r="M279" s="6" t="n"/>
      <c r="N279" s="6" t="n"/>
      <c r="O279" s="6" t="n"/>
      <c r="P279" s="7">
        <f>S266</f>
        <v/>
      </c>
      <c r="Q279" s="7"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row>
    <row r="280"/>
    <row r="281">
      <c r="A281" s="10" t="n"/>
      <c r="B281" s="10" t="n"/>
      <c r="C281" s="10" t="n"/>
      <c r="D281" s="10" t="n"/>
      <c r="E281" s="10" t="n"/>
      <c r="F281" s="10" t="n"/>
      <c r="G281" s="10" t="n"/>
      <c r="H281" s="10" t="n"/>
      <c r="I281" s="10" t="n"/>
      <c r="J281" s="10" t="inlineStr">
        <is>
          <t>VARIANCE CHECK</t>
        </is>
      </c>
      <c r="K281" s="10" t="n"/>
      <c r="L281" s="10" t="n"/>
      <c r="M281" s="10" t="n"/>
      <c r="N281" s="10" t="n"/>
      <c r="O281" s="10" t="n"/>
      <c r="P281" s="11">
        <f>S266-P278</f>
        <v/>
      </c>
      <c r="Q281" s="11">
        <f>S266-Q278</f>
        <v/>
      </c>
      <c r="R281" s="10" t="n"/>
      <c r="S281" s="10" t="n"/>
      <c r="T281" s="10" t="n"/>
      <c r="U281" s="10" t="n"/>
      <c r="V281" s="10" t="n"/>
      <c r="W281" s="10" t="n"/>
      <c r="X281" s="10" t="n"/>
      <c r="Y281" s="10" t="n"/>
      <c r="Z281" s="10" t="n"/>
      <c r="AA281" s="10" t="n"/>
      <c r="AB281" s="10" t="n"/>
      <c r="AC281" s="10" t="n"/>
      <c r="AD281" s="10" t="n"/>
      <c r="AE281" s="10" t="n"/>
      <c r="AF281" s="10" t="n"/>
      <c r="AG281" s="10" t="n"/>
      <c r="AH281" s="10" t="n"/>
      <c r="AI281" s="10" t="n"/>
      <c r="AJ281" s="10" t="n"/>
      <c r="AK281" s="10" t="n"/>
    </row>
    <row r="282"/>
    <row r="283">
      <c r="A283" s="14" t="n"/>
      <c r="B283" s="14" t="n"/>
      <c r="C283" s="14" t="n"/>
      <c r="D283" s="14" t="n"/>
      <c r="E283" s="14" t="n"/>
      <c r="F283" s="14" t="n"/>
      <c r="G283" s="14" t="n"/>
      <c r="H283" s="14" t="n"/>
      <c r="I283" s="14" t="n"/>
      <c r="J283" s="14" t="inlineStr">
        <is>
          <t>DUTY ESTIMATION (Classification Cross-Check)</t>
        </is>
      </c>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c r="AH283" s="14" t="n"/>
      <c r="AI283" s="14" t="n"/>
      <c r="AJ283" s="14" t="n"/>
      <c r="AK283" s="14" t="n"/>
    </row>
    <row r="284">
      <c r="A284" s="15" t="n"/>
      <c r="B284" s="15" t="n"/>
      <c r="C284" s="15" t="n"/>
      <c r="D284" s="15" t="n"/>
      <c r="E284" s="15" t="n"/>
      <c r="F284" s="15" t="n"/>
      <c r="G284" s="15" t="n"/>
      <c r="H284" s="15" t="n"/>
      <c r="I284" s="15" t="n"/>
      <c r="J284" s="16" t="inlineStr">
        <is>
          <t>CIF (USD) = InvTotal + Freight + Insurance</t>
        </is>
      </c>
      <c r="K284" s="15" t="n"/>
      <c r="L284" s="15" t="n"/>
      <c r="M284" s="15" t="n"/>
      <c r="N284" s="15" t="n"/>
      <c r="O284" s="15" t="n"/>
      <c r="P284" s="17" t="n">
        <v>3.07</v>
      </c>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row>
    <row r="285">
      <c r="A285" s="15" t="n"/>
      <c r="B285" s="15" t="n"/>
      <c r="C285" s="15" t="n"/>
      <c r="D285" s="15" t="n"/>
      <c r="E285" s="15" t="n"/>
      <c r="F285" s="15" t="n"/>
      <c r="G285" s="15" t="n"/>
      <c r="H285" s="15" t="n"/>
      <c r="I285" s="15" t="n"/>
      <c r="J285" s="16" t="inlineStr">
        <is>
          <t>CIF (XCD) = CIF × 2.7169</t>
        </is>
      </c>
      <c r="K285" s="15" t="n"/>
      <c r="L285" s="15" t="n"/>
      <c r="M285" s="15" t="n"/>
      <c r="N285" s="15" t="n"/>
      <c r="O285" s="15" t="n"/>
      <c r="P285" s="17" t="n">
        <v>8.34</v>
      </c>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row>
    <row r="286">
      <c r="A286" s="15" t="n"/>
      <c r="B286" s="15" t="n"/>
      <c r="C286" s="15" t="n"/>
      <c r="D286" s="15" t="n"/>
      <c r="E286" s="15" t="n"/>
      <c r="F286" s="15" t="n"/>
      <c r="G286" s="15" t="n"/>
      <c r="H286" s="15" t="n"/>
      <c r="I286" s="15" t="n"/>
      <c r="J286" s="16" t="inlineStr">
        <is>
          <t>CET (20%) — Tariff 64029910</t>
        </is>
      </c>
      <c r="K286" s="15" t="n"/>
      <c r="L286" s="15" t="n"/>
      <c r="M286" s="15" t="n"/>
      <c r="N286" s="15" t="n"/>
      <c r="O286" s="15" t="n"/>
      <c r="P286" s="17" t="n">
        <v>1.67</v>
      </c>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row>
    <row r="287">
      <c r="A287" s="15" t="n"/>
      <c r="B287" s="15" t="n"/>
      <c r="C287" s="15" t="n"/>
      <c r="D287" s="15" t="n"/>
      <c r="E287" s="15" t="n"/>
      <c r="F287" s="15" t="n"/>
      <c r="G287" s="15" t="n"/>
      <c r="H287" s="15" t="n"/>
      <c r="I287" s="15" t="n"/>
      <c r="J287" s="16" t="inlineStr">
        <is>
          <t>CSC (6%)</t>
        </is>
      </c>
      <c r="K287" s="15" t="n"/>
      <c r="L287" s="15" t="n"/>
      <c r="M287" s="15" t="n"/>
      <c r="N287" s="15" t="n"/>
      <c r="O287" s="15" t="n"/>
      <c r="P287" s="17" t="n">
        <v>0.5</v>
      </c>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row>
    <row r="288">
      <c r="A288" s="15" t="n"/>
      <c r="B288" s="15" t="n"/>
      <c r="C288" s="15" t="n"/>
      <c r="D288" s="15" t="n"/>
      <c r="E288" s="15" t="n"/>
      <c r="F288" s="15" t="n"/>
      <c r="G288" s="15" t="n"/>
      <c r="H288" s="15" t="n"/>
      <c r="I288" s="15" t="n"/>
      <c r="J288" s="16" t="inlineStr">
        <is>
          <t>VAT (15%) on CIF+CET+CSC</t>
        </is>
      </c>
      <c r="K288" s="15" t="n"/>
      <c r="L288" s="15" t="n"/>
      <c r="M288" s="15" t="n"/>
      <c r="N288" s="15" t="n"/>
      <c r="O288" s="15" t="n"/>
      <c r="P288" s="17" t="n">
        <v>1.58</v>
      </c>
      <c r="Q288" s="15" t="n"/>
      <c r="R288" s="15" t="n"/>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row>
    <row r="289">
      <c r="A289" s="18" t="n"/>
      <c r="B289" s="18" t="n"/>
      <c r="C289" s="18" t="n"/>
      <c r="D289" s="18" t="n"/>
      <c r="E289" s="18" t="n"/>
      <c r="F289" s="18" t="n"/>
      <c r="G289" s="18" t="n"/>
      <c r="H289" s="18" t="n"/>
      <c r="I289" s="18" t="n"/>
      <c r="J289" s="14" t="inlineStr">
        <is>
          <t>ESTIMATED TOTAL DUTIES</t>
        </is>
      </c>
      <c r="K289" s="18" t="n"/>
      <c r="L289" s="18" t="n"/>
      <c r="M289" s="18" t="n"/>
      <c r="N289" s="18" t="n"/>
      <c r="O289" s="18" t="n"/>
      <c r="P289" s="19" t="n">
        <v>3.75</v>
      </c>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row>
    <row r="290">
      <c r="A290" s="15" t="n"/>
      <c r="B290" s="15" t="n"/>
      <c r="C290" s="15" t="n"/>
      <c r="D290" s="15" t="n"/>
      <c r="E290" s="15" t="n"/>
      <c r="F290" s="15" t="n"/>
      <c r="G290" s="15" t="n"/>
      <c r="H290" s="15" t="n"/>
      <c r="I290" s="15" t="n"/>
      <c r="J290" s="16" t="inlineStr">
        <is>
          <t>Effective Duty Rate</t>
        </is>
      </c>
      <c r="K290" s="15" t="n"/>
      <c r="L290" s="15" t="n"/>
      <c r="M290" s="15" t="n"/>
      <c r="N290" s="15" t="n"/>
      <c r="O290" s="15" t="n"/>
      <c r="P290" s="20" t="n">
        <v>0.4496402877697842</v>
      </c>
      <c r="Q290" s="15" t="n"/>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c r="AA291" s="21" t="n"/>
      <c r="AB291" s="21" t="n"/>
      <c r="AC291" s="21" t="n"/>
      <c r="AD291" s="21" t="n"/>
      <c r="AE291" s="21" t="n"/>
      <c r="AF291" s="21" t="n"/>
      <c r="AG291" s="21" t="n"/>
      <c r="AH291" s="21" t="n"/>
      <c r="AI291" s="21" t="n"/>
      <c r="AJ291" s="21" t="n"/>
      <c r="AK291" s="21" t="n"/>
    </row>
    <row r="292">
      <c r="A292" s="2" t="inlineStr">
        <is>
          <t>4000-000</t>
        </is>
      </c>
      <c r="B292" s="2" t="n"/>
      <c r="C292" s="2" t="inlineStr">
        <is>
          <t>INVUS20240717002011537</t>
        </is>
      </c>
      <c r="D292" s="2" t="n"/>
      <c r="E292" s="2" t="inlineStr">
        <is>
          <t>SIGNALING INSTRUMENTS</t>
        </is>
      </c>
      <c r="F292" s="2" t="inlineStr">
        <is>
          <t>92089000</t>
        </is>
      </c>
      <c r="G292" s="2" t="n"/>
      <c r="H292" s="2" t="n"/>
      <c r="I292" s="2" t="inlineStr">
        <is>
          <t>92089000</t>
        </is>
      </c>
      <c r="J292" s="2" t="inlineStr">
        <is>
          <t>Ba Rane ee Re nena Se Se pare eater ar ties areal Brgy apaeeatn te pm SHEIN Baby Girl Letter Graphic Cami Top Mesh Overlay Skort (1 items)</t>
        </is>
      </c>
      <c r="K292" s="2" t="n">
        <v>1</v>
      </c>
      <c r="L292" s="2" t="n"/>
      <c r="M292" s="2" t="n"/>
      <c r="N292" s="2" t="inlineStr">
        <is>
          <t>USD</t>
        </is>
      </c>
      <c r="O292" s="3" t="n">
        <v>3.68</v>
      </c>
      <c r="P292" s="3" t="n">
        <v>3.68</v>
      </c>
      <c r="Q292" s="3">
        <f>O292*K292</f>
        <v/>
      </c>
      <c r="R292" s="3">
        <f>P292-Q292</f>
        <v/>
      </c>
      <c r="S292" s="3" t="n">
        <v>13.2</v>
      </c>
      <c r="T292" s="3" t="n">
        <v>0</v>
      </c>
      <c r="U292" s="3" t="n">
        <v>0</v>
      </c>
      <c r="V292" s="3" t="n">
        <v>0</v>
      </c>
      <c r="W292" s="3" t="n">
        <v>0</v>
      </c>
      <c r="X292" s="2" t="n">
        <v>1</v>
      </c>
      <c r="Y292" s="2" t="n"/>
      <c r="Z292" s="2" t="inlineStr">
        <is>
          <t>SHEIN</t>
        </is>
      </c>
      <c r="AA292" s="2" t="inlineStr">
        <is>
          <t>SHEIN US Services, LLC</t>
        </is>
      </c>
      <c r="AB292" s="2" t="inlineStr">
        <is>
          <t>777 S. Alameda St., Second Floor, Los Angeles, CA 90021</t>
        </is>
      </c>
      <c r="AC292" s="2" t="inlineStr">
        <is>
          <t>US</t>
        </is>
      </c>
      <c r="AD292" s="2" t="n"/>
      <c r="AE292" s="2" t="n"/>
      <c r="AF292" s="2" t="n"/>
      <c r="AG292" s="2" t="n"/>
      <c r="AH292" s="2" t="n"/>
      <c r="AI292" s="2" t="n"/>
      <c r="AJ292" s="2" t="n"/>
      <c r="AK292" s="2" t="inlineStr">
        <is>
          <t>92089000</t>
        </is>
      </c>
    </row>
    <row r="293">
      <c r="A293" s="4" t="n"/>
      <c r="B293" s="4" t="n"/>
      <c r="C293" s="4" t="n"/>
      <c r="D293" s="4" t="n"/>
      <c r="E293" s="4" t="n"/>
      <c r="F293" s="4" t="inlineStr">
        <is>
          <t>92089000</t>
        </is>
      </c>
      <c r="G293" s="4" t="n"/>
      <c r="H293" s="4" t="n"/>
      <c r="I293" s="4" t="inlineStr">
        <is>
          <t>SHEIN-1</t>
        </is>
      </c>
      <c r="J293" s="4" t="inlineStr">
        <is>
          <t>Ba Rane ee Re nena Se Se pare eater ar ties areal Brgy apaeeatn te pm SHEIN Baby Girl Letter Graphic Cami Top Mesh Overlay Skort</t>
        </is>
      </c>
      <c r="K293" s="4" t="n">
        <v>1</v>
      </c>
      <c r="L293" s="4" t="n"/>
      <c r="M293" s="4" t="n"/>
      <c r="N293" s="4" t="inlineStr">
        <is>
          <t>USD</t>
        </is>
      </c>
      <c r="O293" s="5" t="n">
        <v>3.68</v>
      </c>
      <c r="P293" s="5" t="n">
        <v>3.68</v>
      </c>
      <c r="Q293" s="5">
        <f>O293*K293</f>
        <v/>
      </c>
      <c r="R293" s="5">
        <f>P293-Q293</f>
        <v/>
      </c>
      <c r="S293" s="4" t="n"/>
      <c r="T293" s="4" t="n"/>
      <c r="U293" s="4" t="n"/>
      <c r="V293" s="4" t="n"/>
      <c r="W293" s="4" t="n"/>
      <c r="X293" s="4" t="n"/>
      <c r="Y293" s="4" t="n"/>
      <c r="Z293" s="4" t="n"/>
      <c r="AA293" s="4" t="n"/>
      <c r="AB293" s="4" t="n"/>
      <c r="AC293" s="4" t="n"/>
      <c r="AD293" s="4" t="n"/>
      <c r="AE293" s="4" t="n"/>
      <c r="AF293" s="4" t="n"/>
      <c r="AG293" s="4" t="n"/>
      <c r="AH293" s="4" t="n"/>
      <c r="AI293" s="4" t="n"/>
      <c r="AJ293" s="4" t="n"/>
      <c r="AK293" s="4" t="n"/>
    </row>
    <row r="294">
      <c r="A294" s="2" t="n"/>
      <c r="B294" s="2" t="n"/>
      <c r="C294" s="2" t="inlineStr">
        <is>
          <t>INVUS20240717002011537</t>
        </is>
      </c>
      <c r="D294" s="2" t="n"/>
      <c r="E294" s="2" t="inlineStr">
        <is>
          <t>Ski suits</t>
        </is>
      </c>
      <c r="F294" s="2" t="inlineStr">
        <is>
          <t>62112000</t>
        </is>
      </c>
      <c r="G294" s="2" t="n"/>
      <c r="H294" s="2" t="n"/>
      <c r="I294" s="2" t="inlineStr">
        <is>
          <t>62112000</t>
        </is>
      </c>
      <c r="J294" s="2" t="inlineStr">
        <is>
          <t>Baby Girl Holiday Casual Cute Raw Hem Ruffle Heart Shaped Strap Elastic Comfort Top Elastic Waist (1 items)</t>
        </is>
      </c>
      <c r="K294" s="2" t="n">
        <v>2</v>
      </c>
      <c r="L294" s="2" t="n"/>
      <c r="M294" s="2" t="n"/>
      <c r="N294" s="2" t="inlineStr">
        <is>
          <t>USD</t>
        </is>
      </c>
      <c r="O294" s="3" t="n">
        <v>4.76</v>
      </c>
      <c r="P294" s="3" t="n">
        <v>9.52</v>
      </c>
      <c r="Q294" s="3">
        <f>O294*K294</f>
        <v/>
      </c>
      <c r="R294" s="3">
        <f>P294-Q294</f>
        <v/>
      </c>
      <c r="S294" s="3" t="n"/>
      <c r="T294" s="3" t="n"/>
      <c r="U294" s="3" t="n"/>
      <c r="V294" s="3" t="n"/>
      <c r="W294" s="3" t="n"/>
      <c r="X294" s="2" t="n"/>
      <c r="Y294" s="2" t="n"/>
      <c r="Z294" s="2" t="n"/>
      <c r="AA294" s="2" t="n"/>
      <c r="AB294" s="2" t="n"/>
      <c r="AC294" s="2" t="n"/>
      <c r="AD294" s="2" t="n"/>
      <c r="AE294" s="2" t="n"/>
      <c r="AF294" s="2" t="n"/>
      <c r="AG294" s="2" t="n"/>
      <c r="AH294" s="2" t="n"/>
      <c r="AI294" s="2" t="n"/>
      <c r="AJ294" s="2" t="n"/>
      <c r="AK294" s="2" t="inlineStr">
        <is>
          <t>62112000</t>
        </is>
      </c>
    </row>
    <row r="295">
      <c r="A295" s="4" t="n"/>
      <c r="B295" s="4" t="n"/>
      <c r="C295" s="4" t="n"/>
      <c r="D295" s="4" t="n"/>
      <c r="E295" s="4" t="n"/>
      <c r="F295" s="4" t="inlineStr">
        <is>
          <t>62112000</t>
        </is>
      </c>
      <c r="G295" s="4" t="n"/>
      <c r="H295" s="4" t="n"/>
      <c r="I295" s="4" t="inlineStr">
        <is>
          <t>SHEIN-2</t>
        </is>
      </c>
      <c r="J295" s="4" t="inlineStr">
        <is>
          <t>Baby Girl Holiday Casual Cute Raw Hem Ruffle Heart Shaped Strap Elastic Comfort Top Elastic Waist</t>
        </is>
      </c>
      <c r="K295" s="4" t="n">
        <v>2</v>
      </c>
      <c r="L295" s="4" t="n"/>
      <c r="M295" s="4" t="n"/>
      <c r="N295" s="4" t="inlineStr">
        <is>
          <t>USD</t>
        </is>
      </c>
      <c r="O295" s="5" t="n">
        <v>4.76</v>
      </c>
      <c r="P295" s="5" t="n">
        <v>9.52</v>
      </c>
      <c r="Q295" s="5">
        <f>O295*K295</f>
        <v/>
      </c>
      <c r="R295" s="5">
        <f>P295-Q295</f>
        <v/>
      </c>
      <c r="S295" s="4" t="n"/>
      <c r="T295" s="4" t="n"/>
      <c r="U295" s="4" t="n"/>
      <c r="V295" s="4" t="n"/>
      <c r="W295" s="4" t="n"/>
      <c r="X295" s="4" t="n"/>
      <c r="Y295" s="4" t="n"/>
      <c r="Z295" s="4" t="n"/>
      <c r="AA295" s="4" t="n"/>
      <c r="AB295" s="4" t="n"/>
      <c r="AC295" s="4" t="n"/>
      <c r="AD295" s="4" t="n"/>
      <c r="AE295" s="4" t="n"/>
      <c r="AF295" s="4" t="n"/>
      <c r="AG295" s="4" t="n"/>
      <c r="AH295" s="4" t="n"/>
      <c r="AI295" s="4" t="n"/>
      <c r="AJ295" s="4" t="n"/>
      <c r="AK295" s="4" t="n"/>
    </row>
    <row r="296">
      <c r="A296" s="6" t="n"/>
      <c r="B296" s="6" t="n"/>
      <c r="C296" s="6" t="n"/>
      <c r="D296" s="6" t="n"/>
      <c r="E296" s="6" t="n"/>
      <c r="F296" s="6" t="n"/>
      <c r="G296" s="6" t="n"/>
      <c r="H296" s="6" t="n"/>
      <c r="I296" s="6" t="n"/>
      <c r="J296" s="6" t="inlineStr">
        <is>
          <t>SUBTOTAL (GROUPED)</t>
        </is>
      </c>
      <c r="K296" s="6" t="n"/>
      <c r="L296" s="6" t="n"/>
      <c r="M296" s="6" t="n"/>
      <c r="N296" s="6" t="n"/>
      <c r="O296" s="6" t="n"/>
      <c r="P296" s="7">
        <f>P292+P294</f>
        <v/>
      </c>
      <c r="Q296" s="7">
        <f>Q292+Q294</f>
        <v/>
      </c>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row>
    <row r="297">
      <c r="A297" s="6" t="n"/>
      <c r="B297" s="6" t="n"/>
      <c r="C297" s="6" t="n"/>
      <c r="D297" s="6" t="n"/>
      <c r="E297" s="6" t="n"/>
      <c r="F297" s="6" t="n"/>
      <c r="G297" s="6" t="n"/>
      <c r="H297" s="6" t="n"/>
      <c r="I297" s="6" t="n"/>
      <c r="J297" s="6" t="inlineStr">
        <is>
          <t>SUBTOTAL (DETAILS)</t>
        </is>
      </c>
      <c r="K297" s="6" t="n"/>
      <c r="L297" s="6" t="n"/>
      <c r="M297" s="6" t="n"/>
      <c r="N297" s="6" t="n"/>
      <c r="O297" s="6" t="n"/>
      <c r="P297" s="7">
        <f>SUM(P292:P295)-P296</f>
        <v/>
      </c>
      <c r="Q297" s="7">
        <f>SUM(Q292:Q295)-Q296</f>
        <v/>
      </c>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row>
    <row r="298">
      <c r="A298" s="8" t="n"/>
      <c r="B298" s="8" t="n"/>
      <c r="C298" s="8" t="n"/>
      <c r="D298" s="8" t="n"/>
      <c r="E298" s="8" t="n"/>
      <c r="F298" s="8" t="n"/>
      <c r="G298" s="8" t="n"/>
      <c r="H298" s="8" t="n"/>
      <c r="I298" s="8" t="n"/>
      <c r="J298" s="8" t="inlineStr">
        <is>
          <t>GROUP VERIFICATION</t>
        </is>
      </c>
      <c r="K298" s="8" t="n"/>
      <c r="L298" s="8" t="n"/>
      <c r="M298" s="8" t="n"/>
      <c r="N298" s="8" t="n"/>
      <c r="O298" s="8" t="n"/>
      <c r="P298" s="9">
        <f>P296-P297</f>
        <v/>
      </c>
      <c r="Q298" s="9">
        <f>Q296-Q297</f>
        <v/>
      </c>
      <c r="R298" s="8" t="n"/>
      <c r="S298" s="8" t="n"/>
      <c r="T298" s="8" t="n"/>
      <c r="U298" s="8" t="n"/>
      <c r="V298" s="8" t="n"/>
      <c r="W298" s="8" t="n"/>
      <c r="X298" s="8" t="n"/>
      <c r="Y298" s="8" t="n"/>
      <c r="Z298" s="8" t="n"/>
      <c r="AA298" s="8" t="n"/>
      <c r="AB298" s="8" t="n"/>
      <c r="AC298" s="8" t="n"/>
      <c r="AD298" s="8" t="n"/>
      <c r="AE298" s="8" t="n"/>
      <c r="AF298" s="8" t="n"/>
      <c r="AG298" s="8" t="n"/>
      <c r="AH298" s="8" t="n"/>
      <c r="AI298" s="8" t="n"/>
      <c r="AJ298" s="8" t="n"/>
      <c r="AK298" s="8" t="n"/>
    </row>
    <row r="299"/>
    <row r="300">
      <c r="A300" s="6" t="n"/>
      <c r="B300" s="6" t="n"/>
      <c r="C300" s="6" t="n"/>
      <c r="D300" s="6" t="n"/>
      <c r="E300" s="6" t="n"/>
      <c r="F300" s="6" t="n"/>
      <c r="G300" s="6" t="n"/>
      <c r="H300" s="6" t="n"/>
      <c r="I300" s="6" t="n"/>
      <c r="J300" s="6" t="inlineStr">
        <is>
          <t>TOTAL INTERNAL FREIGHT</t>
        </is>
      </c>
      <c r="K300" s="6" t="n"/>
      <c r="L300" s="6" t="n"/>
      <c r="M300" s="6" t="n"/>
      <c r="N300" s="6" t="n"/>
      <c r="O300" s="6" t="n"/>
      <c r="P300" s="7" t="n">
        <v>0</v>
      </c>
      <c r="Q300" s="7"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row>
    <row r="301">
      <c r="A301" s="6" t="n"/>
      <c r="B301" s="6" t="n"/>
      <c r="C301" s="6" t="n"/>
      <c r="D301" s="6" t="n"/>
      <c r="E301" s="6" t="n"/>
      <c r="F301" s="6" t="n"/>
      <c r="G301" s="6" t="n"/>
      <c r="H301" s="6" t="n"/>
      <c r="I301" s="6" t="n"/>
      <c r="J301" s="6" t="inlineStr">
        <is>
          <t>TOTAL INSURANCE</t>
        </is>
      </c>
      <c r="K301" s="6" t="n"/>
      <c r="L301" s="6" t="n"/>
      <c r="M301" s="6" t="n"/>
      <c r="N301" s="6" t="n"/>
      <c r="O301" s="6" t="n"/>
      <c r="P301" s="7" t="n">
        <v>0</v>
      </c>
      <c r="Q301" s="7"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row>
    <row r="302">
      <c r="A302" s="6" t="n"/>
      <c r="B302" s="6" t="n"/>
      <c r="C302" s="6" t="n"/>
      <c r="D302" s="6" t="n"/>
      <c r="E302" s="6" t="n"/>
      <c r="F302" s="6" t="n"/>
      <c r="G302" s="6" t="n"/>
      <c r="H302" s="6" t="n"/>
      <c r="I302" s="6" t="n"/>
      <c r="J302" s="6" t="inlineStr">
        <is>
          <t>TOTAL OTHER COST</t>
        </is>
      </c>
      <c r="K302" s="6" t="n"/>
      <c r="L302" s="6" t="n"/>
      <c r="M302" s="6" t="n"/>
      <c r="N302" s="6" t="n"/>
      <c r="O302" s="6" t="n"/>
      <c r="P302" s="7" t="n">
        <v>0</v>
      </c>
      <c r="Q302" s="7"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row>
    <row r="303">
      <c r="A303" s="6" t="n"/>
      <c r="B303" s="6" t="n"/>
      <c r="C303" s="6" t="n"/>
      <c r="D303" s="6" t="n"/>
      <c r="E303" s="6" t="n"/>
      <c r="F303" s="6" t="n"/>
      <c r="G303" s="6" t="n"/>
      <c r="H303" s="6" t="n"/>
      <c r="I303" s="6" t="n"/>
      <c r="J303" s="6" t="inlineStr">
        <is>
          <t>TOTAL DEDUCTION</t>
        </is>
      </c>
      <c r="K303" s="6" t="n"/>
      <c r="L303" s="6" t="n"/>
      <c r="M303" s="6" t="n"/>
      <c r="N303" s="6" t="n"/>
      <c r="O303" s="6" t="n"/>
      <c r="P303" s="7" t="n">
        <v>0</v>
      </c>
      <c r="Q303" s="7"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row>
    <row r="304">
      <c r="A304" s="6" t="n"/>
      <c r="B304" s="6" t="n"/>
      <c r="C304" s="6" t="n"/>
      <c r="D304" s="6" t="n"/>
      <c r="E304" s="6" t="n"/>
      <c r="F304" s="6" t="n"/>
      <c r="G304" s="6" t="n"/>
      <c r="H304" s="6" t="n"/>
      <c r="I304" s="6" t="n"/>
      <c r="J304" s="6" t="inlineStr">
        <is>
          <t>ADJUSTMENTS</t>
        </is>
      </c>
      <c r="K304" s="6" t="n"/>
      <c r="L304" s="6" t="n"/>
      <c r="M304" s="6" t="n"/>
      <c r="N304" s="6" t="n"/>
      <c r="O304" s="6" t="n"/>
      <c r="P304" s="7">
        <f>(T292+U292+V292-W292)</f>
        <v/>
      </c>
      <c r="Q304" s="7">
        <f>(T292+U292+V292-W292)</f>
        <v/>
      </c>
      <c r="R304" s="6" t="n"/>
      <c r="S304" s="6" t="n"/>
      <c r="T304" s="6" t="n"/>
      <c r="U304" s="6" t="n"/>
      <c r="V304" s="6" t="n"/>
      <c r="W304" s="6" t="n"/>
      <c r="X304" s="6" t="n"/>
      <c r="Y304" s="6" t="n"/>
      <c r="Z304" s="6" t="n"/>
      <c r="AA304" s="6" t="n"/>
      <c r="AB304" s="6" t="n"/>
      <c r="AC304" s="6" t="n"/>
      <c r="AD304" s="6" t="n"/>
      <c r="AE304" s="6" t="n"/>
      <c r="AF304" s="6" t="n"/>
      <c r="AG304" s="6" t="n"/>
      <c r="AH304" s="6" t="n"/>
      <c r="AI304" s="6" t="n"/>
      <c r="AJ304" s="6" t="n"/>
      <c r="AK304" s="6" t="n"/>
    </row>
    <row r="305"/>
    <row r="306">
      <c r="A306" s="6" t="n"/>
      <c r="B306" s="6" t="n"/>
      <c r="C306" s="6" t="n"/>
      <c r="D306" s="6" t="n"/>
      <c r="E306" s="6" t="n"/>
      <c r="F306" s="6" t="n"/>
      <c r="G306" s="6" t="n"/>
      <c r="H306" s="6" t="n"/>
      <c r="I306" s="6" t="n"/>
      <c r="J306" s="6" t="inlineStr">
        <is>
          <t>NET TOTAL</t>
        </is>
      </c>
      <c r="K306" s="6" t="n"/>
      <c r="L306" s="6" t="n"/>
      <c r="M306" s="6" t="n"/>
      <c r="N306" s="6" t="n"/>
      <c r="O306" s="6" t="n"/>
      <c r="P306" s="7">
        <f>P296+P304</f>
        <v/>
      </c>
      <c r="Q306" s="7">
        <f>Q296+Q304</f>
        <v/>
      </c>
      <c r="R306" s="6" t="n"/>
      <c r="S306" s="6" t="n"/>
      <c r="T306" s="6" t="n"/>
      <c r="U306" s="6" t="n"/>
      <c r="V306" s="6" t="n"/>
      <c r="W306" s="6" t="n"/>
      <c r="X306" s="6" t="n"/>
      <c r="Y306" s="6" t="n"/>
      <c r="Z306" s="6" t="n"/>
      <c r="AA306" s="6" t="n"/>
      <c r="AB306" s="6" t="n"/>
      <c r="AC306" s="6" t="n"/>
      <c r="AD306" s="6" t="n"/>
      <c r="AE306" s="6" t="n"/>
      <c r="AF306" s="6" t="n"/>
      <c r="AG306" s="6" t="n"/>
      <c r="AH306" s="6" t="n"/>
      <c r="AI306" s="6" t="n"/>
      <c r="AJ306" s="6" t="n"/>
      <c r="AK306" s="6" t="n"/>
    </row>
    <row r="307">
      <c r="A307" s="6" t="n"/>
      <c r="B307" s="6" t="n"/>
      <c r="C307" s="6" t="n"/>
      <c r="D307" s="6" t="n"/>
      <c r="E307" s="6" t="n"/>
      <c r="F307" s="6" t="n"/>
      <c r="G307" s="6" t="n"/>
      <c r="H307" s="6" t="n"/>
      <c r="I307" s="6" t="n"/>
      <c r="J307" s="6" t="inlineStr">
        <is>
          <t>INVOICE TOTAL</t>
        </is>
      </c>
      <c r="K307" s="6" t="n"/>
      <c r="L307" s="6" t="n"/>
      <c r="M307" s="6" t="n"/>
      <c r="N307" s="6" t="n"/>
      <c r="O307" s="6" t="n"/>
      <c r="P307" s="7">
        <f>S292</f>
        <v/>
      </c>
      <c r="Q307" s="7" t="n"/>
      <c r="R307" s="6" t="n"/>
      <c r="S307" s="6" t="n"/>
      <c r="T307" s="6" t="n"/>
      <c r="U307" s="6" t="n"/>
      <c r="V307" s="6" t="n"/>
      <c r="W307" s="6" t="n"/>
      <c r="X307" s="6" t="n"/>
      <c r="Y307" s="6" t="n"/>
      <c r="Z307" s="6" t="n"/>
      <c r="AA307" s="6" t="n"/>
      <c r="AB307" s="6" t="n"/>
      <c r="AC307" s="6" t="n"/>
      <c r="AD307" s="6" t="n"/>
      <c r="AE307" s="6" t="n"/>
      <c r="AF307" s="6" t="n"/>
      <c r="AG307" s="6" t="n"/>
      <c r="AH307" s="6" t="n"/>
      <c r="AI307" s="6" t="n"/>
      <c r="AJ307" s="6" t="n"/>
      <c r="AK307" s="6" t="n"/>
    </row>
    <row r="308"/>
    <row r="309">
      <c r="A309" s="10" t="n"/>
      <c r="B309" s="10" t="n"/>
      <c r="C309" s="10" t="n"/>
      <c r="D309" s="10" t="n"/>
      <c r="E309" s="10" t="n"/>
      <c r="F309" s="10" t="n"/>
      <c r="G309" s="10" t="n"/>
      <c r="H309" s="10" t="n"/>
      <c r="I309" s="10" t="n"/>
      <c r="J309" s="10" t="inlineStr">
        <is>
          <t>VARIANCE CHECK</t>
        </is>
      </c>
      <c r="K309" s="10" t="n"/>
      <c r="L309" s="10" t="n"/>
      <c r="M309" s="10" t="n"/>
      <c r="N309" s="10" t="n"/>
      <c r="O309" s="10" t="n"/>
      <c r="P309" s="11">
        <f>S292-P306</f>
        <v/>
      </c>
      <c r="Q309" s="11">
        <f>S292-Q306</f>
        <v/>
      </c>
      <c r="R309" s="10" t="n"/>
      <c r="S309" s="10" t="n"/>
      <c r="T309" s="10" t="n"/>
      <c r="U309" s="10" t="n"/>
      <c r="V309" s="10" t="n"/>
      <c r="W309" s="10" t="n"/>
      <c r="X309" s="10" t="n"/>
      <c r="Y309" s="10" t="n"/>
      <c r="Z309" s="10" t="n"/>
      <c r="AA309" s="10" t="n"/>
      <c r="AB309" s="10" t="n"/>
      <c r="AC309" s="10" t="n"/>
      <c r="AD309" s="10" t="n"/>
      <c r="AE309" s="10" t="n"/>
      <c r="AF309" s="10" t="n"/>
      <c r="AG309" s="10" t="n"/>
      <c r="AH309" s="10" t="n"/>
      <c r="AI309" s="10" t="n"/>
      <c r="AJ309" s="10" t="n"/>
      <c r="AK309" s="10" t="n"/>
    </row>
    <row r="310"/>
    <row r="311">
      <c r="A311" s="12" t="n"/>
      <c r="B311" s="12" t="n"/>
      <c r="C311" s="12" t="n"/>
      <c r="D311" s="12" t="n"/>
      <c r="E311" s="12" t="n"/>
      <c r="F311" s="12" t="n"/>
      <c r="G311" s="12" t="n"/>
      <c r="H311" s="12" t="n"/>
      <c r="I311" s="12" t="n"/>
      <c r="J311" s="13" t="inlineStr">
        <is>
          <t>INVOICE NOTES: Invoice total uncertain</t>
        </is>
      </c>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row>
    <row r="312"/>
    <row r="313">
      <c r="A313" s="14" t="n"/>
      <c r="B313" s="14" t="n"/>
      <c r="C313" s="14" t="n"/>
      <c r="D313" s="14" t="n"/>
      <c r="E313" s="14" t="n"/>
      <c r="F313" s="14" t="n"/>
      <c r="G313" s="14" t="n"/>
      <c r="H313" s="14" t="n"/>
      <c r="I313" s="14" t="n"/>
      <c r="J313" s="14" t="inlineStr">
        <is>
          <t>DUTY ESTIMATION (Classification Cross-Check)</t>
        </is>
      </c>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c r="AH313" s="14" t="n"/>
      <c r="AI313" s="14" t="n"/>
      <c r="AJ313" s="14" t="n"/>
      <c r="AK313" s="14" t="n"/>
    </row>
    <row r="314">
      <c r="A314" s="15" t="n"/>
      <c r="B314" s="15" t="n"/>
      <c r="C314" s="15" t="n"/>
      <c r="D314" s="15" t="n"/>
      <c r="E314" s="15" t="n"/>
      <c r="F314" s="15" t="n"/>
      <c r="G314" s="15" t="n"/>
      <c r="H314" s="15" t="n"/>
      <c r="I314" s="15" t="n"/>
      <c r="J314" s="16" t="inlineStr">
        <is>
          <t>CIF (USD) = InvTotal + Freight + Insurance</t>
        </is>
      </c>
      <c r="K314" s="15" t="n"/>
      <c r="L314" s="15" t="n"/>
      <c r="M314" s="15" t="n"/>
      <c r="N314" s="15" t="n"/>
      <c r="O314" s="15" t="n"/>
      <c r="P314" s="17" t="n">
        <v>13.2</v>
      </c>
      <c r="Q314" s="15" t="n"/>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row>
    <row r="315">
      <c r="A315" s="15" t="n"/>
      <c r="B315" s="15" t="n"/>
      <c r="C315" s="15" t="n"/>
      <c r="D315" s="15" t="n"/>
      <c r="E315" s="15" t="n"/>
      <c r="F315" s="15" t="n"/>
      <c r="G315" s="15" t="n"/>
      <c r="H315" s="15" t="n"/>
      <c r="I315" s="15" t="n"/>
      <c r="J315" s="16" t="inlineStr">
        <is>
          <t>CIF (XCD) = CIF × 2.7169</t>
        </is>
      </c>
      <c r="K315" s="15" t="n"/>
      <c r="L315" s="15" t="n"/>
      <c r="M315" s="15" t="n"/>
      <c r="N315" s="15" t="n"/>
      <c r="O315" s="15" t="n"/>
      <c r="P315" s="17" t="n">
        <v>35.86</v>
      </c>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row>
    <row r="316">
      <c r="A316" s="15" t="n"/>
      <c r="B316" s="15" t="n"/>
      <c r="C316" s="15" t="n"/>
      <c r="D316" s="15" t="n"/>
      <c r="E316" s="15" t="n"/>
      <c r="F316" s="15" t="n"/>
      <c r="G316" s="15" t="n"/>
      <c r="H316" s="15" t="n"/>
      <c r="I316" s="15" t="n"/>
      <c r="J316" s="16" t="inlineStr">
        <is>
          <t>CET (weighted avg 20.0%)</t>
        </is>
      </c>
      <c r="K316" s="15" t="n"/>
      <c r="L316" s="15" t="n"/>
      <c r="M316" s="15" t="n"/>
      <c r="N316" s="15" t="n"/>
      <c r="O316" s="15" t="n"/>
      <c r="P316" s="17" t="n">
        <v>7.17</v>
      </c>
      <c r="Q316" s="15" t="n"/>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row>
    <row r="317">
      <c r="A317" s="15" t="n"/>
      <c r="B317" s="15" t="n"/>
      <c r="C317" s="15" t="n"/>
      <c r="D317" s="15" t="n"/>
      <c r="E317" s="15" t="n"/>
      <c r="F317" s="15" t="n"/>
      <c r="G317" s="15" t="n"/>
      <c r="H317" s="15" t="n"/>
      <c r="I317" s="15" t="n"/>
      <c r="J317" s="16" t="inlineStr">
        <is>
          <t xml:space="preserve">  └ 62112000: 20% CET (72% of value)</t>
        </is>
      </c>
      <c r="K317" s="15" t="n"/>
      <c r="L317" s="15" t="n"/>
      <c r="M317" s="15" t="n"/>
      <c r="N317" s="15" t="n"/>
      <c r="O317" s="15" t="n"/>
      <c r="P317" s="17" t="n">
        <v>5.17</v>
      </c>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row>
    <row r="318">
      <c r="A318" s="15" t="n"/>
      <c r="B318" s="15" t="n"/>
      <c r="C318" s="15" t="n"/>
      <c r="D318" s="15" t="n"/>
      <c r="E318" s="15" t="n"/>
      <c r="F318" s="15" t="n"/>
      <c r="G318" s="15" t="n"/>
      <c r="H318" s="15" t="n"/>
      <c r="I318" s="15" t="n"/>
      <c r="J318" s="16" t="inlineStr">
        <is>
          <t xml:space="preserve">  └ 92089000: 20% CET (28% of value)</t>
        </is>
      </c>
      <c r="K318" s="15" t="n"/>
      <c r="L318" s="15" t="n"/>
      <c r="M318" s="15" t="n"/>
      <c r="N318" s="15" t="n"/>
      <c r="O318" s="15" t="n"/>
      <c r="P318" s="17" t="n">
        <v>2</v>
      </c>
      <c r="Q318" s="15" t="n"/>
      <c r="R318" s="15" t="n"/>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row>
    <row r="319">
      <c r="A319" s="15" t="n"/>
      <c r="B319" s="15" t="n"/>
      <c r="C319" s="15" t="n"/>
      <c r="D319" s="15" t="n"/>
      <c r="E319" s="15" t="n"/>
      <c r="F319" s="15" t="n"/>
      <c r="G319" s="15" t="n"/>
      <c r="H319" s="15" t="n"/>
      <c r="I319" s="15" t="n"/>
      <c r="J319" s="16" t="inlineStr">
        <is>
          <t>CSC (6%)</t>
        </is>
      </c>
      <c r="K319" s="15" t="n"/>
      <c r="L319" s="15" t="n"/>
      <c r="M319" s="15" t="n"/>
      <c r="N319" s="15" t="n"/>
      <c r="O319" s="15" t="n"/>
      <c r="P319" s="17" t="n">
        <v>2.15</v>
      </c>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row>
    <row r="320">
      <c r="A320" s="15" t="n"/>
      <c r="B320" s="15" t="n"/>
      <c r="C320" s="15" t="n"/>
      <c r="D320" s="15" t="n"/>
      <c r="E320" s="15" t="n"/>
      <c r="F320" s="15" t="n"/>
      <c r="G320" s="15" t="n"/>
      <c r="H320" s="15" t="n"/>
      <c r="I320" s="15" t="n"/>
      <c r="J320" s="16" t="inlineStr">
        <is>
          <t>VAT (15%) on CIF+CET+CSC</t>
        </is>
      </c>
      <c r="K320" s="15" t="n"/>
      <c r="L320" s="15" t="n"/>
      <c r="M320" s="15" t="n"/>
      <c r="N320" s="15" t="n"/>
      <c r="O320" s="15" t="n"/>
      <c r="P320" s="17" t="n">
        <v>6.78</v>
      </c>
      <c r="Q320" s="15" t="n"/>
      <c r="R320" s="15" t="n"/>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row>
    <row r="321">
      <c r="A321" s="18" t="n"/>
      <c r="B321" s="18" t="n"/>
      <c r="C321" s="18" t="n"/>
      <c r="D321" s="18" t="n"/>
      <c r="E321" s="18" t="n"/>
      <c r="F321" s="18" t="n"/>
      <c r="G321" s="18" t="n"/>
      <c r="H321" s="18" t="n"/>
      <c r="I321" s="18" t="n"/>
      <c r="J321" s="14" t="inlineStr">
        <is>
          <t>ESTIMATED TOTAL DUTIES</t>
        </is>
      </c>
      <c r="K321" s="18" t="n"/>
      <c r="L321" s="18" t="n"/>
      <c r="M321" s="18" t="n"/>
      <c r="N321" s="18" t="n"/>
      <c r="O321" s="18" t="n"/>
      <c r="P321" s="19" t="n">
        <v>16.1</v>
      </c>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row>
    <row r="322">
      <c r="A322" s="15" t="n"/>
      <c r="B322" s="15" t="n"/>
      <c r="C322" s="15" t="n"/>
      <c r="D322" s="15" t="n"/>
      <c r="E322" s="15" t="n"/>
      <c r="F322" s="15" t="n"/>
      <c r="G322" s="15" t="n"/>
      <c r="H322" s="15" t="n"/>
      <c r="I322" s="15" t="n"/>
      <c r="J322" s="16" t="inlineStr">
        <is>
          <t>Effective Duty Rate</t>
        </is>
      </c>
      <c r="K322" s="15" t="n"/>
      <c r="L322" s="15" t="n"/>
      <c r="M322" s="15" t="n"/>
      <c r="N322" s="15" t="n"/>
      <c r="O322" s="15" t="n"/>
      <c r="P322" s="20" t="n">
        <v>0.4489682097044061</v>
      </c>
      <c r="Q322" s="15" t="n"/>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c r="AA323" s="21" t="n"/>
      <c r="AB323" s="21" t="n"/>
      <c r="AC323" s="21" t="n"/>
      <c r="AD323" s="21" t="n"/>
      <c r="AE323" s="21" t="n"/>
      <c r="AF323" s="21" t="n"/>
      <c r="AG323" s="21" t="n"/>
      <c r="AH323" s="21" t="n"/>
      <c r="AI323" s="21" t="n"/>
      <c r="AJ323" s="21" t="n"/>
      <c r="AK323" s="21" t="n"/>
    </row>
    <row r="324">
      <c r="A324" s="2" t="inlineStr">
        <is>
          <t>4000-000</t>
        </is>
      </c>
      <c r="B324" s="2" t="n"/>
      <c r="C324" s="2" t="inlineStr">
        <is>
          <t>INVUS20240717002018383</t>
        </is>
      </c>
      <c r="D324" s="2" t="inlineStr">
        <is>
          <t>2024-07-17</t>
        </is>
      </c>
      <c r="E324" s="2" t="inlineStr">
        <is>
          <t>PRODUCTS</t>
        </is>
      </c>
      <c r="F324" s="2" t="inlineStr">
        <is>
          <t>00000000</t>
        </is>
      </c>
      <c r="G324" s="2" t="n"/>
      <c r="H324" s="2" t="n"/>
      <c r="I324" s="2" t="inlineStr">
        <is>
          <t>00000000</t>
        </is>
      </c>
      <c r="J324" s="2" t="inlineStr">
        <is>
          <t>Plus Size Dresses (1 items)</t>
        </is>
      </c>
      <c r="K324" s="2" t="n">
        <v>1</v>
      </c>
      <c r="L324" s="2" t="n"/>
      <c r="M324" s="2" t="n"/>
      <c r="N324" s="2" t="inlineStr">
        <is>
          <t>USD</t>
        </is>
      </c>
      <c r="O324" s="3" t="n">
        <v>7.52</v>
      </c>
      <c r="P324" s="3" t="n">
        <v>7.52</v>
      </c>
      <c r="Q324" s="3">
        <f>O324*K324</f>
        <v/>
      </c>
      <c r="R324" s="3">
        <f>P324-Q324</f>
        <v/>
      </c>
      <c r="S324" s="3" t="n">
        <v>8.06</v>
      </c>
      <c r="T324" s="3" t="n">
        <v>0</v>
      </c>
      <c r="U324" s="3" t="n">
        <v>0</v>
      </c>
      <c r="V324" s="3" t="n">
        <v>0.54</v>
      </c>
      <c r="W324" s="3" t="n">
        <v>0</v>
      </c>
      <c r="X324" s="2" t="n">
        <v>1</v>
      </c>
      <c r="Y324" s="2" t="n"/>
      <c r="Z324" s="2" t="inlineStr">
        <is>
          <t>SHEIN</t>
        </is>
      </c>
      <c r="AA324" s="2" t="inlineStr">
        <is>
          <t>SHEIN US Services, LLC</t>
        </is>
      </c>
      <c r="AB324" s="2" t="inlineStr">
        <is>
          <t>777 S. Alameda St., Second Floor, Los Angeles, CA 90021</t>
        </is>
      </c>
      <c r="AC324" s="2" t="inlineStr">
        <is>
          <t>US</t>
        </is>
      </c>
      <c r="AD324" s="2" t="n"/>
      <c r="AE324" s="2" t="n"/>
      <c r="AF324" s="2" t="n"/>
      <c r="AG324" s="2" t="n"/>
      <c r="AH324" s="2" t="n"/>
      <c r="AI324" s="2" t="n"/>
      <c r="AJ324" s="2" t="n"/>
      <c r="AK324" s="2" t="inlineStr">
        <is>
          <t>00000000</t>
        </is>
      </c>
    </row>
    <row r="325">
      <c r="A325" s="4" t="n"/>
      <c r="B325" s="4" t="n"/>
      <c r="C325" s="4" t="n"/>
      <c r="D325" s="4" t="n"/>
      <c r="E325" s="4" t="n"/>
      <c r="F325" s="4" t="inlineStr">
        <is>
          <t>00000000</t>
        </is>
      </c>
      <c r="G325" s="4" t="n"/>
      <c r="H325" s="4" t="n"/>
      <c r="I325" s="4" t="inlineStr">
        <is>
          <t>SHEIN-1</t>
        </is>
      </c>
      <c r="J325" s="4" t="inlineStr">
        <is>
          <t>Plus Size Dresses</t>
        </is>
      </c>
      <c r="K325" s="4" t="n">
        <v>1</v>
      </c>
      <c r="L325" s="4" t="n"/>
      <c r="M325" s="4" t="n"/>
      <c r="N325" s="4" t="inlineStr">
        <is>
          <t>USD</t>
        </is>
      </c>
      <c r="O325" s="5" t="n">
        <v>7.52</v>
      </c>
      <c r="P325" s="5" t="n">
        <v>7.52</v>
      </c>
      <c r="Q325" s="5">
        <f>O325*K325</f>
        <v/>
      </c>
      <c r="R325" s="5">
        <f>P325-Q325</f>
        <v/>
      </c>
      <c r="S325" s="4" t="n"/>
      <c r="T325" s="4" t="n"/>
      <c r="U325" s="4" t="n"/>
      <c r="V325" s="4" t="n"/>
      <c r="W325" s="4" t="n"/>
      <c r="X325" s="4" t="n"/>
      <c r="Y325" s="4" t="n"/>
      <c r="Z325" s="4" t="n"/>
      <c r="AA325" s="4" t="n"/>
      <c r="AB325" s="4" t="n"/>
      <c r="AC325" s="4" t="n"/>
      <c r="AD325" s="4" t="n"/>
      <c r="AE325" s="4" t="n"/>
      <c r="AF325" s="4" t="n"/>
      <c r="AG325" s="4" t="n"/>
      <c r="AH325" s="4" t="n"/>
      <c r="AI325" s="4" t="n"/>
      <c r="AJ325" s="4" t="n"/>
      <c r="AK325" s="4" t="n"/>
    </row>
    <row r="326">
      <c r="A326" s="6" t="n"/>
      <c r="B326" s="6" t="n"/>
      <c r="C326" s="6" t="n"/>
      <c r="D326" s="6" t="n"/>
      <c r="E326" s="6" t="n"/>
      <c r="F326" s="6" t="n"/>
      <c r="G326" s="6" t="n"/>
      <c r="H326" s="6" t="n"/>
      <c r="I326" s="6" t="n"/>
      <c r="J326" s="6" t="inlineStr">
        <is>
          <t>SUBTOTAL (GROUPED)</t>
        </is>
      </c>
      <c r="K326" s="6" t="n"/>
      <c r="L326" s="6" t="n"/>
      <c r="M326" s="6" t="n"/>
      <c r="N326" s="6" t="n"/>
      <c r="O326" s="6" t="n"/>
      <c r="P326" s="7">
        <f>P324</f>
        <v/>
      </c>
      <c r="Q326" s="7">
        <f>Q324</f>
        <v/>
      </c>
      <c r="R326" s="6" t="n"/>
      <c r="S326" s="6" t="n"/>
      <c r="T326" s="6" t="n"/>
      <c r="U326" s="6" t="n"/>
      <c r="V326" s="6" t="n"/>
      <c r="W326" s="6" t="n"/>
      <c r="X326" s="6" t="n"/>
      <c r="Y326" s="6" t="n"/>
      <c r="Z326" s="6" t="n"/>
      <c r="AA326" s="6" t="n"/>
      <c r="AB326" s="6" t="n"/>
      <c r="AC326" s="6" t="n"/>
      <c r="AD326" s="6" t="n"/>
      <c r="AE326" s="6" t="n"/>
      <c r="AF326" s="6" t="n"/>
      <c r="AG326" s="6" t="n"/>
      <c r="AH326" s="6" t="n"/>
      <c r="AI326" s="6" t="n"/>
      <c r="AJ326" s="6" t="n"/>
      <c r="AK326" s="6" t="n"/>
    </row>
    <row r="327">
      <c r="A327" s="6" t="n"/>
      <c r="B327" s="6" t="n"/>
      <c r="C327" s="6" t="n"/>
      <c r="D327" s="6" t="n"/>
      <c r="E327" s="6" t="n"/>
      <c r="F327" s="6" t="n"/>
      <c r="G327" s="6" t="n"/>
      <c r="H327" s="6" t="n"/>
      <c r="I327" s="6" t="n"/>
      <c r="J327" s="6" t="inlineStr">
        <is>
          <t>SUBTOTAL (DETAILS)</t>
        </is>
      </c>
      <c r="K327" s="6" t="n"/>
      <c r="L327" s="6" t="n"/>
      <c r="M327" s="6" t="n"/>
      <c r="N327" s="6" t="n"/>
      <c r="O327" s="6" t="n"/>
      <c r="P327" s="7">
        <f>SUM(P324:P325)-P326</f>
        <v/>
      </c>
      <c r="Q327" s="7">
        <f>SUM(Q324:Q325)-Q326</f>
        <v/>
      </c>
      <c r="R327" s="6" t="n"/>
      <c r="S327" s="6" t="n"/>
      <c r="T327" s="6" t="n"/>
      <c r="U327" s="6" t="n"/>
      <c r="V327" s="6" t="n"/>
      <c r="W327" s="6" t="n"/>
      <c r="X327" s="6" t="n"/>
      <c r="Y327" s="6" t="n"/>
      <c r="Z327" s="6" t="n"/>
      <c r="AA327" s="6" t="n"/>
      <c r="AB327" s="6" t="n"/>
      <c r="AC327" s="6" t="n"/>
      <c r="AD327" s="6" t="n"/>
      <c r="AE327" s="6" t="n"/>
      <c r="AF327" s="6" t="n"/>
      <c r="AG327" s="6" t="n"/>
      <c r="AH327" s="6" t="n"/>
      <c r="AI327" s="6" t="n"/>
      <c r="AJ327" s="6" t="n"/>
      <c r="AK327" s="6" t="n"/>
    </row>
    <row r="328">
      <c r="A328" s="8" t="n"/>
      <c r="B328" s="8" t="n"/>
      <c r="C328" s="8" t="n"/>
      <c r="D328" s="8" t="n"/>
      <c r="E328" s="8" t="n"/>
      <c r="F328" s="8" t="n"/>
      <c r="G328" s="8" t="n"/>
      <c r="H328" s="8" t="n"/>
      <c r="I328" s="8" t="n"/>
      <c r="J328" s="8" t="inlineStr">
        <is>
          <t>GROUP VERIFICATION</t>
        </is>
      </c>
      <c r="K328" s="8" t="n"/>
      <c r="L328" s="8" t="n"/>
      <c r="M328" s="8" t="n"/>
      <c r="N328" s="8" t="n"/>
      <c r="O328" s="8" t="n"/>
      <c r="P328" s="9">
        <f>P326-P327</f>
        <v/>
      </c>
      <c r="Q328" s="9">
        <f>Q326-Q327</f>
        <v/>
      </c>
      <c r="R328" s="8" t="n"/>
      <c r="S328" s="8" t="n"/>
      <c r="T328" s="8" t="n"/>
      <c r="U328" s="8" t="n"/>
      <c r="V328" s="8" t="n"/>
      <c r="W328" s="8" t="n"/>
      <c r="X328" s="8" t="n"/>
      <c r="Y328" s="8" t="n"/>
      <c r="Z328" s="8" t="n"/>
      <c r="AA328" s="8" t="n"/>
      <c r="AB328" s="8" t="n"/>
      <c r="AC328" s="8" t="n"/>
      <c r="AD328" s="8" t="n"/>
      <c r="AE328" s="8" t="n"/>
      <c r="AF328" s="8" t="n"/>
      <c r="AG328" s="8" t="n"/>
      <c r="AH328" s="8" t="n"/>
      <c r="AI328" s="8" t="n"/>
      <c r="AJ328" s="8" t="n"/>
      <c r="AK328" s="8" t="n"/>
    </row>
    <row r="329"/>
    <row r="330">
      <c r="A330" s="6" t="n"/>
      <c r="B330" s="6" t="n"/>
      <c r="C330" s="6" t="n"/>
      <c r="D330" s="6" t="n"/>
      <c r="E330" s="6" t="n"/>
      <c r="F330" s="6" t="n"/>
      <c r="G330" s="6" t="n"/>
      <c r="H330" s="6" t="n"/>
      <c r="I330" s="6" t="n"/>
      <c r="J330" s="6" t="inlineStr">
        <is>
          <t>TOTAL INTERNAL FREIGHT</t>
        </is>
      </c>
      <c r="K330" s="6" t="n"/>
      <c r="L330" s="6" t="n"/>
      <c r="M330" s="6" t="n"/>
      <c r="N330" s="6" t="n"/>
      <c r="O330" s="6" t="n"/>
      <c r="P330" s="7" t="n">
        <v>0</v>
      </c>
      <c r="Q330" s="7" t="n"/>
      <c r="R330" s="6" t="n"/>
      <c r="S330" s="6" t="n"/>
      <c r="T330" s="6" t="n"/>
      <c r="U330" s="6" t="n"/>
      <c r="V330" s="6" t="n"/>
      <c r="W330" s="6" t="n"/>
      <c r="X330" s="6" t="n"/>
      <c r="Y330" s="6" t="n"/>
      <c r="Z330" s="6" t="n"/>
      <c r="AA330" s="6" t="n"/>
      <c r="AB330" s="6" t="n"/>
      <c r="AC330" s="6" t="n"/>
      <c r="AD330" s="6" t="n"/>
      <c r="AE330" s="6" t="n"/>
      <c r="AF330" s="6" t="n"/>
      <c r="AG330" s="6" t="n"/>
      <c r="AH330" s="6" t="n"/>
      <c r="AI330" s="6" t="n"/>
      <c r="AJ330" s="6" t="n"/>
      <c r="AK330" s="6" t="n"/>
    </row>
    <row r="331">
      <c r="A331" s="6" t="n"/>
      <c r="B331" s="6" t="n"/>
      <c r="C331" s="6" t="n"/>
      <c r="D331" s="6" t="n"/>
      <c r="E331" s="6" t="n"/>
      <c r="F331" s="6" t="n"/>
      <c r="G331" s="6" t="n"/>
      <c r="H331" s="6" t="n"/>
      <c r="I331" s="6" t="n"/>
      <c r="J331" s="6" t="inlineStr">
        <is>
          <t>TOTAL INSURANCE</t>
        </is>
      </c>
      <c r="K331" s="6" t="n"/>
      <c r="L331" s="6" t="n"/>
      <c r="M331" s="6" t="n"/>
      <c r="N331" s="6" t="n"/>
      <c r="O331" s="6" t="n"/>
      <c r="P331" s="7" t="n">
        <v>0</v>
      </c>
      <c r="Q331" s="7" t="n"/>
      <c r="R331" s="6" t="n"/>
      <c r="S331" s="6" t="n"/>
      <c r="T331" s="6" t="n"/>
      <c r="U331" s="6" t="n"/>
      <c r="V331" s="6" t="n"/>
      <c r="W331" s="6" t="n"/>
      <c r="X331" s="6" t="n"/>
      <c r="Y331" s="6" t="n"/>
      <c r="Z331" s="6" t="n"/>
      <c r="AA331" s="6" t="n"/>
      <c r="AB331" s="6" t="n"/>
      <c r="AC331" s="6" t="n"/>
      <c r="AD331" s="6" t="n"/>
      <c r="AE331" s="6" t="n"/>
      <c r="AF331" s="6" t="n"/>
      <c r="AG331" s="6" t="n"/>
      <c r="AH331" s="6" t="n"/>
      <c r="AI331" s="6" t="n"/>
      <c r="AJ331" s="6" t="n"/>
      <c r="AK331" s="6" t="n"/>
    </row>
    <row r="332">
      <c r="A332" s="6" t="n"/>
      <c r="B332" s="6" t="n"/>
      <c r="C332" s="6" t="n"/>
      <c r="D332" s="6" t="n"/>
      <c r="E332" s="6" t="n"/>
      <c r="F332" s="6" t="n"/>
      <c r="G332" s="6" t="n"/>
      <c r="H332" s="6" t="n"/>
      <c r="I332" s="6" t="n"/>
      <c r="J332" s="6" t="inlineStr">
        <is>
          <t>TOTAL OTHER COST</t>
        </is>
      </c>
      <c r="K332" s="6" t="n"/>
      <c r="L332" s="6" t="n"/>
      <c r="M332" s="6" t="n"/>
      <c r="N332" s="6" t="n"/>
      <c r="O332" s="6" t="n"/>
      <c r="P332" s="7" t="n">
        <v>0.54</v>
      </c>
      <c r="Q332" s="7" t="n"/>
      <c r="R332" s="6" t="n"/>
      <c r="S332" s="6" t="n"/>
      <c r="T332" s="6" t="n"/>
      <c r="U332" s="6" t="n"/>
      <c r="V332" s="6" t="n"/>
      <c r="W332" s="6" t="n"/>
      <c r="X332" s="6" t="n"/>
      <c r="Y332" s="6" t="n"/>
      <c r="Z332" s="6" t="n"/>
      <c r="AA332" s="6" t="n"/>
      <c r="AB332" s="6" t="n"/>
      <c r="AC332" s="6" t="n"/>
      <c r="AD332" s="6" t="n"/>
      <c r="AE332" s="6" t="n"/>
      <c r="AF332" s="6" t="n"/>
      <c r="AG332" s="6" t="n"/>
      <c r="AH332" s="6" t="n"/>
      <c r="AI332" s="6" t="n"/>
      <c r="AJ332" s="6" t="n"/>
      <c r="AK332" s="6" t="n"/>
    </row>
    <row r="333">
      <c r="A333" s="6" t="n"/>
      <c r="B333" s="6" t="n"/>
      <c r="C333" s="6" t="n"/>
      <c r="D333" s="6" t="n"/>
      <c r="E333" s="6" t="n"/>
      <c r="F333" s="6" t="n"/>
      <c r="G333" s="6" t="n"/>
      <c r="H333" s="6" t="n"/>
      <c r="I333" s="6" t="n"/>
      <c r="J333" s="6" t="inlineStr">
        <is>
          <t>TOTAL DEDUCTION</t>
        </is>
      </c>
      <c r="K333" s="6" t="n"/>
      <c r="L333" s="6" t="n"/>
      <c r="M333" s="6" t="n"/>
      <c r="N333" s="6" t="n"/>
      <c r="O333" s="6" t="n"/>
      <c r="P333" s="7" t="n">
        <v>0</v>
      </c>
      <c r="Q333" s="7" t="n"/>
      <c r="R333" s="6" t="n"/>
      <c r="S333" s="6" t="n"/>
      <c r="T333" s="6" t="n"/>
      <c r="U333" s="6" t="n"/>
      <c r="V333" s="6" t="n"/>
      <c r="W333" s="6" t="n"/>
      <c r="X333" s="6" t="n"/>
      <c r="Y333" s="6" t="n"/>
      <c r="Z333" s="6" t="n"/>
      <c r="AA333" s="6" t="n"/>
      <c r="AB333" s="6" t="n"/>
      <c r="AC333" s="6" t="n"/>
      <c r="AD333" s="6" t="n"/>
      <c r="AE333" s="6" t="n"/>
      <c r="AF333" s="6" t="n"/>
      <c r="AG333" s="6" t="n"/>
      <c r="AH333" s="6" t="n"/>
      <c r="AI333" s="6" t="n"/>
      <c r="AJ333" s="6" t="n"/>
      <c r="AK333" s="6" t="n"/>
    </row>
    <row r="334">
      <c r="A334" s="6" t="n"/>
      <c r="B334" s="6" t="n"/>
      <c r="C334" s="6" t="n"/>
      <c r="D334" s="6" t="n"/>
      <c r="E334" s="6" t="n"/>
      <c r="F334" s="6" t="n"/>
      <c r="G334" s="6" t="n"/>
      <c r="H334" s="6" t="n"/>
      <c r="I334" s="6" t="n"/>
      <c r="J334" s="6" t="inlineStr">
        <is>
          <t>ADJUSTMENTS</t>
        </is>
      </c>
      <c r="K334" s="6" t="n"/>
      <c r="L334" s="6" t="n"/>
      <c r="M334" s="6" t="n"/>
      <c r="N334" s="6" t="n"/>
      <c r="O334" s="6" t="n"/>
      <c r="P334" s="7">
        <f>(T324+U324+V324-W324)</f>
        <v/>
      </c>
      <c r="Q334" s="7">
        <f>(T324+U324+V324-W324)</f>
        <v/>
      </c>
      <c r="R334" s="6" t="n"/>
      <c r="S334" s="6" t="n"/>
      <c r="T334" s="6" t="n"/>
      <c r="U334" s="6" t="n"/>
      <c r="V334" s="6" t="n"/>
      <c r="W334" s="6" t="n"/>
      <c r="X334" s="6" t="n"/>
      <c r="Y334" s="6" t="n"/>
      <c r="Z334" s="6" t="n"/>
      <c r="AA334" s="6" t="n"/>
      <c r="AB334" s="6" t="n"/>
      <c r="AC334" s="6" t="n"/>
      <c r="AD334" s="6" t="n"/>
      <c r="AE334" s="6" t="n"/>
      <c r="AF334" s="6" t="n"/>
      <c r="AG334" s="6" t="n"/>
      <c r="AH334" s="6" t="n"/>
      <c r="AI334" s="6" t="n"/>
      <c r="AJ334" s="6" t="n"/>
      <c r="AK334" s="6" t="n"/>
    </row>
    <row r="335"/>
    <row r="336">
      <c r="A336" s="6" t="n"/>
      <c r="B336" s="6" t="n"/>
      <c r="C336" s="6" t="n"/>
      <c r="D336" s="6" t="n"/>
      <c r="E336" s="6" t="n"/>
      <c r="F336" s="6" t="n"/>
      <c r="G336" s="6" t="n"/>
      <c r="H336" s="6" t="n"/>
      <c r="I336" s="6" t="n"/>
      <c r="J336" s="6" t="inlineStr">
        <is>
          <t>NET TOTAL</t>
        </is>
      </c>
      <c r="K336" s="6" t="n"/>
      <c r="L336" s="6" t="n"/>
      <c r="M336" s="6" t="n"/>
      <c r="N336" s="6" t="n"/>
      <c r="O336" s="6" t="n"/>
      <c r="P336" s="7">
        <f>P326+P334</f>
        <v/>
      </c>
      <c r="Q336" s="7">
        <f>Q326+Q334</f>
        <v/>
      </c>
      <c r="R336" s="6" t="n"/>
      <c r="S336" s="6" t="n"/>
      <c r="T336" s="6" t="n"/>
      <c r="U336" s="6" t="n"/>
      <c r="V336" s="6" t="n"/>
      <c r="W336" s="6" t="n"/>
      <c r="X336" s="6" t="n"/>
      <c r="Y336" s="6" t="n"/>
      <c r="Z336" s="6" t="n"/>
      <c r="AA336" s="6" t="n"/>
      <c r="AB336" s="6" t="n"/>
      <c r="AC336" s="6" t="n"/>
      <c r="AD336" s="6" t="n"/>
      <c r="AE336" s="6" t="n"/>
      <c r="AF336" s="6" t="n"/>
      <c r="AG336" s="6" t="n"/>
      <c r="AH336" s="6" t="n"/>
      <c r="AI336" s="6" t="n"/>
      <c r="AJ336" s="6" t="n"/>
      <c r="AK336" s="6" t="n"/>
    </row>
    <row r="337">
      <c r="A337" s="6" t="n"/>
      <c r="B337" s="6" t="n"/>
      <c r="C337" s="6" t="n"/>
      <c r="D337" s="6" t="n"/>
      <c r="E337" s="6" t="n"/>
      <c r="F337" s="6" t="n"/>
      <c r="G337" s="6" t="n"/>
      <c r="H337" s="6" t="n"/>
      <c r="I337" s="6" t="n"/>
      <c r="J337" s="6" t="inlineStr">
        <is>
          <t>INVOICE TOTAL</t>
        </is>
      </c>
      <c r="K337" s="6" t="n"/>
      <c r="L337" s="6" t="n"/>
      <c r="M337" s="6" t="n"/>
      <c r="N337" s="6" t="n"/>
      <c r="O337" s="6" t="n"/>
      <c r="P337" s="7">
        <f>S324</f>
        <v/>
      </c>
      <c r="Q337" s="7" t="n"/>
      <c r="R337" s="6" t="n"/>
      <c r="S337" s="6" t="n"/>
      <c r="T337" s="6" t="n"/>
      <c r="U337" s="6" t="n"/>
      <c r="V337" s="6" t="n"/>
      <c r="W337" s="6" t="n"/>
      <c r="X337" s="6" t="n"/>
      <c r="Y337" s="6" t="n"/>
      <c r="Z337" s="6" t="n"/>
      <c r="AA337" s="6" t="n"/>
      <c r="AB337" s="6" t="n"/>
      <c r="AC337" s="6" t="n"/>
      <c r="AD337" s="6" t="n"/>
      <c r="AE337" s="6" t="n"/>
      <c r="AF337" s="6" t="n"/>
      <c r="AG337" s="6" t="n"/>
      <c r="AH337" s="6" t="n"/>
      <c r="AI337" s="6" t="n"/>
      <c r="AJ337" s="6" t="n"/>
      <c r="AK337" s="6" t="n"/>
    </row>
    <row r="338"/>
    <row r="339">
      <c r="A339" s="10" t="n"/>
      <c r="B339" s="10" t="n"/>
      <c r="C339" s="10" t="n"/>
      <c r="D339" s="10" t="n"/>
      <c r="E339" s="10" t="n"/>
      <c r="F339" s="10" t="n"/>
      <c r="G339" s="10" t="n"/>
      <c r="H339" s="10" t="n"/>
      <c r="I339" s="10" t="n"/>
      <c r="J339" s="10" t="inlineStr">
        <is>
          <t>VARIANCE CHECK</t>
        </is>
      </c>
      <c r="K339" s="10" t="n"/>
      <c r="L339" s="10" t="n"/>
      <c r="M339" s="10" t="n"/>
      <c r="N339" s="10" t="n"/>
      <c r="O339" s="10" t="n"/>
      <c r="P339" s="11">
        <f>S324-P336</f>
        <v/>
      </c>
      <c r="Q339" s="11">
        <f>S324-Q336</f>
        <v/>
      </c>
      <c r="R339" s="10" t="n"/>
      <c r="S339" s="10" t="n"/>
      <c r="T339" s="10" t="n"/>
      <c r="U339" s="10" t="n"/>
      <c r="V339" s="10" t="n"/>
      <c r="W339" s="10" t="n"/>
      <c r="X339" s="10" t="n"/>
      <c r="Y339" s="10" t="n"/>
      <c r="Z339" s="10" t="n"/>
      <c r="AA339" s="10" t="n"/>
      <c r="AB339" s="10" t="n"/>
      <c r="AC339" s="10" t="n"/>
      <c r="AD339" s="10" t="n"/>
      <c r="AE339" s="10" t="n"/>
      <c r="AF339" s="10" t="n"/>
      <c r="AG339" s="10" t="n"/>
      <c r="AH339" s="10" t="n"/>
      <c r="AI339" s="10" t="n"/>
      <c r="AJ339" s="10" t="n"/>
      <c r="AK339" s="10" t="n"/>
    </row>
    <row r="340"/>
    <row r="341">
      <c r="A341" s="14" t="n"/>
      <c r="B341" s="14" t="n"/>
      <c r="C341" s="14" t="n"/>
      <c r="D341" s="14" t="n"/>
      <c r="E341" s="14" t="n"/>
      <c r="F341" s="14" t="n"/>
      <c r="G341" s="14" t="n"/>
      <c r="H341" s="14" t="n"/>
      <c r="I341" s="14" t="n"/>
      <c r="J341" s="14" t="inlineStr">
        <is>
          <t>DUTY ESTIMATION (Classification Cross-Check)</t>
        </is>
      </c>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c r="AH341" s="14" t="n"/>
      <c r="AI341" s="14" t="n"/>
      <c r="AJ341" s="14" t="n"/>
      <c r="AK341" s="14" t="n"/>
    </row>
    <row r="342">
      <c r="A342" s="15" t="n"/>
      <c r="B342" s="15" t="n"/>
      <c r="C342" s="15" t="n"/>
      <c r="D342" s="15" t="n"/>
      <c r="E342" s="15" t="n"/>
      <c r="F342" s="15" t="n"/>
      <c r="G342" s="15" t="n"/>
      <c r="H342" s="15" t="n"/>
      <c r="I342" s="15" t="n"/>
      <c r="J342" s="16" t="inlineStr">
        <is>
          <t>CIF (USD) = InvTotal + Freight + Insurance</t>
        </is>
      </c>
      <c r="K342" s="15" t="n"/>
      <c r="L342" s="15" t="n"/>
      <c r="M342" s="15" t="n"/>
      <c r="N342" s="15" t="n"/>
      <c r="O342" s="15" t="n"/>
      <c r="P342" s="17" t="n">
        <v>8.06</v>
      </c>
      <c r="Q342" s="15" t="n"/>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row>
    <row r="343">
      <c r="A343" s="15" t="n"/>
      <c r="B343" s="15" t="n"/>
      <c r="C343" s="15" t="n"/>
      <c r="D343" s="15" t="n"/>
      <c r="E343" s="15" t="n"/>
      <c r="F343" s="15" t="n"/>
      <c r="G343" s="15" t="n"/>
      <c r="H343" s="15" t="n"/>
      <c r="I343" s="15" t="n"/>
      <c r="J343" s="16" t="inlineStr">
        <is>
          <t>CIF (XCD) = CIF × 2.7169</t>
        </is>
      </c>
      <c r="K343" s="15" t="n"/>
      <c r="L343" s="15" t="n"/>
      <c r="M343" s="15" t="n"/>
      <c r="N343" s="15" t="n"/>
      <c r="O343" s="15" t="n"/>
      <c r="P343" s="17" t="n">
        <v>21.9</v>
      </c>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row>
    <row r="344">
      <c r="A344" s="15" t="n"/>
      <c r="B344" s="15" t="n"/>
      <c r="C344" s="15" t="n"/>
      <c r="D344" s="15" t="n"/>
      <c r="E344" s="15" t="n"/>
      <c r="F344" s="15" t="n"/>
      <c r="G344" s="15" t="n"/>
      <c r="H344" s="15" t="n"/>
      <c r="I344" s="15" t="n"/>
      <c r="J344" s="16" t="inlineStr">
        <is>
          <t>CET (20%) — Tariff 00000000</t>
        </is>
      </c>
      <c r="K344" s="15" t="n"/>
      <c r="L344" s="15" t="n"/>
      <c r="M344" s="15" t="n"/>
      <c r="N344" s="15" t="n"/>
      <c r="O344" s="15" t="n"/>
      <c r="P344" s="17" t="n">
        <v>4.38</v>
      </c>
      <c r="Q344" s="15" t="n"/>
      <c r="R344" s="15" t="n"/>
      <c r="S344" s="15" t="n"/>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row>
    <row r="345">
      <c r="A345" s="15" t="n"/>
      <c r="B345" s="15" t="n"/>
      <c r="C345" s="15" t="n"/>
      <c r="D345" s="15" t="n"/>
      <c r="E345" s="15" t="n"/>
      <c r="F345" s="15" t="n"/>
      <c r="G345" s="15" t="n"/>
      <c r="H345" s="15" t="n"/>
      <c r="I345" s="15" t="n"/>
      <c r="J345" s="16" t="inlineStr">
        <is>
          <t>CSC (6%)</t>
        </is>
      </c>
      <c r="K345" s="15" t="n"/>
      <c r="L345" s="15" t="n"/>
      <c r="M345" s="15" t="n"/>
      <c r="N345" s="15" t="n"/>
      <c r="O345" s="15" t="n"/>
      <c r="P345" s="17" t="n">
        <v>1.31</v>
      </c>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row>
    <row r="346">
      <c r="A346" s="15" t="n"/>
      <c r="B346" s="15" t="n"/>
      <c r="C346" s="15" t="n"/>
      <c r="D346" s="15" t="n"/>
      <c r="E346" s="15" t="n"/>
      <c r="F346" s="15" t="n"/>
      <c r="G346" s="15" t="n"/>
      <c r="H346" s="15" t="n"/>
      <c r="I346" s="15" t="n"/>
      <c r="J346" s="16" t="inlineStr">
        <is>
          <t>VAT (15%) on CIF+CET+CSC</t>
        </is>
      </c>
      <c r="K346" s="15" t="n"/>
      <c r="L346" s="15" t="n"/>
      <c r="M346" s="15" t="n"/>
      <c r="N346" s="15" t="n"/>
      <c r="O346" s="15" t="n"/>
      <c r="P346" s="17" t="n">
        <v>4.14</v>
      </c>
      <c r="Q346" s="15" t="n"/>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row>
    <row r="347">
      <c r="A347" s="18" t="n"/>
      <c r="B347" s="18" t="n"/>
      <c r="C347" s="18" t="n"/>
      <c r="D347" s="18" t="n"/>
      <c r="E347" s="18" t="n"/>
      <c r="F347" s="18" t="n"/>
      <c r="G347" s="18" t="n"/>
      <c r="H347" s="18" t="n"/>
      <c r="I347" s="18" t="n"/>
      <c r="J347" s="14" t="inlineStr">
        <is>
          <t>ESTIMATED TOTAL DUTIES</t>
        </is>
      </c>
      <c r="K347" s="18" t="n"/>
      <c r="L347" s="18" t="n"/>
      <c r="M347" s="18" t="n"/>
      <c r="N347" s="18" t="n"/>
      <c r="O347" s="18" t="n"/>
      <c r="P347" s="19" t="n">
        <v>9.83</v>
      </c>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row>
    <row r="348">
      <c r="A348" s="15" t="n"/>
      <c r="B348" s="15" t="n"/>
      <c r="C348" s="15" t="n"/>
      <c r="D348" s="15" t="n"/>
      <c r="E348" s="15" t="n"/>
      <c r="F348" s="15" t="n"/>
      <c r="G348" s="15" t="n"/>
      <c r="H348" s="15" t="n"/>
      <c r="I348" s="15" t="n"/>
      <c r="J348" s="16" t="inlineStr">
        <is>
          <t>Effective Duty Rate</t>
        </is>
      </c>
      <c r="K348" s="15" t="n"/>
      <c r="L348" s="15" t="n"/>
      <c r="M348" s="15" t="n"/>
      <c r="N348" s="15" t="n"/>
      <c r="O348" s="15" t="n"/>
      <c r="P348" s="20" t="n">
        <v>0.4488584474885845</v>
      </c>
      <c r="Q348" s="15" t="n"/>
      <c r="R348" s="15" t="n"/>
      <c r="S348" s="15" t="n"/>
      <c r="T348" s="15" t="n"/>
      <c r="U348" s="15" t="n"/>
      <c r="V348" s="15" t="n"/>
      <c r="W348" s="15" t="n"/>
      <c r="X348" s="15" t="n"/>
      <c r="Y348" s="15" t="n"/>
      <c r="Z348" s="15" t="n"/>
      <c r="AA348" s="15" t="n"/>
      <c r="AB348" s="15" t="n"/>
      <c r="AC348" s="15" t="n"/>
      <c r="AD348" s="15" t="n"/>
      <c r="AE348" s="15" t="n"/>
      <c r="AF348" s="15" t="n"/>
      <c r="AG348" s="15" t="n"/>
      <c r="AH348" s="15" t="n"/>
      <c r="AI348" s="15" t="n"/>
      <c r="AJ348" s="15" t="n"/>
      <c r="AK348" s="15"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c r="AA349" s="21" t="n"/>
      <c r="AB349" s="21" t="n"/>
      <c r="AC349" s="21" t="n"/>
      <c r="AD349" s="21" t="n"/>
      <c r="AE349" s="21" t="n"/>
      <c r="AF349" s="21" t="n"/>
      <c r="AG349" s="21" t="n"/>
      <c r="AH349" s="21" t="n"/>
      <c r="AI349" s="21" t="n"/>
      <c r="AJ349" s="21" t="n"/>
      <c r="AK349" s="21" t="n"/>
    </row>
    <row r="350">
      <c r="A350" s="2" t="inlineStr">
        <is>
          <t>4000-000</t>
        </is>
      </c>
      <c r="B350" s="2" t="n"/>
      <c r="C350" s="2" t="inlineStr">
        <is>
          <t>PO-211-06504032894070385</t>
        </is>
      </c>
      <c r="D350" s="2" t="inlineStr">
        <is>
          <t>2024-07-22</t>
        </is>
      </c>
      <c r="E350" s="2" t="inlineStr">
        <is>
          <t>Trousers and shorts</t>
        </is>
      </c>
      <c r="F350" s="2" t="inlineStr">
        <is>
          <t>61034290</t>
        </is>
      </c>
      <c r="G350" s="2" t="n"/>
      <c r="H350" s="2" t="n"/>
      <c r="I350" s="2" t="inlineStr">
        <is>
          <t>61034290</t>
        </is>
      </c>
      <c r="J350" s="2" t="inlineStr">
        <is>
          <t>Item details (1) SOCEM we po ae Suntlower Throw Fallow Cavers Set of 4, Summe... (1 items)</t>
        </is>
      </c>
      <c r="K350" s="2" t="n">
        <v>0</v>
      </c>
      <c r="L350" s="2" t="n"/>
      <c r="M350" s="2" t="n"/>
      <c r="N350" s="2" t="inlineStr">
        <is>
          <t>USD</t>
        </is>
      </c>
      <c r="O350" s="3" t="n"/>
      <c r="P350" s="3" t="n">
        <v>14.98</v>
      </c>
      <c r="Q350" s="3">
        <f>O350*K350</f>
        <v/>
      </c>
      <c r="R350" s="3">
        <f>P350-Q350</f>
        <v/>
      </c>
      <c r="S350" s="3" t="n">
        <v>19.02</v>
      </c>
      <c r="T350" s="3" t="n">
        <v>2.99</v>
      </c>
      <c r="U350" s="3" t="n">
        <v>0</v>
      </c>
      <c r="V350" s="3" t="n">
        <v>1.05</v>
      </c>
      <c r="W350" s="3" t="n">
        <v>0</v>
      </c>
      <c r="X350" s="2" t="n">
        <v>1</v>
      </c>
      <c r="Y350" s="2" t="n"/>
      <c r="Z350" s="2" t="inlineStr">
        <is>
          <t>TEMU</t>
        </is>
      </c>
      <c r="AA350" s="2" t="inlineStr">
        <is>
          <t>TEMU</t>
        </is>
      </c>
      <c r="AB350" s="2" t="inlineStr">
        <is>
          <t>31 St. James Avenue, Suite 355, Boston, MA 02116</t>
        </is>
      </c>
      <c r="AC350" s="2" t="inlineStr">
        <is>
          <t>CN</t>
        </is>
      </c>
      <c r="AD350" s="2" t="n"/>
      <c r="AE350" s="2" t="n"/>
      <c r="AF350" s="2" t="n"/>
      <c r="AG350" s="2" t="n"/>
      <c r="AH350" s="2" t="n"/>
      <c r="AI350" s="2" t="n"/>
      <c r="AJ350" s="2" t="n"/>
      <c r="AK350" s="2" t="inlineStr">
        <is>
          <t>61034290</t>
        </is>
      </c>
    </row>
    <row r="351">
      <c r="A351" s="4" t="n"/>
      <c r="B351" s="4" t="n"/>
      <c r="C351" s="4" t="n"/>
      <c r="D351" s="4" t="n"/>
      <c r="E351" s="4" t="n"/>
      <c r="F351" s="4" t="inlineStr">
        <is>
          <t>61034290</t>
        </is>
      </c>
      <c r="G351" s="4" t="n"/>
      <c r="H351" s="4" t="n"/>
      <c r="I351" s="4" t="inlineStr">
        <is>
          <t>TEMU-1</t>
        </is>
      </c>
      <c r="J351" s="4" t="inlineStr">
        <is>
          <t>Item details (1) SOCEM we po ae Suntlower Throw Fallow Cavers Set of 4, Summe...</t>
        </is>
      </c>
      <c r="K351" s="4" t="n">
        <v>0</v>
      </c>
      <c r="L351" s="4" t="n"/>
      <c r="M351" s="4" t="n"/>
      <c r="N351" s="4" t="inlineStr">
        <is>
          <t>USD</t>
        </is>
      </c>
      <c r="O351" s="5" t="n">
        <v>14.98</v>
      </c>
      <c r="P351" s="5" t="n">
        <v>14.98</v>
      </c>
      <c r="Q351" s="5">
        <f>O351*K351</f>
        <v/>
      </c>
      <c r="R351" s="5">
        <f>P351-Q351</f>
        <v/>
      </c>
      <c r="S351" s="4" t="n"/>
      <c r="T351" s="4" t="n"/>
      <c r="U351" s="4" t="n"/>
      <c r="V351" s="4" t="n"/>
      <c r="W351" s="4" t="n"/>
      <c r="X351" s="4" t="n"/>
      <c r="Y351" s="4" t="n"/>
      <c r="Z351" s="4" t="n"/>
      <c r="AA351" s="4" t="n"/>
      <c r="AB351" s="4" t="n"/>
      <c r="AC351" s="4" t="n"/>
      <c r="AD351" s="4" t="n"/>
      <c r="AE351" s="4" t="n"/>
      <c r="AF351" s="4" t="n"/>
      <c r="AG351" s="4" t="n"/>
      <c r="AH351" s="4" t="n"/>
      <c r="AI351" s="4" t="n"/>
      <c r="AJ351" s="4" t="n"/>
      <c r="AK351" s="4" t="n"/>
    </row>
    <row r="352">
      <c r="A352" s="6" t="n"/>
      <c r="B352" s="6" t="n"/>
      <c r="C352" s="6" t="n"/>
      <c r="D352" s="6" t="n"/>
      <c r="E352" s="6" t="n"/>
      <c r="F352" s="6" t="n"/>
      <c r="G352" s="6" t="n"/>
      <c r="H352" s="6" t="n"/>
      <c r="I352" s="6" t="n"/>
      <c r="J352" s="6" t="inlineStr">
        <is>
          <t>SUBTOTAL (GROUPED)</t>
        </is>
      </c>
      <c r="K352" s="6" t="n"/>
      <c r="L352" s="6" t="n"/>
      <c r="M352" s="6" t="n"/>
      <c r="N352" s="6" t="n"/>
      <c r="O352" s="6" t="n"/>
      <c r="P352" s="7">
        <f>P350</f>
        <v/>
      </c>
      <c r="Q352" s="7">
        <f>Q350</f>
        <v/>
      </c>
      <c r="R352" s="6" t="n"/>
      <c r="S352" s="6" t="n"/>
      <c r="T352" s="6" t="n"/>
      <c r="U352" s="6" t="n"/>
      <c r="V352" s="6" t="n"/>
      <c r="W352" s="6" t="n"/>
      <c r="X352" s="6" t="n"/>
      <c r="Y352" s="6" t="n"/>
      <c r="Z352" s="6" t="n"/>
      <c r="AA352" s="6" t="n"/>
      <c r="AB352" s="6" t="n"/>
      <c r="AC352" s="6" t="n"/>
      <c r="AD352" s="6" t="n"/>
      <c r="AE352" s="6" t="n"/>
      <c r="AF352" s="6" t="n"/>
      <c r="AG352" s="6" t="n"/>
      <c r="AH352" s="6" t="n"/>
      <c r="AI352" s="6" t="n"/>
      <c r="AJ352" s="6" t="n"/>
      <c r="AK352" s="6" t="n"/>
    </row>
    <row r="353">
      <c r="A353" s="6" t="n"/>
      <c r="B353" s="6" t="n"/>
      <c r="C353" s="6" t="n"/>
      <c r="D353" s="6" t="n"/>
      <c r="E353" s="6" t="n"/>
      <c r="F353" s="6" t="n"/>
      <c r="G353" s="6" t="n"/>
      <c r="H353" s="6" t="n"/>
      <c r="I353" s="6" t="n"/>
      <c r="J353" s="6" t="inlineStr">
        <is>
          <t>SUBTOTAL (DETAILS)</t>
        </is>
      </c>
      <c r="K353" s="6" t="n"/>
      <c r="L353" s="6" t="n"/>
      <c r="M353" s="6" t="n"/>
      <c r="N353" s="6" t="n"/>
      <c r="O353" s="6" t="n"/>
      <c r="P353" s="7">
        <f>SUM(P350:P351)-P352</f>
        <v/>
      </c>
      <c r="Q353" s="7">
        <f>SUM(Q350:Q351)-Q352</f>
        <v/>
      </c>
      <c r="R353" s="6" t="n"/>
      <c r="S353" s="6" t="n"/>
      <c r="T353" s="6" t="n"/>
      <c r="U353" s="6" t="n"/>
      <c r="V353" s="6" t="n"/>
      <c r="W353" s="6" t="n"/>
      <c r="X353" s="6" t="n"/>
      <c r="Y353" s="6" t="n"/>
      <c r="Z353" s="6" t="n"/>
      <c r="AA353" s="6" t="n"/>
      <c r="AB353" s="6" t="n"/>
      <c r="AC353" s="6" t="n"/>
      <c r="AD353" s="6" t="n"/>
      <c r="AE353" s="6" t="n"/>
      <c r="AF353" s="6" t="n"/>
      <c r="AG353" s="6" t="n"/>
      <c r="AH353" s="6" t="n"/>
      <c r="AI353" s="6" t="n"/>
      <c r="AJ353" s="6" t="n"/>
      <c r="AK353" s="6" t="n"/>
    </row>
    <row r="354">
      <c r="A354" s="8" t="n"/>
      <c r="B354" s="8" t="n"/>
      <c r="C354" s="8" t="n"/>
      <c r="D354" s="8" t="n"/>
      <c r="E354" s="8" t="n"/>
      <c r="F354" s="8" t="n"/>
      <c r="G354" s="8" t="n"/>
      <c r="H354" s="8" t="n"/>
      <c r="I354" s="8" t="n"/>
      <c r="J354" s="8" t="inlineStr">
        <is>
          <t>GROUP VERIFICATION</t>
        </is>
      </c>
      <c r="K354" s="8" t="n"/>
      <c r="L354" s="8" t="n"/>
      <c r="M354" s="8" t="n"/>
      <c r="N354" s="8" t="n"/>
      <c r="O354" s="8" t="n"/>
      <c r="P354" s="9">
        <f>P352-P353</f>
        <v/>
      </c>
      <c r="Q354" s="9">
        <f>Q352-Q353</f>
        <v/>
      </c>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row>
    <row r="355"/>
    <row r="356">
      <c r="A356" s="6" t="n"/>
      <c r="B356" s="6" t="n"/>
      <c r="C356" s="6" t="n"/>
      <c r="D356" s="6" t="n"/>
      <c r="E356" s="6" t="n"/>
      <c r="F356" s="6" t="n"/>
      <c r="G356" s="6" t="n"/>
      <c r="H356" s="6" t="n"/>
      <c r="I356" s="6" t="n"/>
      <c r="J356" s="6" t="inlineStr">
        <is>
          <t>TOTAL INTERNAL FREIGHT</t>
        </is>
      </c>
      <c r="K356" s="6" t="n"/>
      <c r="L356" s="6" t="n"/>
      <c r="M356" s="6" t="n"/>
      <c r="N356" s="6" t="n"/>
      <c r="O356" s="6" t="n"/>
      <c r="P356" s="7" t="n">
        <v>2.99</v>
      </c>
      <c r="Q356" s="7" t="n"/>
      <c r="R356" s="6" t="n"/>
      <c r="S356" s="6" t="n"/>
      <c r="T356" s="6" t="n"/>
      <c r="U356" s="6" t="n"/>
      <c r="V356" s="6" t="n"/>
      <c r="W356" s="6" t="n"/>
      <c r="X356" s="6" t="n"/>
      <c r="Y356" s="6" t="n"/>
      <c r="Z356" s="6" t="n"/>
      <c r="AA356" s="6" t="n"/>
      <c r="AB356" s="6" t="n"/>
      <c r="AC356" s="6" t="n"/>
      <c r="AD356" s="6" t="n"/>
      <c r="AE356" s="6" t="n"/>
      <c r="AF356" s="6" t="n"/>
      <c r="AG356" s="6" t="n"/>
      <c r="AH356" s="6" t="n"/>
      <c r="AI356" s="6" t="n"/>
      <c r="AJ356" s="6" t="n"/>
      <c r="AK356" s="6" t="n"/>
    </row>
    <row r="357">
      <c r="A357" s="6" t="n"/>
      <c r="B357" s="6" t="n"/>
      <c r="C357" s="6" t="n"/>
      <c r="D357" s="6" t="n"/>
      <c r="E357" s="6" t="n"/>
      <c r="F357" s="6" t="n"/>
      <c r="G357" s="6" t="n"/>
      <c r="H357" s="6" t="n"/>
      <c r="I357" s="6" t="n"/>
      <c r="J357" s="6" t="inlineStr">
        <is>
          <t>TOTAL INSURANCE</t>
        </is>
      </c>
      <c r="K357" s="6" t="n"/>
      <c r="L357" s="6" t="n"/>
      <c r="M357" s="6" t="n"/>
      <c r="N357" s="6" t="n"/>
      <c r="O357" s="6" t="n"/>
      <c r="P357" s="7" t="n">
        <v>0</v>
      </c>
      <c r="Q357" s="7" t="n"/>
      <c r="R357" s="6" t="n"/>
      <c r="S357" s="6" t="n"/>
      <c r="T357" s="6" t="n"/>
      <c r="U357" s="6" t="n"/>
      <c r="V357" s="6" t="n"/>
      <c r="W357" s="6" t="n"/>
      <c r="X357" s="6" t="n"/>
      <c r="Y357" s="6" t="n"/>
      <c r="Z357" s="6" t="n"/>
      <c r="AA357" s="6" t="n"/>
      <c r="AB357" s="6" t="n"/>
      <c r="AC357" s="6" t="n"/>
      <c r="AD357" s="6" t="n"/>
      <c r="AE357" s="6" t="n"/>
      <c r="AF357" s="6" t="n"/>
      <c r="AG357" s="6" t="n"/>
      <c r="AH357" s="6" t="n"/>
      <c r="AI357" s="6" t="n"/>
      <c r="AJ357" s="6" t="n"/>
      <c r="AK357" s="6" t="n"/>
    </row>
    <row r="358">
      <c r="A358" s="6" t="n"/>
      <c r="B358" s="6" t="n"/>
      <c r="C358" s="6" t="n"/>
      <c r="D358" s="6" t="n"/>
      <c r="E358" s="6" t="n"/>
      <c r="F358" s="6" t="n"/>
      <c r="G358" s="6" t="n"/>
      <c r="H358" s="6" t="n"/>
      <c r="I358" s="6" t="n"/>
      <c r="J358" s="6" t="inlineStr">
        <is>
          <t>TOTAL OTHER COST</t>
        </is>
      </c>
      <c r="K358" s="6" t="n"/>
      <c r="L358" s="6" t="n"/>
      <c r="M358" s="6" t="n"/>
      <c r="N358" s="6" t="n"/>
      <c r="O358" s="6" t="n"/>
      <c r="P358" s="7" t="n">
        <v>1.05</v>
      </c>
      <c r="Q358" s="7" t="n"/>
      <c r="R358" s="6" t="n"/>
      <c r="S358" s="6" t="n"/>
      <c r="T358" s="6" t="n"/>
      <c r="U358" s="6" t="n"/>
      <c r="V358" s="6" t="n"/>
      <c r="W358" s="6" t="n"/>
      <c r="X358" s="6" t="n"/>
      <c r="Y358" s="6" t="n"/>
      <c r="Z358" s="6" t="n"/>
      <c r="AA358" s="6" t="n"/>
      <c r="AB358" s="6" t="n"/>
      <c r="AC358" s="6" t="n"/>
      <c r="AD358" s="6" t="n"/>
      <c r="AE358" s="6" t="n"/>
      <c r="AF358" s="6" t="n"/>
      <c r="AG358" s="6" t="n"/>
      <c r="AH358" s="6" t="n"/>
      <c r="AI358" s="6" t="n"/>
      <c r="AJ358" s="6" t="n"/>
      <c r="AK358" s="6" t="n"/>
    </row>
    <row r="359">
      <c r="A359" s="6" t="n"/>
      <c r="B359" s="6" t="n"/>
      <c r="C359" s="6" t="n"/>
      <c r="D359" s="6" t="n"/>
      <c r="E359" s="6" t="n"/>
      <c r="F359" s="6" t="n"/>
      <c r="G359" s="6" t="n"/>
      <c r="H359" s="6" t="n"/>
      <c r="I359" s="6" t="n"/>
      <c r="J359" s="6" t="inlineStr">
        <is>
          <t>TOTAL DEDUCTION</t>
        </is>
      </c>
      <c r="K359" s="6" t="n"/>
      <c r="L359" s="6" t="n"/>
      <c r="M359" s="6" t="n"/>
      <c r="N359" s="6" t="n"/>
      <c r="O359" s="6" t="n"/>
      <c r="P359" s="7" t="n">
        <v>0</v>
      </c>
      <c r="Q359" s="7" t="n"/>
      <c r="R359" s="6" t="n"/>
      <c r="S359" s="6" t="n"/>
      <c r="T359" s="6" t="n"/>
      <c r="U359" s="6" t="n"/>
      <c r="V359" s="6" t="n"/>
      <c r="W359" s="6" t="n"/>
      <c r="X359" s="6" t="n"/>
      <c r="Y359" s="6" t="n"/>
      <c r="Z359" s="6" t="n"/>
      <c r="AA359" s="6" t="n"/>
      <c r="AB359" s="6" t="n"/>
      <c r="AC359" s="6" t="n"/>
      <c r="AD359" s="6" t="n"/>
      <c r="AE359" s="6" t="n"/>
      <c r="AF359" s="6" t="n"/>
      <c r="AG359" s="6" t="n"/>
      <c r="AH359" s="6" t="n"/>
      <c r="AI359" s="6" t="n"/>
      <c r="AJ359" s="6" t="n"/>
      <c r="AK359" s="6" t="n"/>
    </row>
    <row r="360">
      <c r="A360" s="6" t="n"/>
      <c r="B360" s="6" t="n"/>
      <c r="C360" s="6" t="n"/>
      <c r="D360" s="6" t="n"/>
      <c r="E360" s="6" t="n"/>
      <c r="F360" s="6" t="n"/>
      <c r="G360" s="6" t="n"/>
      <c r="H360" s="6" t="n"/>
      <c r="I360" s="6" t="n"/>
      <c r="J360" s="6" t="inlineStr">
        <is>
          <t>ADJUSTMENTS</t>
        </is>
      </c>
      <c r="K360" s="6" t="n"/>
      <c r="L360" s="6" t="n"/>
      <c r="M360" s="6" t="n"/>
      <c r="N360" s="6" t="n"/>
      <c r="O360" s="6" t="n"/>
      <c r="P360" s="7">
        <f>(T350+U350+V350-W350)</f>
        <v/>
      </c>
      <c r="Q360" s="7">
        <f>(T350+U350+V350-W350)</f>
        <v/>
      </c>
      <c r="R360" s="6" t="n"/>
      <c r="S360" s="6" t="n"/>
      <c r="T360" s="6" t="n"/>
      <c r="U360" s="6" t="n"/>
      <c r="V360" s="6" t="n"/>
      <c r="W360" s="6" t="n"/>
      <c r="X360" s="6" t="n"/>
      <c r="Y360" s="6" t="n"/>
      <c r="Z360" s="6" t="n"/>
      <c r="AA360" s="6" t="n"/>
      <c r="AB360" s="6" t="n"/>
      <c r="AC360" s="6" t="n"/>
      <c r="AD360" s="6" t="n"/>
      <c r="AE360" s="6" t="n"/>
      <c r="AF360" s="6" t="n"/>
      <c r="AG360" s="6" t="n"/>
      <c r="AH360" s="6" t="n"/>
      <c r="AI360" s="6" t="n"/>
      <c r="AJ360" s="6" t="n"/>
      <c r="AK360" s="6" t="n"/>
    </row>
    <row r="361"/>
    <row r="362">
      <c r="A362" s="6" t="n"/>
      <c r="B362" s="6" t="n"/>
      <c r="C362" s="6" t="n"/>
      <c r="D362" s="6" t="n"/>
      <c r="E362" s="6" t="n"/>
      <c r="F362" s="6" t="n"/>
      <c r="G362" s="6" t="n"/>
      <c r="H362" s="6" t="n"/>
      <c r="I362" s="6" t="n"/>
      <c r="J362" s="6" t="inlineStr">
        <is>
          <t>NET TOTAL</t>
        </is>
      </c>
      <c r="K362" s="6" t="n"/>
      <c r="L362" s="6" t="n"/>
      <c r="M362" s="6" t="n"/>
      <c r="N362" s="6" t="n"/>
      <c r="O362" s="6" t="n"/>
      <c r="P362" s="7">
        <f>P352+P360</f>
        <v/>
      </c>
      <c r="Q362" s="7">
        <f>Q352+Q360</f>
        <v/>
      </c>
      <c r="R362" s="6" t="n"/>
      <c r="S362" s="6" t="n"/>
      <c r="T362" s="6" t="n"/>
      <c r="U362" s="6" t="n"/>
      <c r="V362" s="6" t="n"/>
      <c r="W362" s="6" t="n"/>
      <c r="X362" s="6" t="n"/>
      <c r="Y362" s="6" t="n"/>
      <c r="Z362" s="6" t="n"/>
      <c r="AA362" s="6" t="n"/>
      <c r="AB362" s="6" t="n"/>
      <c r="AC362" s="6" t="n"/>
      <c r="AD362" s="6" t="n"/>
      <c r="AE362" s="6" t="n"/>
      <c r="AF362" s="6" t="n"/>
      <c r="AG362" s="6" t="n"/>
      <c r="AH362" s="6" t="n"/>
      <c r="AI362" s="6" t="n"/>
      <c r="AJ362" s="6" t="n"/>
      <c r="AK362" s="6" t="n"/>
    </row>
    <row r="363">
      <c r="A363" s="6" t="n"/>
      <c r="B363" s="6" t="n"/>
      <c r="C363" s="6" t="n"/>
      <c r="D363" s="6" t="n"/>
      <c r="E363" s="6" t="n"/>
      <c r="F363" s="6" t="n"/>
      <c r="G363" s="6" t="n"/>
      <c r="H363" s="6" t="n"/>
      <c r="I363" s="6" t="n"/>
      <c r="J363" s="6" t="inlineStr">
        <is>
          <t>INVOICE TOTAL</t>
        </is>
      </c>
      <c r="K363" s="6" t="n"/>
      <c r="L363" s="6" t="n"/>
      <c r="M363" s="6" t="n"/>
      <c r="N363" s="6" t="n"/>
      <c r="O363" s="6" t="n"/>
      <c r="P363" s="7">
        <f>S350</f>
        <v/>
      </c>
      <c r="Q363" s="7" t="n"/>
      <c r="R363" s="6" t="n"/>
      <c r="S363" s="6" t="n"/>
      <c r="T363" s="6" t="n"/>
      <c r="U363" s="6" t="n"/>
      <c r="V363" s="6" t="n"/>
      <c r="W363" s="6" t="n"/>
      <c r="X363" s="6" t="n"/>
      <c r="Y363" s="6" t="n"/>
      <c r="Z363" s="6" t="n"/>
      <c r="AA363" s="6" t="n"/>
      <c r="AB363" s="6" t="n"/>
      <c r="AC363" s="6" t="n"/>
      <c r="AD363" s="6" t="n"/>
      <c r="AE363" s="6" t="n"/>
      <c r="AF363" s="6" t="n"/>
      <c r="AG363" s="6" t="n"/>
      <c r="AH363" s="6" t="n"/>
      <c r="AI363" s="6" t="n"/>
      <c r="AJ363" s="6" t="n"/>
      <c r="AK363" s="6" t="n"/>
    </row>
    <row r="364"/>
    <row r="365">
      <c r="A365" s="10" t="n"/>
      <c r="B365" s="10" t="n"/>
      <c r="C365" s="10" t="n"/>
      <c r="D365" s="10" t="n"/>
      <c r="E365" s="10" t="n"/>
      <c r="F365" s="10" t="n"/>
      <c r="G365" s="10" t="n"/>
      <c r="H365" s="10" t="n"/>
      <c r="I365" s="10" t="n"/>
      <c r="J365" s="10" t="inlineStr">
        <is>
          <t>VARIANCE CHECK</t>
        </is>
      </c>
      <c r="K365" s="10" t="n"/>
      <c r="L365" s="10" t="n"/>
      <c r="M365" s="10" t="n"/>
      <c r="N365" s="10" t="n"/>
      <c r="O365" s="10" t="n"/>
      <c r="P365" s="11">
        <f>S350-P362</f>
        <v/>
      </c>
      <c r="Q365" s="11">
        <f>S350-Q362</f>
        <v/>
      </c>
      <c r="R365" s="10" t="n"/>
      <c r="S365" s="10" t="n"/>
      <c r="T365" s="10" t="n"/>
      <c r="U365" s="10" t="n"/>
      <c r="V365" s="10" t="n"/>
      <c r="W365" s="10" t="n"/>
      <c r="X365" s="10" t="n"/>
      <c r="Y365" s="10" t="n"/>
      <c r="Z365" s="10" t="n"/>
      <c r="AA365" s="10" t="n"/>
      <c r="AB365" s="10" t="n"/>
      <c r="AC365" s="10" t="n"/>
      <c r="AD365" s="10" t="n"/>
      <c r="AE365" s="10" t="n"/>
      <c r="AF365" s="10" t="n"/>
      <c r="AG365" s="10" t="n"/>
      <c r="AH365" s="10" t="n"/>
      <c r="AI365" s="10" t="n"/>
      <c r="AJ365" s="10" t="n"/>
      <c r="AK365" s="10" t="n"/>
    </row>
    <row r="366"/>
    <row r="367">
      <c r="A367" s="14" t="n"/>
      <c r="B367" s="14" t="n"/>
      <c r="C367" s="14" t="n"/>
      <c r="D367" s="14" t="n"/>
      <c r="E367" s="14" t="n"/>
      <c r="F367" s="14" t="n"/>
      <c r="G367" s="14" t="n"/>
      <c r="H367" s="14" t="n"/>
      <c r="I367" s="14" t="n"/>
      <c r="J367" s="14" t="inlineStr">
        <is>
          <t>DUTY ESTIMATION (Classification Cross-Check)</t>
        </is>
      </c>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c r="AH367" s="14" t="n"/>
      <c r="AI367" s="14" t="n"/>
      <c r="AJ367" s="14" t="n"/>
      <c r="AK367" s="14" t="n"/>
    </row>
    <row r="368">
      <c r="A368" s="15" t="n"/>
      <c r="B368" s="15" t="n"/>
      <c r="C368" s="15" t="n"/>
      <c r="D368" s="15" t="n"/>
      <c r="E368" s="15" t="n"/>
      <c r="F368" s="15" t="n"/>
      <c r="G368" s="15" t="n"/>
      <c r="H368" s="15" t="n"/>
      <c r="I368" s="15" t="n"/>
      <c r="J368" s="16" t="inlineStr">
        <is>
          <t>CIF (USD) = InvTotal + Freight + Insurance</t>
        </is>
      </c>
      <c r="K368" s="15" t="n"/>
      <c r="L368" s="15" t="n"/>
      <c r="M368" s="15" t="n"/>
      <c r="N368" s="15" t="n"/>
      <c r="O368" s="15" t="n"/>
      <c r="P368" s="17" t="n">
        <v>19.02</v>
      </c>
      <c r="Q368" s="15" t="n"/>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row>
    <row r="369">
      <c r="A369" s="15" t="n"/>
      <c r="B369" s="15" t="n"/>
      <c r="C369" s="15" t="n"/>
      <c r="D369" s="15" t="n"/>
      <c r="E369" s="15" t="n"/>
      <c r="F369" s="15" t="n"/>
      <c r="G369" s="15" t="n"/>
      <c r="H369" s="15" t="n"/>
      <c r="I369" s="15" t="n"/>
      <c r="J369" s="16" t="inlineStr">
        <is>
          <t>CIF (XCD) = CIF × 2.7169</t>
        </is>
      </c>
      <c r="K369" s="15" t="n"/>
      <c r="L369" s="15" t="n"/>
      <c r="M369" s="15" t="n"/>
      <c r="N369" s="15" t="n"/>
      <c r="O369" s="15" t="n"/>
      <c r="P369" s="17" t="n">
        <v>51.68</v>
      </c>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row>
    <row r="370">
      <c r="A370" s="15" t="n"/>
      <c r="B370" s="15" t="n"/>
      <c r="C370" s="15" t="n"/>
      <c r="D370" s="15" t="n"/>
      <c r="E370" s="15" t="n"/>
      <c r="F370" s="15" t="n"/>
      <c r="G370" s="15" t="n"/>
      <c r="H370" s="15" t="n"/>
      <c r="I370" s="15" t="n"/>
      <c r="J370" s="16" t="inlineStr">
        <is>
          <t>CET (20%) — Tariff 61034290</t>
        </is>
      </c>
      <c r="K370" s="15" t="n"/>
      <c r="L370" s="15" t="n"/>
      <c r="M370" s="15" t="n"/>
      <c r="N370" s="15" t="n"/>
      <c r="O370" s="15" t="n"/>
      <c r="P370" s="17" t="n">
        <v>10.34</v>
      </c>
      <c r="Q370" s="15" t="n"/>
      <c r="R370" s="15" t="n"/>
      <c r="S370" s="15" t="n"/>
      <c r="T370" s="15" t="n"/>
      <c r="U370" s="15" t="n"/>
      <c r="V370" s="15" t="n"/>
      <c r="W370" s="15" t="n"/>
      <c r="X370" s="15" t="n"/>
      <c r="Y370" s="15" t="n"/>
      <c r="Z370" s="15" t="n"/>
      <c r="AA370" s="15" t="n"/>
      <c r="AB370" s="15" t="n"/>
      <c r="AC370" s="15" t="n"/>
      <c r="AD370" s="15" t="n"/>
      <c r="AE370" s="15" t="n"/>
      <c r="AF370" s="15" t="n"/>
      <c r="AG370" s="15" t="n"/>
      <c r="AH370" s="15" t="n"/>
      <c r="AI370" s="15" t="n"/>
      <c r="AJ370" s="15" t="n"/>
      <c r="AK370" s="15" t="n"/>
    </row>
    <row r="371">
      <c r="A371" s="15" t="n"/>
      <c r="B371" s="15" t="n"/>
      <c r="C371" s="15" t="n"/>
      <c r="D371" s="15" t="n"/>
      <c r="E371" s="15" t="n"/>
      <c r="F371" s="15" t="n"/>
      <c r="G371" s="15" t="n"/>
      <c r="H371" s="15" t="n"/>
      <c r="I371" s="15" t="n"/>
      <c r="J371" s="16" t="inlineStr">
        <is>
          <t>CSC (6%)</t>
        </is>
      </c>
      <c r="K371" s="15" t="n"/>
      <c r="L371" s="15" t="n"/>
      <c r="M371" s="15" t="n"/>
      <c r="N371" s="15" t="n"/>
      <c r="O371" s="15" t="n"/>
      <c r="P371" s="17" t="n">
        <v>3.1</v>
      </c>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row>
    <row r="372">
      <c r="A372" s="15" t="n"/>
      <c r="B372" s="15" t="n"/>
      <c r="C372" s="15" t="n"/>
      <c r="D372" s="15" t="n"/>
      <c r="E372" s="15" t="n"/>
      <c r="F372" s="15" t="n"/>
      <c r="G372" s="15" t="n"/>
      <c r="H372" s="15" t="n"/>
      <c r="I372" s="15" t="n"/>
      <c r="J372" s="16" t="inlineStr">
        <is>
          <t>VAT (15%) on CIF+CET+CSC</t>
        </is>
      </c>
      <c r="K372" s="15" t="n"/>
      <c r="L372" s="15" t="n"/>
      <c r="M372" s="15" t="n"/>
      <c r="N372" s="15" t="n"/>
      <c r="O372" s="15" t="n"/>
      <c r="P372" s="17" t="n">
        <v>9.77</v>
      </c>
      <c r="Q372" s="15" t="n"/>
      <c r="R372" s="15" t="n"/>
      <c r="S372" s="15" t="n"/>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row>
    <row r="373">
      <c r="A373" s="18" t="n"/>
      <c r="B373" s="18" t="n"/>
      <c r="C373" s="18" t="n"/>
      <c r="D373" s="18" t="n"/>
      <c r="E373" s="18" t="n"/>
      <c r="F373" s="18" t="n"/>
      <c r="G373" s="18" t="n"/>
      <c r="H373" s="18" t="n"/>
      <c r="I373" s="18" t="n"/>
      <c r="J373" s="14" t="inlineStr">
        <is>
          <t>ESTIMATED TOTAL DUTIES</t>
        </is>
      </c>
      <c r="K373" s="18" t="n"/>
      <c r="L373" s="18" t="n"/>
      <c r="M373" s="18" t="n"/>
      <c r="N373" s="18" t="n"/>
      <c r="O373" s="18" t="n"/>
      <c r="P373" s="19" t="n">
        <v>23.21</v>
      </c>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row>
    <row r="374">
      <c r="A374" s="15" t="n"/>
      <c r="B374" s="15" t="n"/>
      <c r="C374" s="15" t="n"/>
      <c r="D374" s="15" t="n"/>
      <c r="E374" s="15" t="n"/>
      <c r="F374" s="15" t="n"/>
      <c r="G374" s="15" t="n"/>
      <c r="H374" s="15" t="n"/>
      <c r="I374" s="15" t="n"/>
      <c r="J374" s="16" t="inlineStr">
        <is>
          <t>Effective Duty Rate</t>
        </is>
      </c>
      <c r="K374" s="15" t="n"/>
      <c r="L374" s="15" t="n"/>
      <c r="M374" s="15" t="n"/>
      <c r="N374" s="15" t="n"/>
      <c r="O374" s="15" t="n"/>
      <c r="P374" s="20" t="n">
        <v>0.4491099071207431</v>
      </c>
      <c r="Q374" s="15" t="n"/>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c r="AA375" s="21" t="n"/>
      <c r="AB375" s="21" t="n"/>
      <c r="AC375" s="21" t="n"/>
      <c r="AD375" s="21" t="n"/>
      <c r="AE375" s="21" t="n"/>
      <c r="AF375" s="21" t="n"/>
      <c r="AG375" s="21" t="n"/>
      <c r="AH375" s="21" t="n"/>
      <c r="AI375" s="21" t="n"/>
      <c r="AJ375" s="21" t="n"/>
      <c r="AK375" s="21" t="n"/>
    </row>
    <row r="376">
      <c r="A376" s="2" t="inlineStr">
        <is>
          <t>4000-000</t>
        </is>
      </c>
      <c r="B376" s="2" t="n"/>
      <c r="C376" s="2" t="inlineStr">
        <is>
          <t>INVUS20240717002005488</t>
        </is>
      </c>
      <c r="D376" s="2" t="inlineStr">
        <is>
          <t>2024-07-17</t>
        </is>
      </c>
      <c r="E376" s="2" t="inlineStr">
        <is>
          <t>PERFUMES &amp; COLOGNES</t>
        </is>
      </c>
      <c r="F376" s="2" t="inlineStr">
        <is>
          <t>33030000</t>
        </is>
      </c>
      <c r="G376" s="2" t="n"/>
      <c r="H376" s="2" t="n"/>
      <c r="I376" s="2" t="inlineStr">
        <is>
          <t>33030000</t>
        </is>
      </c>
      <c r="J376" s="2" t="inlineStr">
        <is>
          <t>2ML 10 Sample Women' Perfume With 10 Fragrances, Lasting Fragrance, Rose And ... (1 items)</t>
        </is>
      </c>
      <c r="K376" s="2" t="n">
        <v>1</v>
      </c>
      <c r="L376" s="2" t="n"/>
      <c r="M376" s="2" t="n"/>
      <c r="N376" s="2" t="inlineStr">
        <is>
          <t>USD</t>
        </is>
      </c>
      <c r="O376" s="3" t="n">
        <v>1.35</v>
      </c>
      <c r="P376" s="3" t="n">
        <v>1.35</v>
      </c>
      <c r="Q376" s="3">
        <f>O376*K376</f>
        <v/>
      </c>
      <c r="R376" s="3">
        <f>P376-Q376</f>
        <v/>
      </c>
      <c r="S376" s="3" t="n">
        <v>1.44</v>
      </c>
      <c r="T376" s="3" t="n">
        <v>0</v>
      </c>
      <c r="U376" s="3" t="n">
        <v>0</v>
      </c>
      <c r="V376" s="3" t="n">
        <v>0.09</v>
      </c>
      <c r="W376" s="3" t="n">
        <v>0</v>
      </c>
      <c r="X376" s="2" t="n">
        <v>1</v>
      </c>
      <c r="Y376" s="2" t="n"/>
      <c r="Z376" s="2" t="inlineStr">
        <is>
          <t>SHEIN</t>
        </is>
      </c>
      <c r="AA376" s="2" t="inlineStr">
        <is>
          <t>SHEIN US Services, LLC</t>
        </is>
      </c>
      <c r="AB376" s="2" t="inlineStr">
        <is>
          <t>777 S. Alameda St., Second Floor, Los Angeles, CA 90021</t>
        </is>
      </c>
      <c r="AC376" s="2" t="inlineStr">
        <is>
          <t>US</t>
        </is>
      </c>
      <c r="AD376" s="2" t="n"/>
      <c r="AE376" s="2" t="n"/>
      <c r="AF376" s="2" t="n"/>
      <c r="AG376" s="2" t="n"/>
      <c r="AH376" s="2" t="n"/>
      <c r="AI376" s="2" t="n"/>
      <c r="AJ376" s="2" t="n"/>
      <c r="AK376" s="2" t="inlineStr">
        <is>
          <t>33030000</t>
        </is>
      </c>
    </row>
    <row r="377">
      <c r="A377" s="4" t="n"/>
      <c r="B377" s="4" t="n"/>
      <c r="C377" s="4" t="n"/>
      <c r="D377" s="4" t="n"/>
      <c r="E377" s="4" t="n"/>
      <c r="F377" s="4" t="inlineStr">
        <is>
          <t>33030000</t>
        </is>
      </c>
      <c r="G377" s="4" t="n"/>
      <c r="H377" s="4" t="n"/>
      <c r="I377" s="4" t="inlineStr">
        <is>
          <t>SHEIN-1</t>
        </is>
      </c>
      <c r="J377" s="4" t="inlineStr">
        <is>
          <t>2ML 10 Sample Women' Perfume With 10 Fragrances, Lasting Fragrance, Rose And ...</t>
        </is>
      </c>
      <c r="K377" s="4" t="n">
        <v>1</v>
      </c>
      <c r="L377" s="4" t="n"/>
      <c r="M377" s="4" t="n"/>
      <c r="N377" s="4" t="inlineStr">
        <is>
          <t>USD</t>
        </is>
      </c>
      <c r="O377" s="5" t="n">
        <v>1.35</v>
      </c>
      <c r="P377" s="5" t="n">
        <v>1.35</v>
      </c>
      <c r="Q377" s="5">
        <f>O377*K377</f>
        <v/>
      </c>
      <c r="R377" s="5">
        <f>P377-Q377</f>
        <v/>
      </c>
      <c r="S377" s="4" t="n"/>
      <c r="T377" s="4" t="n"/>
      <c r="U377" s="4" t="n"/>
      <c r="V377" s="4" t="n"/>
      <c r="W377" s="4" t="n"/>
      <c r="X377" s="4" t="n"/>
      <c r="Y377" s="4" t="n"/>
      <c r="Z377" s="4" t="n"/>
      <c r="AA377" s="4" t="n"/>
      <c r="AB377" s="4" t="n"/>
      <c r="AC377" s="4" t="n"/>
      <c r="AD377" s="4" t="n"/>
      <c r="AE377" s="4" t="n"/>
      <c r="AF377" s="4" t="n"/>
      <c r="AG377" s="4" t="n"/>
      <c r="AH377" s="4" t="n"/>
      <c r="AI377" s="4" t="n"/>
      <c r="AJ377" s="4" t="n"/>
      <c r="AK377" s="4" t="n"/>
    </row>
    <row r="378">
      <c r="A378" s="6" t="n"/>
      <c r="B378" s="6" t="n"/>
      <c r="C378" s="6" t="n"/>
      <c r="D378" s="6" t="n"/>
      <c r="E378" s="6" t="n"/>
      <c r="F378" s="6" t="n"/>
      <c r="G378" s="6" t="n"/>
      <c r="H378" s="6" t="n"/>
      <c r="I378" s="6" t="n"/>
      <c r="J378" s="6" t="inlineStr">
        <is>
          <t>SUBTOTAL (GROUPED)</t>
        </is>
      </c>
      <c r="K378" s="6" t="n"/>
      <c r="L378" s="6" t="n"/>
      <c r="M378" s="6" t="n"/>
      <c r="N378" s="6" t="n"/>
      <c r="O378" s="6" t="n"/>
      <c r="P378" s="7">
        <f>P376</f>
        <v/>
      </c>
      <c r="Q378" s="7">
        <f>Q376</f>
        <v/>
      </c>
      <c r="R378" s="6" t="n"/>
      <c r="S378" s="6" t="n"/>
      <c r="T378" s="6" t="n"/>
      <c r="U378" s="6" t="n"/>
      <c r="V378" s="6" t="n"/>
      <c r="W378" s="6" t="n"/>
      <c r="X378" s="6" t="n"/>
      <c r="Y378" s="6" t="n"/>
      <c r="Z378" s="6" t="n"/>
      <c r="AA378" s="6" t="n"/>
      <c r="AB378" s="6" t="n"/>
      <c r="AC378" s="6" t="n"/>
      <c r="AD378" s="6" t="n"/>
      <c r="AE378" s="6" t="n"/>
      <c r="AF378" s="6" t="n"/>
      <c r="AG378" s="6" t="n"/>
      <c r="AH378" s="6" t="n"/>
      <c r="AI378" s="6" t="n"/>
      <c r="AJ378" s="6" t="n"/>
      <c r="AK378" s="6" t="n"/>
    </row>
    <row r="379">
      <c r="A379" s="6" t="n"/>
      <c r="B379" s="6" t="n"/>
      <c r="C379" s="6" t="n"/>
      <c r="D379" s="6" t="n"/>
      <c r="E379" s="6" t="n"/>
      <c r="F379" s="6" t="n"/>
      <c r="G379" s="6" t="n"/>
      <c r="H379" s="6" t="n"/>
      <c r="I379" s="6" t="n"/>
      <c r="J379" s="6" t="inlineStr">
        <is>
          <t>SUBTOTAL (DETAILS)</t>
        </is>
      </c>
      <c r="K379" s="6" t="n"/>
      <c r="L379" s="6" t="n"/>
      <c r="M379" s="6" t="n"/>
      <c r="N379" s="6" t="n"/>
      <c r="O379" s="6" t="n"/>
      <c r="P379" s="7">
        <f>SUM(P376:P377)-P378</f>
        <v/>
      </c>
      <c r="Q379" s="7">
        <f>SUM(Q376:Q377)-Q378</f>
        <v/>
      </c>
      <c r="R379" s="6" t="n"/>
      <c r="S379" s="6" t="n"/>
      <c r="T379" s="6" t="n"/>
      <c r="U379" s="6" t="n"/>
      <c r="V379" s="6" t="n"/>
      <c r="W379" s="6" t="n"/>
      <c r="X379" s="6" t="n"/>
      <c r="Y379" s="6" t="n"/>
      <c r="Z379" s="6" t="n"/>
      <c r="AA379" s="6" t="n"/>
      <c r="AB379" s="6" t="n"/>
      <c r="AC379" s="6" t="n"/>
      <c r="AD379" s="6" t="n"/>
      <c r="AE379" s="6" t="n"/>
      <c r="AF379" s="6" t="n"/>
      <c r="AG379" s="6" t="n"/>
      <c r="AH379" s="6" t="n"/>
      <c r="AI379" s="6" t="n"/>
      <c r="AJ379" s="6" t="n"/>
      <c r="AK379" s="6" t="n"/>
    </row>
    <row r="380">
      <c r="A380" s="8" t="n"/>
      <c r="B380" s="8" t="n"/>
      <c r="C380" s="8" t="n"/>
      <c r="D380" s="8" t="n"/>
      <c r="E380" s="8" t="n"/>
      <c r="F380" s="8" t="n"/>
      <c r="G380" s="8" t="n"/>
      <c r="H380" s="8" t="n"/>
      <c r="I380" s="8" t="n"/>
      <c r="J380" s="8" t="inlineStr">
        <is>
          <t>GROUP VERIFICATION</t>
        </is>
      </c>
      <c r="K380" s="8" t="n"/>
      <c r="L380" s="8" t="n"/>
      <c r="M380" s="8" t="n"/>
      <c r="N380" s="8" t="n"/>
      <c r="O380" s="8" t="n"/>
      <c r="P380" s="9">
        <f>P378-P379</f>
        <v/>
      </c>
      <c r="Q380" s="9">
        <f>Q378-Q379</f>
        <v/>
      </c>
      <c r="R380" s="8" t="n"/>
      <c r="S380" s="8" t="n"/>
      <c r="T380" s="8" t="n"/>
      <c r="U380" s="8" t="n"/>
      <c r="V380" s="8" t="n"/>
      <c r="W380" s="8" t="n"/>
      <c r="X380" s="8" t="n"/>
      <c r="Y380" s="8" t="n"/>
      <c r="Z380" s="8" t="n"/>
      <c r="AA380" s="8" t="n"/>
      <c r="AB380" s="8" t="n"/>
      <c r="AC380" s="8" t="n"/>
      <c r="AD380" s="8" t="n"/>
      <c r="AE380" s="8" t="n"/>
      <c r="AF380" s="8" t="n"/>
      <c r="AG380" s="8" t="n"/>
      <c r="AH380" s="8" t="n"/>
      <c r="AI380" s="8" t="n"/>
      <c r="AJ380" s="8" t="n"/>
      <c r="AK380" s="8" t="n"/>
    </row>
    <row r="381"/>
    <row r="382">
      <c r="A382" s="6" t="n"/>
      <c r="B382" s="6" t="n"/>
      <c r="C382" s="6" t="n"/>
      <c r="D382" s="6" t="n"/>
      <c r="E382" s="6" t="n"/>
      <c r="F382" s="6" t="n"/>
      <c r="G382" s="6" t="n"/>
      <c r="H382" s="6" t="n"/>
      <c r="I382" s="6" t="n"/>
      <c r="J382" s="6" t="inlineStr">
        <is>
          <t>TOTAL INTERNAL FREIGHT</t>
        </is>
      </c>
      <c r="K382" s="6" t="n"/>
      <c r="L382" s="6" t="n"/>
      <c r="M382" s="6" t="n"/>
      <c r="N382" s="6" t="n"/>
      <c r="O382" s="6" t="n"/>
      <c r="P382" s="7" t="n">
        <v>0</v>
      </c>
      <c r="Q382" s="7" t="n"/>
      <c r="R382" s="6" t="n"/>
      <c r="S382" s="6" t="n"/>
      <c r="T382" s="6" t="n"/>
      <c r="U382" s="6" t="n"/>
      <c r="V382" s="6" t="n"/>
      <c r="W382" s="6" t="n"/>
      <c r="X382" s="6" t="n"/>
      <c r="Y382" s="6" t="n"/>
      <c r="Z382" s="6" t="n"/>
      <c r="AA382" s="6" t="n"/>
      <c r="AB382" s="6" t="n"/>
      <c r="AC382" s="6" t="n"/>
      <c r="AD382" s="6" t="n"/>
      <c r="AE382" s="6" t="n"/>
      <c r="AF382" s="6" t="n"/>
      <c r="AG382" s="6" t="n"/>
      <c r="AH382" s="6" t="n"/>
      <c r="AI382" s="6" t="n"/>
      <c r="AJ382" s="6" t="n"/>
      <c r="AK382" s="6" t="n"/>
    </row>
    <row r="383">
      <c r="A383" s="6" t="n"/>
      <c r="B383" s="6" t="n"/>
      <c r="C383" s="6" t="n"/>
      <c r="D383" s="6" t="n"/>
      <c r="E383" s="6" t="n"/>
      <c r="F383" s="6" t="n"/>
      <c r="G383" s="6" t="n"/>
      <c r="H383" s="6" t="n"/>
      <c r="I383" s="6" t="n"/>
      <c r="J383" s="6" t="inlineStr">
        <is>
          <t>TOTAL INSURANCE</t>
        </is>
      </c>
      <c r="K383" s="6" t="n"/>
      <c r="L383" s="6" t="n"/>
      <c r="M383" s="6" t="n"/>
      <c r="N383" s="6" t="n"/>
      <c r="O383" s="6" t="n"/>
      <c r="P383" s="7" t="n">
        <v>0</v>
      </c>
      <c r="Q383" s="7" t="n"/>
      <c r="R383" s="6" t="n"/>
      <c r="S383" s="6" t="n"/>
      <c r="T383" s="6" t="n"/>
      <c r="U383" s="6" t="n"/>
      <c r="V383" s="6" t="n"/>
      <c r="W383" s="6" t="n"/>
      <c r="X383" s="6" t="n"/>
      <c r="Y383" s="6" t="n"/>
      <c r="Z383" s="6" t="n"/>
      <c r="AA383" s="6" t="n"/>
      <c r="AB383" s="6" t="n"/>
      <c r="AC383" s="6" t="n"/>
      <c r="AD383" s="6" t="n"/>
      <c r="AE383" s="6" t="n"/>
      <c r="AF383" s="6" t="n"/>
      <c r="AG383" s="6" t="n"/>
      <c r="AH383" s="6" t="n"/>
      <c r="AI383" s="6" t="n"/>
      <c r="AJ383" s="6" t="n"/>
      <c r="AK383" s="6" t="n"/>
    </row>
    <row r="384">
      <c r="A384" s="6" t="n"/>
      <c r="B384" s="6" t="n"/>
      <c r="C384" s="6" t="n"/>
      <c r="D384" s="6" t="n"/>
      <c r="E384" s="6" t="n"/>
      <c r="F384" s="6" t="n"/>
      <c r="G384" s="6" t="n"/>
      <c r="H384" s="6" t="n"/>
      <c r="I384" s="6" t="n"/>
      <c r="J384" s="6" t="inlineStr">
        <is>
          <t>TOTAL OTHER COST</t>
        </is>
      </c>
      <c r="K384" s="6" t="n"/>
      <c r="L384" s="6" t="n"/>
      <c r="M384" s="6" t="n"/>
      <c r="N384" s="6" t="n"/>
      <c r="O384" s="6" t="n"/>
      <c r="P384" s="7" t="n">
        <v>0.09</v>
      </c>
      <c r="Q384" s="7" t="n"/>
      <c r="R384" s="6" t="n"/>
      <c r="S384" s="6" t="n"/>
      <c r="T384" s="6" t="n"/>
      <c r="U384" s="6" t="n"/>
      <c r="V384" s="6" t="n"/>
      <c r="W384" s="6" t="n"/>
      <c r="X384" s="6" t="n"/>
      <c r="Y384" s="6" t="n"/>
      <c r="Z384" s="6" t="n"/>
      <c r="AA384" s="6" t="n"/>
      <c r="AB384" s="6" t="n"/>
      <c r="AC384" s="6" t="n"/>
      <c r="AD384" s="6" t="n"/>
      <c r="AE384" s="6" t="n"/>
      <c r="AF384" s="6" t="n"/>
      <c r="AG384" s="6" t="n"/>
      <c r="AH384" s="6" t="n"/>
      <c r="AI384" s="6" t="n"/>
      <c r="AJ384" s="6" t="n"/>
      <c r="AK384" s="6" t="n"/>
    </row>
    <row r="385">
      <c r="A385" s="6" t="n"/>
      <c r="B385" s="6" t="n"/>
      <c r="C385" s="6" t="n"/>
      <c r="D385" s="6" t="n"/>
      <c r="E385" s="6" t="n"/>
      <c r="F385" s="6" t="n"/>
      <c r="G385" s="6" t="n"/>
      <c r="H385" s="6" t="n"/>
      <c r="I385" s="6" t="n"/>
      <c r="J385" s="6" t="inlineStr">
        <is>
          <t>TOTAL DEDUCTION</t>
        </is>
      </c>
      <c r="K385" s="6" t="n"/>
      <c r="L385" s="6" t="n"/>
      <c r="M385" s="6" t="n"/>
      <c r="N385" s="6" t="n"/>
      <c r="O385" s="6" t="n"/>
      <c r="P385" s="7" t="n">
        <v>0</v>
      </c>
      <c r="Q385" s="7" t="n"/>
      <c r="R385" s="6" t="n"/>
      <c r="S385" s="6" t="n"/>
      <c r="T385" s="6" t="n"/>
      <c r="U385" s="6" t="n"/>
      <c r="V385" s="6" t="n"/>
      <c r="W385" s="6" t="n"/>
      <c r="X385" s="6" t="n"/>
      <c r="Y385" s="6" t="n"/>
      <c r="Z385" s="6" t="n"/>
      <c r="AA385" s="6" t="n"/>
      <c r="AB385" s="6" t="n"/>
      <c r="AC385" s="6" t="n"/>
      <c r="AD385" s="6" t="n"/>
      <c r="AE385" s="6" t="n"/>
      <c r="AF385" s="6" t="n"/>
      <c r="AG385" s="6" t="n"/>
      <c r="AH385" s="6" t="n"/>
      <c r="AI385" s="6" t="n"/>
      <c r="AJ385" s="6" t="n"/>
      <c r="AK385" s="6" t="n"/>
    </row>
    <row r="386">
      <c r="A386" s="6" t="n"/>
      <c r="B386" s="6" t="n"/>
      <c r="C386" s="6" t="n"/>
      <c r="D386" s="6" t="n"/>
      <c r="E386" s="6" t="n"/>
      <c r="F386" s="6" t="n"/>
      <c r="G386" s="6" t="n"/>
      <c r="H386" s="6" t="n"/>
      <c r="I386" s="6" t="n"/>
      <c r="J386" s="6" t="inlineStr">
        <is>
          <t>ADJUSTMENTS</t>
        </is>
      </c>
      <c r="K386" s="6" t="n"/>
      <c r="L386" s="6" t="n"/>
      <c r="M386" s="6" t="n"/>
      <c r="N386" s="6" t="n"/>
      <c r="O386" s="6" t="n"/>
      <c r="P386" s="7">
        <f>(T376+U376+V376-W376)</f>
        <v/>
      </c>
      <c r="Q386" s="7">
        <f>(T376+U376+V376-W376)</f>
        <v/>
      </c>
      <c r="R386" s="6" t="n"/>
      <c r="S386" s="6" t="n"/>
      <c r="T386" s="6" t="n"/>
      <c r="U386" s="6" t="n"/>
      <c r="V386" s="6" t="n"/>
      <c r="W386" s="6" t="n"/>
      <c r="X386" s="6" t="n"/>
      <c r="Y386" s="6" t="n"/>
      <c r="Z386" s="6" t="n"/>
      <c r="AA386" s="6" t="n"/>
      <c r="AB386" s="6" t="n"/>
      <c r="AC386" s="6" t="n"/>
      <c r="AD386" s="6" t="n"/>
      <c r="AE386" s="6" t="n"/>
      <c r="AF386" s="6" t="n"/>
      <c r="AG386" s="6" t="n"/>
      <c r="AH386" s="6" t="n"/>
      <c r="AI386" s="6" t="n"/>
      <c r="AJ386" s="6" t="n"/>
      <c r="AK386" s="6" t="n"/>
    </row>
    <row r="387"/>
    <row r="388">
      <c r="A388" s="6" t="n"/>
      <c r="B388" s="6" t="n"/>
      <c r="C388" s="6" t="n"/>
      <c r="D388" s="6" t="n"/>
      <c r="E388" s="6" t="n"/>
      <c r="F388" s="6" t="n"/>
      <c r="G388" s="6" t="n"/>
      <c r="H388" s="6" t="n"/>
      <c r="I388" s="6" t="n"/>
      <c r="J388" s="6" t="inlineStr">
        <is>
          <t>NET TOTAL</t>
        </is>
      </c>
      <c r="K388" s="6" t="n"/>
      <c r="L388" s="6" t="n"/>
      <c r="M388" s="6" t="n"/>
      <c r="N388" s="6" t="n"/>
      <c r="O388" s="6" t="n"/>
      <c r="P388" s="7">
        <f>P378+P386</f>
        <v/>
      </c>
      <c r="Q388" s="7">
        <f>Q378+Q386</f>
        <v/>
      </c>
      <c r="R388" s="6" t="n"/>
      <c r="S388" s="6" t="n"/>
      <c r="T388" s="6" t="n"/>
      <c r="U388" s="6" t="n"/>
      <c r="V388" s="6" t="n"/>
      <c r="W388" s="6" t="n"/>
      <c r="X388" s="6" t="n"/>
      <c r="Y388" s="6" t="n"/>
      <c r="Z388" s="6" t="n"/>
      <c r="AA388" s="6" t="n"/>
      <c r="AB388" s="6" t="n"/>
      <c r="AC388" s="6" t="n"/>
      <c r="AD388" s="6" t="n"/>
      <c r="AE388" s="6" t="n"/>
      <c r="AF388" s="6" t="n"/>
      <c r="AG388" s="6" t="n"/>
      <c r="AH388" s="6" t="n"/>
      <c r="AI388" s="6" t="n"/>
      <c r="AJ388" s="6" t="n"/>
      <c r="AK388" s="6" t="n"/>
    </row>
    <row r="389">
      <c r="A389" s="6" t="n"/>
      <c r="B389" s="6" t="n"/>
      <c r="C389" s="6" t="n"/>
      <c r="D389" s="6" t="n"/>
      <c r="E389" s="6" t="n"/>
      <c r="F389" s="6" t="n"/>
      <c r="G389" s="6" t="n"/>
      <c r="H389" s="6" t="n"/>
      <c r="I389" s="6" t="n"/>
      <c r="J389" s="6" t="inlineStr">
        <is>
          <t>INVOICE TOTAL</t>
        </is>
      </c>
      <c r="K389" s="6" t="n"/>
      <c r="L389" s="6" t="n"/>
      <c r="M389" s="6" t="n"/>
      <c r="N389" s="6" t="n"/>
      <c r="O389" s="6" t="n"/>
      <c r="P389" s="7">
        <f>S376</f>
        <v/>
      </c>
      <c r="Q389" s="7" t="n"/>
      <c r="R389" s="6" t="n"/>
      <c r="S389" s="6" t="n"/>
      <c r="T389" s="6" t="n"/>
      <c r="U389" s="6" t="n"/>
      <c r="V389" s="6" t="n"/>
      <c r="W389" s="6" t="n"/>
      <c r="X389" s="6" t="n"/>
      <c r="Y389" s="6" t="n"/>
      <c r="Z389" s="6" t="n"/>
      <c r="AA389" s="6" t="n"/>
      <c r="AB389" s="6" t="n"/>
      <c r="AC389" s="6" t="n"/>
      <c r="AD389" s="6" t="n"/>
      <c r="AE389" s="6" t="n"/>
      <c r="AF389" s="6" t="n"/>
      <c r="AG389" s="6" t="n"/>
      <c r="AH389" s="6" t="n"/>
      <c r="AI389" s="6" t="n"/>
      <c r="AJ389" s="6" t="n"/>
      <c r="AK389" s="6" t="n"/>
    </row>
    <row r="390"/>
    <row r="391">
      <c r="A391" s="10" t="n"/>
      <c r="B391" s="10" t="n"/>
      <c r="C391" s="10" t="n"/>
      <c r="D391" s="10" t="n"/>
      <c r="E391" s="10" t="n"/>
      <c r="F391" s="10" t="n"/>
      <c r="G391" s="10" t="n"/>
      <c r="H391" s="10" t="n"/>
      <c r="I391" s="10" t="n"/>
      <c r="J391" s="10" t="inlineStr">
        <is>
          <t>VARIANCE CHECK</t>
        </is>
      </c>
      <c r="K391" s="10" t="n"/>
      <c r="L391" s="10" t="n"/>
      <c r="M391" s="10" t="n"/>
      <c r="N391" s="10" t="n"/>
      <c r="O391" s="10" t="n"/>
      <c r="P391" s="11">
        <f>S376-P388</f>
        <v/>
      </c>
      <c r="Q391" s="11">
        <f>S376-Q388</f>
        <v/>
      </c>
      <c r="R391" s="10" t="n"/>
      <c r="S391" s="10" t="n"/>
      <c r="T391" s="10" t="n"/>
      <c r="U391" s="10" t="n"/>
      <c r="V391" s="10" t="n"/>
      <c r="W391" s="10" t="n"/>
      <c r="X391" s="10" t="n"/>
      <c r="Y391" s="10" t="n"/>
      <c r="Z391" s="10" t="n"/>
      <c r="AA391" s="10" t="n"/>
      <c r="AB391" s="10" t="n"/>
      <c r="AC391" s="10" t="n"/>
      <c r="AD391" s="10" t="n"/>
      <c r="AE391" s="10" t="n"/>
      <c r="AF391" s="10" t="n"/>
      <c r="AG391" s="10" t="n"/>
      <c r="AH391" s="10" t="n"/>
      <c r="AI391" s="10" t="n"/>
      <c r="AJ391" s="10" t="n"/>
      <c r="AK391" s="10" t="n"/>
    </row>
    <row r="392"/>
    <row r="393">
      <c r="A393" s="14" t="n"/>
      <c r="B393" s="14" t="n"/>
      <c r="C393" s="14" t="n"/>
      <c r="D393" s="14" t="n"/>
      <c r="E393" s="14" t="n"/>
      <c r="F393" s="14" t="n"/>
      <c r="G393" s="14" t="n"/>
      <c r="H393" s="14" t="n"/>
      <c r="I393" s="14" t="n"/>
      <c r="J393" s="14" t="inlineStr">
        <is>
          <t>DUTY ESTIMATION (Classification Cross-Check)</t>
        </is>
      </c>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c r="AH393" s="14" t="n"/>
      <c r="AI393" s="14" t="n"/>
      <c r="AJ393" s="14" t="n"/>
      <c r="AK393" s="14" t="n"/>
    </row>
    <row r="394">
      <c r="A394" s="15" t="n"/>
      <c r="B394" s="15" t="n"/>
      <c r="C394" s="15" t="n"/>
      <c r="D394" s="15" t="n"/>
      <c r="E394" s="15" t="n"/>
      <c r="F394" s="15" t="n"/>
      <c r="G394" s="15" t="n"/>
      <c r="H394" s="15" t="n"/>
      <c r="I394" s="15" t="n"/>
      <c r="J394" s="16" t="inlineStr">
        <is>
          <t>CIF (USD) = InvTotal + Freight + Insurance</t>
        </is>
      </c>
      <c r="K394" s="15" t="n"/>
      <c r="L394" s="15" t="n"/>
      <c r="M394" s="15" t="n"/>
      <c r="N394" s="15" t="n"/>
      <c r="O394" s="15" t="n"/>
      <c r="P394" s="17" t="n">
        <v>1.44</v>
      </c>
      <c r="Q394" s="15" t="n"/>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row>
    <row r="395">
      <c r="A395" s="15" t="n"/>
      <c r="B395" s="15" t="n"/>
      <c r="C395" s="15" t="n"/>
      <c r="D395" s="15" t="n"/>
      <c r="E395" s="15" t="n"/>
      <c r="F395" s="15" t="n"/>
      <c r="G395" s="15" t="n"/>
      <c r="H395" s="15" t="n"/>
      <c r="I395" s="15" t="n"/>
      <c r="J395" s="16" t="inlineStr">
        <is>
          <t>CIF (XCD) = CIF × 2.7169</t>
        </is>
      </c>
      <c r="K395" s="15" t="n"/>
      <c r="L395" s="15" t="n"/>
      <c r="M395" s="15" t="n"/>
      <c r="N395" s="15" t="n"/>
      <c r="O395" s="15" t="n"/>
      <c r="P395" s="17" t="n">
        <v>3.91</v>
      </c>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row>
    <row r="396">
      <c r="A396" s="15" t="n"/>
      <c r="B396" s="15" t="n"/>
      <c r="C396" s="15" t="n"/>
      <c r="D396" s="15" t="n"/>
      <c r="E396" s="15" t="n"/>
      <c r="F396" s="15" t="n"/>
      <c r="G396" s="15" t="n"/>
      <c r="H396" s="15" t="n"/>
      <c r="I396" s="15" t="n"/>
      <c r="J396" s="16" t="inlineStr">
        <is>
          <t>CET (20%) — Tariff 33030000</t>
        </is>
      </c>
      <c r="K396" s="15" t="n"/>
      <c r="L396" s="15" t="n"/>
      <c r="M396" s="15" t="n"/>
      <c r="N396" s="15" t="n"/>
      <c r="O396" s="15" t="n"/>
      <c r="P396" s="17" t="n">
        <v>0.78</v>
      </c>
      <c r="Q396" s="15" t="n"/>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row>
    <row r="397">
      <c r="A397" s="15" t="n"/>
      <c r="B397" s="15" t="n"/>
      <c r="C397" s="15" t="n"/>
      <c r="D397" s="15" t="n"/>
      <c r="E397" s="15" t="n"/>
      <c r="F397" s="15" t="n"/>
      <c r="G397" s="15" t="n"/>
      <c r="H397" s="15" t="n"/>
      <c r="I397" s="15" t="n"/>
      <c r="J397" s="16" t="inlineStr">
        <is>
          <t>CSC (6%)</t>
        </is>
      </c>
      <c r="K397" s="15" t="n"/>
      <c r="L397" s="15" t="n"/>
      <c r="M397" s="15" t="n"/>
      <c r="N397" s="15" t="n"/>
      <c r="O397" s="15" t="n"/>
      <c r="P397" s="17" t="n">
        <v>0.23</v>
      </c>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row>
    <row r="398">
      <c r="A398" s="15" t="n"/>
      <c r="B398" s="15" t="n"/>
      <c r="C398" s="15" t="n"/>
      <c r="D398" s="15" t="n"/>
      <c r="E398" s="15" t="n"/>
      <c r="F398" s="15" t="n"/>
      <c r="G398" s="15" t="n"/>
      <c r="H398" s="15" t="n"/>
      <c r="I398" s="15" t="n"/>
      <c r="J398" s="16" t="inlineStr">
        <is>
          <t>VAT (15%) on CIF+CET+CSC</t>
        </is>
      </c>
      <c r="K398" s="15" t="n"/>
      <c r="L398" s="15" t="n"/>
      <c r="M398" s="15" t="n"/>
      <c r="N398" s="15" t="n"/>
      <c r="O398" s="15" t="n"/>
      <c r="P398" s="17" t="n">
        <v>0.74</v>
      </c>
      <c r="Q398" s="15" t="n"/>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row>
    <row r="399">
      <c r="A399" s="18" t="n"/>
      <c r="B399" s="18" t="n"/>
      <c r="C399" s="18" t="n"/>
      <c r="D399" s="18" t="n"/>
      <c r="E399" s="18" t="n"/>
      <c r="F399" s="18" t="n"/>
      <c r="G399" s="18" t="n"/>
      <c r="H399" s="18" t="n"/>
      <c r="I399" s="18" t="n"/>
      <c r="J399" s="14" t="inlineStr">
        <is>
          <t>ESTIMATED TOTAL DUTIES</t>
        </is>
      </c>
      <c r="K399" s="18" t="n"/>
      <c r="L399" s="18" t="n"/>
      <c r="M399" s="18" t="n"/>
      <c r="N399" s="18" t="n"/>
      <c r="O399" s="18" t="n"/>
      <c r="P399" s="19" t="n">
        <v>1.75</v>
      </c>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row>
    <row r="400">
      <c r="A400" s="15" t="n"/>
      <c r="B400" s="15" t="n"/>
      <c r="C400" s="15" t="n"/>
      <c r="D400" s="15" t="n"/>
      <c r="E400" s="15" t="n"/>
      <c r="F400" s="15" t="n"/>
      <c r="G400" s="15" t="n"/>
      <c r="H400" s="15" t="n"/>
      <c r="I400" s="15" t="n"/>
      <c r="J400" s="16" t="inlineStr">
        <is>
          <t>Effective Duty Rate</t>
        </is>
      </c>
      <c r="K400" s="15" t="n"/>
      <c r="L400" s="15" t="n"/>
      <c r="M400" s="15" t="n"/>
      <c r="N400" s="15" t="n"/>
      <c r="O400" s="15" t="n"/>
      <c r="P400" s="20" t="n">
        <v>0.4475703324808184</v>
      </c>
      <c r="Q400" s="15" t="n"/>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row>
    <row r="401"/>
    <row r="402">
      <c r="A402" s="22" t="n"/>
      <c r="B402" s="22" t="n"/>
      <c r="C402" s="22" t="n"/>
      <c r="D402" s="22" t="n"/>
      <c r="E402" s="22" t="n"/>
      <c r="F402" s="22"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c r="AA402" s="22" t="n"/>
      <c r="AB402" s="22" t="n"/>
      <c r="AC402" s="22" t="n"/>
      <c r="AD402" s="22" t="n"/>
      <c r="AE402" s="22" t="n"/>
      <c r="AF402" s="22" t="n"/>
      <c r="AG402" s="22" t="n"/>
      <c r="AH402" s="22" t="n"/>
      <c r="AI402" s="22" t="n"/>
      <c r="AJ402" s="22" t="n"/>
      <c r="AK402" s="22" t="n"/>
    </row>
    <row r="403">
      <c r="A403" s="22" t="n"/>
      <c r="B403" s="22" t="n"/>
      <c r="C403" s="22" t="n"/>
      <c r="D403" s="22" t="n"/>
      <c r="E403" s="22" t="n"/>
      <c r="F403" s="22" t="n"/>
      <c r="G403" s="22" t="n"/>
      <c r="H403" s="22" t="n"/>
      <c r="I403" s="22" t="n"/>
      <c r="J403" s="22" t="n"/>
      <c r="K403" s="22" t="n"/>
      <c r="L403" s="23" t="inlineStr">
        <is>
          <t>═══ COMBINED GRAND SUMMARY ═══</t>
        </is>
      </c>
      <c r="M403" s="22" t="n"/>
      <c r="N403" s="22" t="n"/>
      <c r="O403" s="22" t="n"/>
      <c r="P403" s="22" t="n"/>
      <c r="Q403" s="22" t="n"/>
      <c r="R403" s="22" t="n"/>
      <c r="S403" s="22" t="n"/>
      <c r="T403" s="22" t="n"/>
      <c r="U403" s="22" t="n"/>
      <c r="V403" s="22" t="n"/>
      <c r="W403" s="22" t="n"/>
      <c r="X403" s="22" t="n"/>
      <c r="Y403" s="22" t="n"/>
      <c r="Z403" s="22" t="n"/>
      <c r="AA403" s="22" t="n"/>
      <c r="AB403" s="22" t="n"/>
      <c r="AC403" s="22" t="n"/>
      <c r="AD403" s="22" t="n"/>
      <c r="AE403" s="22" t="n"/>
      <c r="AF403" s="22" t="n"/>
      <c r="AG403" s="22" t="n"/>
      <c r="AH403" s="22" t="n"/>
      <c r="AI403" s="22" t="n"/>
      <c r="AJ403" s="22" t="n"/>
      <c r="AK403" s="22" t="n"/>
    </row>
    <row r="404">
      <c r="L404" s="24" t="inlineStr">
        <is>
          <t>Invoice 03152025_Free_returns_within_90_days_Invoice_1</t>
        </is>
      </c>
      <c r="P404" s="25" t="n">
        <v>127.56</v>
      </c>
      <c r="Q404" s="26" t="n">
        <v>-109.8</v>
      </c>
    </row>
    <row r="405">
      <c r="L405" s="24" t="inlineStr">
        <is>
          <t>Invoice 06-11830-29458</t>
        </is>
      </c>
      <c r="P405" s="25" t="n">
        <v>350.54</v>
      </c>
      <c r="Q405" s="26" t="n">
        <v>-301.62</v>
      </c>
    </row>
    <row r="406">
      <c r="L406" s="24" t="inlineStr">
        <is>
          <t>Invoice 113-2477560-9595440</t>
        </is>
      </c>
      <c r="P406" s="25" t="n">
        <v>455.08</v>
      </c>
      <c r="Q406" s="26" t="n">
        <v>-390.97</v>
      </c>
    </row>
    <row r="407">
      <c r="L407" s="24" t="inlineStr">
        <is>
          <t>Invoice 138878183</t>
        </is>
      </c>
      <c r="P407" s="25" t="n">
        <v>342.94</v>
      </c>
      <c r="Q407" s="26" t="n">
        <v>-298.46</v>
      </c>
    </row>
    <row r="408">
      <c r="L408" s="24" t="inlineStr">
        <is>
          <t>Invoice 138984731</t>
        </is>
      </c>
      <c r="P408" s="25" t="n">
        <v>560.45</v>
      </c>
      <c r="Q408" s="26" t="n">
        <v>-477.02</v>
      </c>
    </row>
    <row r="409">
      <c r="L409" s="24" t="inlineStr">
        <is>
          <t>Invoice 1504495444_Invoice</t>
        </is>
      </c>
      <c r="P409" s="25" t="n">
        <v>957.26</v>
      </c>
      <c r="Q409" s="26" t="n">
        <v>-828.33</v>
      </c>
    </row>
    <row r="410">
      <c r="L410" s="24" t="inlineStr">
        <is>
          <t>Invoice INVUS20240717001998094</t>
        </is>
      </c>
      <c r="P410" s="25" t="n">
        <v>49.97</v>
      </c>
      <c r="Q410" s="26" t="n">
        <v>-43.05</v>
      </c>
    </row>
    <row r="411">
      <c r="L411" s="24" t="inlineStr">
        <is>
          <t>Invoice INVUS20240714003388571</t>
        </is>
      </c>
      <c r="P411" s="25" t="n">
        <v>72.37</v>
      </c>
      <c r="Q411" s="26" t="n">
        <v>-62.32</v>
      </c>
    </row>
    <row r="412">
      <c r="L412" s="24" t="inlineStr">
        <is>
          <t>Invoice INVUS20240714003391892</t>
        </is>
      </c>
      <c r="P412" s="25" t="n">
        <v>7.45</v>
      </c>
      <c r="Q412" s="26" t="n">
        <v>-6.47</v>
      </c>
    </row>
    <row r="413">
      <c r="L413" s="24" t="inlineStr">
        <is>
          <t>Invoice INVUS20240717002005487</t>
        </is>
      </c>
      <c r="P413" s="25" t="n">
        <v>22.43</v>
      </c>
      <c r="Q413" s="26" t="n">
        <v>-19.36</v>
      </c>
    </row>
    <row r="414">
      <c r="L414" s="24" t="inlineStr">
        <is>
          <t>Invoice INVUS20240717002011537</t>
        </is>
      </c>
      <c r="P414" s="25" t="n">
        <v>102.08</v>
      </c>
      <c r="Q414" s="26" t="n">
        <v>-88.88</v>
      </c>
    </row>
    <row r="415">
      <c r="L415" s="24" t="inlineStr">
        <is>
          <t>Invoice INVUS20240717002018383</t>
        </is>
      </c>
      <c r="P415" s="25" t="n">
        <v>58.13</v>
      </c>
      <c r="Q415" s="26" t="n">
        <v>-50.07</v>
      </c>
    </row>
    <row r="416">
      <c r="L416" s="24" t="inlineStr">
        <is>
          <t>Invoice PO-211-06504032894070385</t>
        </is>
      </c>
      <c r="P416" s="25" t="n">
        <v>136.59</v>
      </c>
      <c r="Q416" s="26" t="n">
        <v>-117.57</v>
      </c>
    </row>
    <row r="417">
      <c r="L417" s="24" t="inlineStr">
        <is>
          <t>Invoice INVUS20240717002005488</t>
        </is>
      </c>
      <c r="P417" s="25" t="n">
        <v>10.74</v>
      </c>
      <c r="Q417" s="26" t="n">
        <v>-9.300000000000001</v>
      </c>
    </row>
    <row r="418"/>
    <row r="419">
      <c r="L419" s="27" t="inlineStr">
        <is>
          <t>GRAND TOTAL</t>
        </is>
      </c>
      <c r="P419" s="28" t="n">
        <v>3253.589999999999</v>
      </c>
    </row>
    <row r="420">
      <c r="L420" s="29" t="inlineStr">
        <is>
          <t>GRAND VARIANCE CHECK</t>
        </is>
      </c>
      <c r="P420" s="26" t="n">
        <v>-2803.220000000001</v>
      </c>
    </row>
    <row r="421">
      <c r="L421" s="30" t="inlineStr">
        <is>
          <t>Combined 14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03152025_Free_returns_within_90_days_Invoice_1.pdf</t>
        </is>
      </c>
      <c r="B2" s="32" t="inlineStr">
        <is>
          <t>63/100</t>
        </is>
      </c>
      <c r="C2" s="32" t="inlineStr">
        <is>
          <t>FAIR</t>
        </is>
      </c>
      <c r="D2" s="32" t="inlineStr">
        <is>
          <t>Text: 854 chars; Prices: 6 ($-sign), 0 (decimal); Total: MISSING; Invoice#: MISSING; Real items: 4/4; Structure words: 1/12</t>
        </is>
      </c>
      <c r="E2" s="33" t="inlineStr">
        <is>
          <t>Item details (8)
2pcs Simple Stainless Steel Bracelet Necklace Set For Men
Silvery
$1.98
x1
By — LovelyThings
Lightweight Non-Slip Women's Knitted Loafers for Casual Walking
7.5 / Black
$7.99
x1
By — KAMUCC
1pc Waterproof LED Solar Lamp Bulb for Outdoor Hiking, Fishing, and Emergency Lighting
7w With Solar Panel
$5.98
x1
By ▲ ABT factory
Smart Watch With Wireless Calling/Dialing, Multiple Sports Modes, Fitness Tracker, Customizable Wallpaper, Compatible With iPhone/Android, Sporty Smartwatch With Health Monitoring
Black
$7.47
x1
By — GUYN
3pcs Exaggerated Design Earrings and Necklace Set for Party Outfits - Stand Out and Be the Most Special One at Any Party
Female / Exquisite
$3.39
x1
By ☺ ATHENAA
Elegant Adjustable Rhinestone Bracelet Quartz Watch, Fashionable Luxury Style, Versatile, Women's Accessory
Golden
$2.33
x1
By ☺ New Time Clock
2/3</t>
        </is>
      </c>
    </row>
    <row r="3">
      <c r="A3" s="34" t="inlineStr">
        <is>
          <t>06-11830-29458_Invoice.pdf</t>
        </is>
      </c>
      <c r="B3" s="34" t="inlineStr">
        <is>
          <t>95/100</t>
        </is>
      </c>
      <c r="C3" s="34" t="inlineStr">
        <is>
          <t>GOOD</t>
        </is>
      </c>
      <c r="D3" s="34" t="inlineStr">
        <is>
          <t>Text: 666 chars; Prices: 4 ($-sign), 3 (decimal); Total: $48.92; Invoice#: 06-11830-29458; Real items: 3/3; Structure words: 7/12</t>
        </is>
      </c>
      <c r="E3" s="35" t="inlineStr">
        <is>
          <t>ebay
Order information
Buyer  kimon_jerome
Seller  lucascountycars
Placed on  Jul 16, 2024
Payment method  Credit Card
Paid on  Jul 16, 2024
Shipping address
Whitney Andrew
10813 NW 30th st BLDG 115 GRE 2547
Miami, Florida 33172
United States
Order total
1 item  $45.72
Shipping  Free
Tax*  $3.20
Order total  $48.92
*We're required by law to collect sales tax and
applicable fees for certain tax authorities.
Learn more
Items bought from lucascountycars
Order number: 06-11830-29458
Quantity  Item name  Shipping service  Item price
1  Mirror Driver Side Left Honda Accord Dark Gray 2003 2004 2005 2006 2007 8958 (134710634347)  USPS Priority Mail  $45.72
1/2</t>
        </is>
      </c>
    </row>
    <row r="4">
      <c r="A4" s="34" t="inlineStr">
        <is>
          <t>113-2477560-9595440_Invoice.pdf</t>
        </is>
      </c>
      <c r="B4" s="34" t="inlineStr">
        <is>
          <t>77/100</t>
        </is>
      </c>
      <c r="C4" s="34" t="inlineStr">
        <is>
          <t>GOOD</t>
        </is>
      </c>
      <c r="D4" s="34" t="inlineStr">
        <is>
          <t>Text: 1183 chars; Prices: 2 ($-sign), 7 (decimal); Total: $64.11; Invoice#: 113-2477560-9595440; Real items: 1/1; Structure words: 7/12</t>
        </is>
      </c>
      <c r="E4" s="35" t="inlineStr">
        <is>
          <t>4
” s
Final Details for Order # 113-2477560-9595440
Print this page for your records . Print this page for your records .
Order Placed : July 17 , 2024
Amazon . com order number : 113-2477560-9595440
Order Total : USD 64.11
Shipped on July 18 , 2024
Items Ordered Price
1 of: adidas Originals Men ' s Stan Smith ( End Plastic Waste ) Sneaker , $59.92
Black / Black / White , 8.5
Sold by: Lofi Logistics ( seller profile
Supplied by: Lofi Logistics ( seller profile
Condition : New
Shipping Address :
Kerry Frank
10813 NW 30 TH ST BLDG 115
GRE 7135
MIAMI , FL 33172 - 2191
United States
Shipping Speed :
FREE Prime Delivery
Payment information
Payment Method : Item ( s ) Subtotal : USD 59.92
Visa ending in 7845 Shipping &amp; Handling : | USD 0.00
Total before tax : USD 59.92
Billing address Estimated tax to be collected : | USD 4.19
WENDY FRANK BARRET Grand Total : USD 64.11
1939 HENRY ST Payment Grand Total : XCD 175.48
RAHWAY , NJ 07065 - 5805
United States
Credit Card transactions Visa ending in 7845 : July 18 , 2024 : $64.11
To view the status of your order , return to Order Summary .
Conditions of Use | Privacy Notice © 1996 - 2024 , Amazon . com , Inc . or its affiliates</t>
        </is>
      </c>
    </row>
    <row r="5">
      <c r="A5" s="34" t="inlineStr">
        <is>
          <t>138878183.pdf</t>
        </is>
      </c>
      <c r="B5" s="34" t="inlineStr">
        <is>
          <t>100/100</t>
        </is>
      </c>
      <c r="C5" s="34" t="inlineStr">
        <is>
          <t>GOOD</t>
        </is>
      </c>
      <c r="D5" s="34" t="inlineStr">
        <is>
          <t>Text: 1568 chars; Prices: 34 ($-sign), 12 (decimal); Total: $44.48; Invoice#: 138878183; Real items: 5/5; Structure words: 10/12</t>
        </is>
      </c>
      <c r="E5" s="35" t="inlineStr">
        <is>
          <t>Fashion Nova
2801 E . 46 th Street
Vernon , CA 90058
Order Number : 138878183
Order Date / Time : July 15 th , 2024 - 07 : 38 pm
Shipping Information Billing Information
Sheniah Coutain Sheniah Coutain
10813 NW 30 th street BLDG 115 GRE 7291 10813 NW 30 th street BLDG 115 GRE 7291
Miami , FL 33172 Miami , FL . 33172
United States United States
+ 1 473 - 535 - 7006 + 1 473 - 535 - 7006
Shipping Method : 3 - 7 Business Days Product Full Price : $78.95
Shipping Cost : $0.00 Product Discount : $33.99
Shipping Discount : $0.00 Product Tax : $5.53
Shipping Tax : $0.00 Product Duty : $0.00
Total Payment Amount : $84.48
Tracking Information
Tracking Number : UPS - 1 ZE 4 G 7300327529761
Tracking URL : https : / / www . fashionnova . com / pages / tracking ? tracking numbers = 1 ZE 4 G 7300327529761 &amp; carri . . 
Payment Method CC / CG Last 4 Digits CC Bin Payment Amount
Visa sone ence cooe 5136 476849 $84.48
Item Description Total Subtotal Tax Duty Total Harmonized Total
Quantity Amount Amount Amount Discount Tax Code Amount
Amount
Cream All Day Short Sleeve 1 $15.99 $1.12 $0.00 $0.00 $17.11
Tee - Sage - M
Viana Denim Romper - Light 1 $34.99 $2.45 $0.00 $0.00 $18.99
Wash - 2 X
Unmatched Faux Leather 1 $19.99 $1.40 $0.00 $0.00 $21.39
Cargo Skirt - Black - 2 X
Don t Talk Faux Leather Skirt = 1 $33.99 $0.00 $0.00 $0.00 $18.45
Set - Black - 2 X
No Self Control Denim Corset 1 $7.98 $0.56 $0.00 $0.00 $8.54
Top - Light Wash - 2 X
For Questions Regarding our Return Policy or to contact Customer Care please visit
www . fashionnova . com / pages / help - center</t>
        </is>
      </c>
    </row>
    <row r="6">
      <c r="A6" s="34" t="inlineStr">
        <is>
          <t>138984731_Invoice.pdf</t>
        </is>
      </c>
      <c r="B6" s="34" t="inlineStr">
        <is>
          <t>100/100</t>
        </is>
      </c>
      <c r="C6" s="34" t="inlineStr">
        <is>
          <t>GOOD</t>
        </is>
      </c>
      <c r="D6" s="34" t="inlineStr">
        <is>
          <t>Text: 1392 chars; Prices: 28 ($-sign), 9 (decimal); Total: $83.43; Invoice#: 138984731; Real items: 3/3; Structure words: 10/12</t>
        </is>
      </c>
      <c r="E6" s="35" t="inlineStr">
        <is>
          <t xml:space="preserve">~ FASHIONNOVA
Fashion Nova
Vernon, CA 80058
Order Number: 138984731
Order Date/Time: July 17th, 2024 - 03:12pm
Shipping Information Billing Information
Shelley Thomas - Shelley Thomas oe
— 10813 NW 30th Street 10813 NW 30th Street a
Miami, FL 33172 i , Miami, FL 33172 oe
United States , United States —— ,
1 (473) 416-7199 1 (473) 416-7199 , Oe
‘Shipping Method: 3-7 Business Days Product Full Price:$77.97
Shipping Cost: $0.00 Product Discount: $41 99 
Shipping Discount: $0.00 Product Tax: $5.46 
Shipping Tax: $0.00 Product Duty: $0.00 , , 
, Total Payment Amount: $83.43 
Tracking Information a
‘Tracking Number: UPS - 1ZE4G7300327612518 Be
Tracking URL: https://www.fashionnova.com/pages/tracking?tracking_numbers=1ZE4G73003276125188carri..
Payment Method CC/CG Last 4 Digits CC Bin Payment Amount , a
Visa “tate seen eons 4947 441098 $83.43 , ,
Item Description ‘Total Subtotal Tax Duty _‘Total ‘Harmonized Total
Quantity Amount Amount Amount Discount Tax Code §$ Amount
. Amount 
 Emma Ribbed Tank - Camel _— 1 $6.00 $0.42 $0.00 $0.00 $6.42 
Glistening Jeans-Olive-5 1 $11.98 $0.84.» $0.00 ~—«$0.00 $12.82
Always InA Good Mood Pant 1 , 7 $41.99 $0.00 $0.00 $0.00 $26.43
Set - Green/combo - S
Maya Bandage Midi Dress- 1 $59.99 $4.20 $0.00 $0.00 $37.76 
Red - M : 
For Questions Regarding our Return Policy or to contact Customer Care please visit
www. fashionnova.com/pages/help-center
</t>
        </is>
      </c>
    </row>
    <row r="7">
      <c r="A7" s="34" t="inlineStr">
        <is>
          <t>1504495444_Invoice.pdf</t>
        </is>
      </c>
      <c r="B7" s="34" t="inlineStr">
        <is>
          <t>90/100</t>
        </is>
      </c>
      <c r="C7" s="34" t="inlineStr">
        <is>
          <t>GOOD</t>
        </is>
      </c>
      <c r="D7" s="34" t="inlineStr">
        <is>
          <t>Text: 1425 chars; Prices: 28 ($-sign), 16 (decimal); Total: $128.93; Invoice#: MISSING; Real items: 5/5; Structure words: 9/12</t>
        </is>
      </c>
      <c r="E7" s="35" t="inlineStr">
        <is>
          <t>H&amp;M
1/1
RECEIPT
YOUR DETAILS
RECEIPT DATE
21 July 2024
NAME
Rosalie la Grenade
RECEIPT NUMBER
L504495444
EMAIL
RLAGZ11@YAHOO.COM
ORDER NUMBER
49669470203
HOME ADDRESS
ORDER DATE
19 July 2024
PAYMENT METHOD
Paypal $67.98
DELIVERY METHOD
HOME DELIVERY STANDARD
ORDER SUMMARY
ART.NO	DESC.	SIZE	COLOUR	QTY.	UNIT PRICE	DISCOUNT	TAXABLE	TOTAL PRICE
1206305006007	Flared Twill Pants	12	Dark gray	1	$20.99	-$13.00	$7.99
1215205001003	Straw Hat	M/56	Beige	1	$19.99	-$11.00	$8.99
1206305005007	Flared Twill Pants	12	Light gray	1	$20.99	-$13.00	$7.99
1057731002004	Straw Hat	L/58	Light beige	1	$17.99	-$8.00	$9.99
1229647001004	Frayed-edge Straw Hat	L/58	Light beige	1	$12.99	-$7.00	$5.99
1187610004005	Twist-detail Shirt Dress	L	Yellow/tie-dye	1	$29.99	-$17.00	$12.99
1073337004001	Pendant Necklace	NOSIZE	Gold-colored/rhinestones	1	$5.99	-$2.00	$3.99
MERCHANDISE TOTAL:
$128.93
DISCOUNT:
-$71.00
SUBTOTAL:
$57.93
SHIPPING &amp; HANDLING:
$5.99
SALES TAX:
$4.06
TOTAL:
$67.98
QR-code for return in store
Note, you cannot reply to this email. If you have any questions about why you receive this email, or want to contact us, please call us toll-free at 855-466-7467.
For more information about your order, log in to My H&amp;M.
You always have 30 days to decide whether the item is right for you. To learn more about returns, please read our return and refund policy. For more information, please read our privacy notice and terms of use.</t>
        </is>
      </c>
    </row>
    <row r="8">
      <c r="A8" s="32" t="inlineStr">
        <is>
          <t>GSUNJY.pdf</t>
        </is>
      </c>
      <c r="B8" s="32" t="inlineStr">
        <is>
          <t>65/100</t>
        </is>
      </c>
      <c r="C8" s="32" t="inlineStr">
        <is>
          <t>FAIR</t>
        </is>
      </c>
      <c r="D8" s="32" t="inlineStr">
        <is>
          <t>Text: 991 chars; Prices: 0 ($-sign), 0 (decimal); Total: $6.92; Invoice#: INVUS20240717001998094; Real items: 1/1; Structure words: 8/12</t>
        </is>
      </c>
      <c r="E8" s="33" t="inlineStr">
        <is>
          <t xml:space="preserve">SHEIN US Services, LLC. Seles Invoice
777 S Alameda St Fl 2, Los Angeles, CA 90021-1633
Bill To: Invoice No.:
Britana Bowen INVUS20240717001998094
Billing Address: Invoice Date:
10813, NW 30TH STREET BLDG 115 GRE 2594 Miami, 2024-07-17
FLORIDA 33172
Delivery Address:
10813, NW 30TH STREET BLDG 115 GRE 2594 Miami,
FLORIDA 33172
Order Information
Order Number: Order Date:
GSUNJY54400NF6T 2024-07-17
Seller Information
Sold By: Address:
SHEIN DISTRIBUTION CORPORATION United StatesCALIFORNIALos Angeles777 S. Alamaeda St.
Suite 340, Los Angeles, CA 90021
Invoice Detail
SRS Aaa a rT Sis ae eet ete Men rl Ei ea prey re
RAIS ne Meena opeMlahcas merieceads te Ae RB cies Memeercpeiae en pom CRRNN NL Aa Par suse May tpetch sa ce a enue ean EN Secgehl gigs oe Miowes Wend Uevienes Coecee acest Debts Suara freasete ry
Manfinity Homme Men's Fashionable King Printed Short Sleeve T-Shirt And Shorts Combo Set 1 6.45
Item(s) Subtotal: 6.45
Shipping/Handling: 0.00
Sales Tax: 0.47
Grand Total: 6.92
</t>
        </is>
      </c>
    </row>
    <row r="9">
      <c r="A9" s="32" t="inlineStr">
        <is>
          <t>INVUS20240714003388571.pdf</t>
        </is>
      </c>
      <c r="B9" s="32" t="inlineStr">
        <is>
          <t>69/100</t>
        </is>
      </c>
      <c r="C9" s="32" t="inlineStr">
        <is>
          <t>FAIR</t>
        </is>
      </c>
      <c r="D9" s="32" t="inlineStr">
        <is>
          <t>Text: 999 chars; Prices: 0 ($-sign), 1 (decimal); Total: $10.05; Invoice#: INVUS20240714003388571; Real items: 1/1; Structure words: 10/12</t>
        </is>
      </c>
      <c r="E9" s="33" t="inlineStr">
        <is>
          <t>2:32 PM
roundcube (1240×1/52)
SHEIN US Services, LLC.
777 S Alameda St Fl 2, Los Angeles, CA 90021-1633
Sales Invoice
Bill To:
Rochelle Ragbasingh
Invoice No.:
INVUS20240714003388571
Billing Address:
10813 NW 30th St BLDG 115 GRE 8479 Miami, FLORIDA
33172-2191
Invoice Date:
2024-07-14
Delivery Address:
10813 NW 30th St BLDG 115 GRE 8479 Miami, FLORIDA
33172-2191
Order Information
Order Number:
GSUNJ527900MCW9
Order Date:
2024-07-14
Seller Information
Sold By:
YOU TENG
Address:
ChinaRoom G260, D18, Zone D, No. 6 Huangcun North Road,
Tianhe District, Guangzhou, Guangdong, China
Invoice Detail
Description
Quantity
Amount(USD)
20 Pairs Children's Pure Black Simple Mid-Calf Socks, Skin-Friendly, Comfortable, Versatile, Suitable For 1 9.37
Students' Back-To-School Outfits
Item(s) Subtotal:
9.37
Shipping/Handling:
0.00
Sales Tax:
0.68
Grand Total:
10.05
https://huanginscaronda.com/webmail/roundcube/?_task=mail&amp;_frame=1&amp;_mbox=INBOX&amp;_uid=3028&amp;_part=1&amp;_action=part&amp;_autwin=1
1/1</t>
        </is>
      </c>
    </row>
    <row r="10">
      <c r="A10" s="32" t="inlineStr">
        <is>
          <t>INVUS20240714003391892.pdf</t>
        </is>
      </c>
      <c r="B10" s="32" t="inlineStr">
        <is>
          <t>52/100</t>
        </is>
      </c>
      <c r="C10" s="32" t="inlineStr">
        <is>
          <t>FAIR</t>
        </is>
      </c>
      <c r="D10" s="32" t="inlineStr">
        <is>
          <t>Text: 2220 chars; Prices: 0 ($-sign), 2 (decimal); Total: $0.98 (placeholder); Invoice#: INVUS20240714003391892; Real items: 1/1; Structure words: 10/12</t>
        </is>
      </c>
      <c r="E10" s="33" t="inlineStr">
        <is>
          <t>12:31 PM
roundcube (1240×1/52)
SHEIN US Services, LLC.
777 S Alameda St Fl 2, Los Angeles, CA 90021-1633
Sales Invoice
Bill To:
Rochelle Ragbasingh
Invoice No.:
INVUS20240714003391892
Billing Address:
10813 NW 30th St BLDG 115 GRE 8479 Miami, FLORIDA
33172-2191
Invoice Date:
2024-07-14
Delivery Address:
10813 NW 30th St BLDG 115 GRE 8479 Miami, FLORIDA
33172-2191
Order Information
Order Number:
GSUNJ527900MCWL
Order Date:
2024-07-14
Seller Information
Sold By:
Ruirong
Address:
First Floor, Unit 1, Building 122, North Station District 4, Houzhai
Street, Yiwu City, Zhejiang Province, China (self-declaration)
Invoice Detail
Description | Quantity | Amount(USD)
4PCS Manual Pencil Sharpeners - Double Hole Compact Handheld Design For Kids, Students, Classrooms &amp;
Home Offices | 1 | 0.91
Item(s) Subtotal:
0.91
Shipping/Handling:
0.00
Sales Tax:
0.07
Grand Total:
0.98
httns://buuainsaronado.com/webmail/roundcube/?_task=mail&amp;_frame=1&amp;_mbox=INBOX&amp;_uid=3028&amp;_part=0&amp;_action=not&amp;_view=1
1/1
2:32 PM
roundcube (124U×1/52)
S
SHEIN US Services, LLC.
777 S Alameda St Fl 2, Los Angeles, CA 90021-1633
Sales Invoice
Bill To:
Rochelle Ragbasingh
Invoice No.:
INVUS20240714003394424
Billing Address:
10813 NW 30th St BLDG 115 GRE 8479 Miami, FLORIDA
33172-2191
Invoice Date:
2024-07-14
Delivery Address:
10813 NW 30th St BLDG 115 GRE 8479 Miami, FLORIDA
33172-2191
Order Information
Order Number:
GSUNJ527900MCWH
Order Date:
2024-07-14
Seller Information
Sold By:
WZ00001
Address:
No. 15, Xinzhuang, Xishanxia Village, Paitou Town, Zhuji City,
Shaoxing City, Zhejiang Province, China
Invoice Detail
Description
Quantity
Amount(USD)
12 Pairs Black Striped Cuff Basic &amp; Simple Everyday Style Breathable Absorbent Anti-odor Women's Mid-calf
Socks 1 5.39
12 Pairs/set Women's Mid-calf Socks In Black &amp; White Stripe Design, Breathable, Moisture-wicking &amp; Odor-
resistant 1 5.31
12 Pairs Black Striped Cuff Basic &amp; Simple Everyday Style Breathable Absorbent Anti-odor Women's Mid-calf
S</t>
        </is>
      </c>
    </row>
    <row r="11">
      <c r="A11" s="32" t="inlineStr">
        <is>
          <t>INVUS20240717002005487.pdf</t>
        </is>
      </c>
      <c r="B11" s="32" t="inlineStr">
        <is>
          <t>65/100</t>
        </is>
      </c>
      <c r="C11" s="32" t="inlineStr">
        <is>
          <t>FAIR</t>
        </is>
      </c>
      <c r="D11" s="32" t="inlineStr">
        <is>
          <t>Text: 789 chars; Prices: 0 ($-sign), 0 (decimal); Total: $3.07; Invoice#: INVUS20240717002005487; Real items: 1/1; Structure words: 10/12</t>
        </is>
      </c>
      <c r="E11" s="33" t="inlineStr">
        <is>
          <t>SHEIN US Services, LLC.
777 S Alameda St Fl 2, Los Angeles, CA 90021-1633
Sales Invoice
Bill To:
Britana Bowen
Invoice No.:
INVUS20240717002005487
Billing Address:
10813, NW 30TH STREET BLDG 115 GRE 2594 Miami,
FLORIDA 33172
Invoice Date:
2024-07-17
Delivery Address:
10813, NW 30TH STREET BLDG 115 GRE 2594 Miami,
FLORIDA 33172
Order Information
Order Number:
GSUNJY54400NF65
Order Date:
2024-07-17
Seller Information
Sold By:
QZNY
Address:
China 7-2 Yuyuan Road, Jinjiang Economic Development Zone
(Wuli Garden), Quanzhou City, Fujian Province
Invoice Detail
Description
Quantity
Amount(USD)
Women's Thick-Soled Slippers, Summer Anti-Skid Waterproof Beach Sandals, Suitable For Swimming And
Vacation 1 2.86
Item(s) Subtotal:
2.86
Shipping/Handling:
0.00
Sales Tax:
0.21
Grand Total:
3.07</t>
        </is>
      </c>
    </row>
    <row r="12">
      <c r="A12" s="32" t="inlineStr">
        <is>
          <t>INVUS202407170020115372024.pdf</t>
        </is>
      </c>
      <c r="B12" s="32" t="inlineStr">
        <is>
          <t>49/100</t>
        </is>
      </c>
      <c r="C12" s="32" t="inlineStr">
        <is>
          <t>FAIR</t>
        </is>
      </c>
      <c r="D12" s="32" t="inlineStr">
        <is>
          <t>Text: 936 chars; Prices: 0 ($-sign), 2 (decimal); Total: MISSING; Invoice#: INVUS20240717002011537; Real items: 2/2; Structure words: 8/12</t>
        </is>
      </c>
      <c r="E12" s="33" t="inlineStr">
        <is>
          <t>777 7775 S Alameda St Fl 2 , Los Angeles , CA 90021 - 1633
Bill To : Invoice No . :
Britana Bowen INVUS20240717002011537
Billing Address : Invoice Date :
10813 , NW 30 TH STREET BLDG 115 GRE 2594 Miami , 2024 - 07 - 17
FLORIDA 33172
Delivery Address :
10813 , NW 30 TH STREET BLDG 115 GRE 2594 Miami ,
FLORIDA 33172
Order Information
Order Number : Order Date :
GSUNJY 54400 NF 66 2024 - 07 - 17
Seller Information
Sold By : Address :
SHEIN DISTRIBUTION CORPORATION United StatesCALIFORNIALos Angeles 777 S . Alamaeda St .
Suite 340 , Los Angeles , CA 90021
Invoice Detail
Ba Rane ee Re nena Se Se pare eater ar ties areal Brgy apaeeatn te pm
SHEIN Baby Girl Letter Graphic Cami Top &amp; Mesh Overlay Skort 1 3.68
Baby Girl Holiday Casual Cute Raw Hem Ruffle Heart Shaped Strap Elastic Comfort Top &amp; Elastic Waist 2 4.76
Pockets Denim Shorts Sets
Item ( s ) Subtotal : 11.04
Shipping / Handling : 0.00
Sales Tax : 0.00
Grand Total: : 11.04</t>
        </is>
      </c>
    </row>
    <row r="13">
      <c r="A13" s="32" t="inlineStr">
        <is>
          <t>INVUS20240717002018383.pdf</t>
        </is>
      </c>
      <c r="B13" s="32" t="inlineStr">
        <is>
          <t>65/100</t>
        </is>
      </c>
      <c r="C13" s="32" t="inlineStr">
        <is>
          <t>FAIR</t>
        </is>
      </c>
      <c r="D13" s="32" t="inlineStr">
        <is>
          <t>Text: 679 chars; Prices: 0 ($-sign), 0 (decimal); Total: $8.06; Invoice#: INVUS20240717002018383; Real items: 1/1; Structure words: 10/12</t>
        </is>
      </c>
      <c r="E13" s="33" t="inlineStr">
        <is>
          <t>SHEIN US Services, LLC.
777 S Alameda St Fl 2, Los Angeles, CA 90021-1633
Sales Invoice
Bill To:
Britana Bowen
Invoice No.:
INVUS20240717002018383
Billing Address:
10813, NW 30TH STREET BLDG 115 GRE 2594 Miami,
FLORIDA 33172
Invoice Date:
2024-07-17
Delivery Address:
10813, NW 30TH STREET BLDG 115 GRE 2594 Miami,
FLORIDA 33172
Order Information
Order Number:
GSUNJY54400NF6X
Order Date:
2024-07-17
Seller Information
Sold By:
Biubiu
Address:
Room 501, No. 5, Licun South Road, Dashi Street, Panyu
District, Guangzhou, China
Invoice Detail
Description
Quantity
Amount(USD)
Plus Size Dresses 1 7.52
Item(s) Subtotal:
7.52
Shipping/Handling:
0.00
Sales Tax:
0.54
Grand Total:
8.06</t>
        </is>
      </c>
    </row>
    <row r="14">
      <c r="A14" s="34" t="inlineStr">
        <is>
          <t>PO-211-0650403289407038_Invoice.pdf</t>
        </is>
      </c>
      <c r="B14" s="34" t="inlineStr">
        <is>
          <t>90/100</t>
        </is>
      </c>
      <c r="C14" s="34" t="inlineStr">
        <is>
          <t>GOOD</t>
        </is>
      </c>
      <c r="D14" s="34" t="inlineStr">
        <is>
          <t>Text: 1227 chars; Prices: 6 ($-sign), 4 (decimal); Total: $19.02; Invoice#: PO-211-06504032894070385; Real items: 1/1; Structure words: 5/12</t>
        </is>
      </c>
      <c r="E14" s="35" t="inlineStr">
        <is>
          <t xml:space="preserve">i ¢ 2024/07/24 10:13
tay TEMU
@ As we're committed to reducing our environmental impact, we have eliminated paper receipt.
Order Summary
Ordor ID: PO-211-06504032894070385S
Order time: Jul 22, 2024
item(s) total: $14.98
Shipping: $2.99
Sales tax: $1.05
Order total: $19.02
Shipping address
Samantha Mc Queen +1 (473)410-7654, 10813 NW 30TH ST, BLDG 115 GRE 8590, MIAMI, FL 33172, United
States
Payment method
@ Your payment Information ts safo with us. Temu does not share your Information with the sellers.
Vise ...8147 $19.02
VISA Pald on Jul 22, 2024
Billing address: Samentha Mc Queen +1 (473)410-7654, 10813 NW 30TH ST, BLOG 115 GRE 8580,
MIAMI, FL 33172, United States
Item details (1)
SOCEM we po ae Suntlower Throw Fallow Cavers Set of 4, Summer Outdoor Yellow Sunflowers Floral Throw Pidlow $14.98
pro Beat Case For Safa Bextroom Living Room Bed Couch Home Sweet Home Cushion Covers Decorative, a
rage pee) 18X18 Inches
wy ore: “to - Gt
PS By § bast! Hore
Free returns within 80 days
Free rotums are avallablo for you.
1/2
1.¥You can return the item for any reason In new snd unused condition: no shipping charges.
2.This item cen be returned In Its original condition for a full refund within 80 days of purchase.
2/2
</t>
        </is>
      </c>
    </row>
    <row r="15">
      <c r="A15" s="32" t="inlineStr">
        <is>
          <t>SELLER.pdf</t>
        </is>
      </c>
      <c r="B15" s="32" t="inlineStr">
        <is>
          <t>65/100</t>
        </is>
      </c>
      <c r="C15" s="32" t="inlineStr">
        <is>
          <t>FAIR</t>
        </is>
      </c>
      <c r="D15" s="32" t="inlineStr">
        <is>
          <t>Text: 876 chars; Prices: 0 ($-sign), 0 (decimal); Total: $1.44; Invoice#: INVUS20240717002005488; Real items: 1/1; Structure words: 10/12</t>
        </is>
      </c>
      <c r="E15" s="33" t="inlineStr">
        <is>
          <t>SHEIN US Services, LLC.
777 S Alameda St Fl 2, Los Angeles, CA 90021-1633
Sales Invoice
Bill To:
Britana Bowen
Invoice No.:
INVUS20240717002005488
Billing Address:
10813, NW 30TH STREET BLDG 115 GRE 2594 Miami,
FLORIDA 33172
Invoice Date:
2024-07-17
Delivery Address:
10813, NW 30TH STREET BLDG 115 GRE 2594 Miami,
FLORIDA 33172
Order Information
Order Number:
GSUNJY54400NF6Q
Order Date:
2024-07-17
Seller Information
Sold By:
HANSISI
Address:
China, 4th Floor, No. 1011, Dongzhou Road, Jiangdong Street,
Yiwu City, Zhejiang Province (self-declaration)
Invoice Detail
Description
Quantity
Amount(USD)
2ML * 10 Sample Women's Perfume With 10 Fragrances, Lasting Fragrance, Rose And Fruit Fragrance,
Ready To Replenish Fragrance, Easy To Carry, Fresh And Elegant, Releasing Women's Perfume 1 1.35
Item(s) Subtotal:
1.35
Shipping/Handling:
0.00
Sales Tax:
0.09
Grand Total:
1.44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2026-04-20T16:36:13Z</dcterms:created>
  <dcterms:modified xsi:type="dcterms:W3CDTF">2026-04-20T16:36:19Z</dcterms:modified>
</cp:coreProperties>
</file>