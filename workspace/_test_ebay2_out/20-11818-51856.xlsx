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lighting or visual signalling equipment</t>
        </is>
      </c>
      <c r="F2" s="2" t="inlineStr">
        <is>
          <t>85122000</t>
        </is>
      </c>
      <c r="G2" s="2" t="inlineStr"/>
      <c r="H2" s="2" t="inlineStr"/>
      <c r="I2" s="2" t="inlineStr">
        <is>
          <t>85122000</t>
        </is>
      </c>
      <c r="J2" s="2" t="inlineStr">
        <is>
          <t>F 1-04 FRONTIER/SENTRA CLEAR LENS OE DRIVING PAIR FOG LIGHT FedEx Ground or FedEx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32.7</v>
      </c>
      <c r="P2" s="3" t="n">
        <v>32.7</v>
      </c>
      <c r="Q2" s="3">
        <f>O2*K2</f>
        <v/>
      </c>
      <c r="R2" s="3">
        <f>P2-Q2</f>
        <v/>
      </c>
      <c r="S2" s="3" t="n">
        <v>170.51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20-11818-51856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85122000</t>
        </is>
      </c>
    </row>
    <row r="3">
      <c r="A3" s="4" t="n"/>
      <c r="B3" s="4" t="n"/>
      <c r="C3" s="4" t="n"/>
      <c r="D3" s="4" t="n"/>
      <c r="E3" s="4" t="n"/>
      <c r="F3" s="4" t="inlineStr">
        <is>
          <t>85122000</t>
        </is>
      </c>
      <c r="G3" s="4" t="n"/>
      <c r="H3" s="4" t="n"/>
      <c r="I3" s="4" t="inlineStr">
        <is>
          <t>ITEM-001</t>
        </is>
      </c>
      <c r="J3" s="4" t="inlineStr">
        <is>
          <t>F 1-04 FRONTIER/SENTRA CLEAR LENS OE DRIVING PAIR FOG LIGHT FedEx Ground or FedEx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32.7</v>
      </c>
      <c r="P3" s="5" t="n">
        <v>32.7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20-11818-51856</t>
        </is>
      </c>
      <c r="D4" s="2" t="inlineStr">
        <is>
          <t>2024-07-16</t>
        </is>
      </c>
      <c r="E4" s="2" t="inlineStr">
        <is>
          <t>OTHER NK HEAVY DUTY</t>
        </is>
      </c>
      <c r="F4" s="2" t="inlineStr">
        <is>
          <t>87083099</t>
        </is>
      </c>
      <c r="G4" s="2" t="inlineStr"/>
      <c r="H4" s="2" t="inlineStr"/>
      <c r="I4" s="2" t="inlineStr">
        <is>
          <t>87083099</t>
        </is>
      </c>
      <c r="J4" s="2" t="inlineStr">
        <is>
          <t>NEW GENUINE SUZUKI GRAND VITARA BRAKE LEVER PARKING ADJUSTER USPS Ground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19.855</v>
      </c>
      <c r="P4" s="3" t="n">
        <v>39.71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87083099</t>
        </is>
      </c>
    </row>
    <row r="5">
      <c r="A5" s="4" t="n"/>
      <c r="B5" s="4" t="n"/>
      <c r="C5" s="4" t="n"/>
      <c r="D5" s="4" t="n"/>
      <c r="E5" s="4" t="n"/>
      <c r="F5" s="4" t="inlineStr">
        <is>
          <t>87083099</t>
        </is>
      </c>
      <c r="G5" s="4" t="n"/>
      <c r="H5" s="4" t="n"/>
      <c r="I5" s="4" t="inlineStr">
        <is>
          <t>ITEM-002</t>
        </is>
      </c>
      <c r="J5" s="4" t="inlineStr">
        <is>
          <t>NEW GENUINE SUZUKI GRAND VITARA BRAKE LEVER PARKING ADJUSTER USPS Ground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19.04</v>
      </c>
      <c r="P5" s="5" t="n">
        <v>19.04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87083099</t>
        </is>
      </c>
      <c r="G6" s="4" t="n"/>
      <c r="H6" s="4" t="n"/>
      <c r="I6" s="4" t="inlineStr">
        <is>
          <t>ITEM-003</t>
        </is>
      </c>
      <c r="J6" s="4" t="inlineStr">
        <is>
          <t>Se. necoore Suzuki Vitara Brake Lever Parking Adjuster Left Side 5378265D00 USPS Ground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20.67</v>
      </c>
      <c r="P6" s="5" t="n">
        <v>20.67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20-11818-51856</t>
        </is>
      </c>
      <c r="D7" s="2" t="inlineStr">
        <is>
          <t>2024-07-16</t>
        </is>
      </c>
      <c r="E7" s="2" t="inlineStr">
        <is>
          <t>MARINE ELECTRICAL</t>
        </is>
      </c>
      <c r="F7" s="2" t="inlineStr">
        <is>
          <t>85365000</t>
        </is>
      </c>
      <c r="G7" s="2" t="inlineStr"/>
      <c r="H7" s="2" t="inlineStr"/>
      <c r="I7" s="2" t="inlineStr">
        <is>
          <t>85365000</t>
        </is>
      </c>
      <c r="J7" s="2" t="inlineStr">
        <is>
          <t>or Suzuki Grand Vitara Vitara 1999 2000-2002 XL-7 2005 2006 Power Window FedEx Ground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16.69</v>
      </c>
      <c r="P7" s="3" t="n">
        <v>16.69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85365000</t>
        </is>
      </c>
    </row>
    <row r="8">
      <c r="A8" s="4" t="n"/>
      <c r="B8" s="4" t="n"/>
      <c r="C8" s="4" t="n"/>
      <c r="D8" s="4" t="n"/>
      <c r="E8" s="4" t="n"/>
      <c r="F8" s="4" t="inlineStr">
        <is>
          <t>85365000</t>
        </is>
      </c>
      <c r="G8" s="4" t="n"/>
      <c r="H8" s="4" t="n"/>
      <c r="I8" s="4" t="inlineStr">
        <is>
          <t>ITEM-004</t>
        </is>
      </c>
      <c r="J8" s="4" t="inlineStr">
        <is>
          <t>or Suzuki Grand Vitara Vitara 1999 2000-2002 XL-7 2005 2006 Power Window FedEx Ground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16.69</v>
      </c>
      <c r="P8" s="5" t="n">
        <v>16.69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20-11818-51856</t>
        </is>
      </c>
      <c r="D9" s="2" t="inlineStr">
        <is>
          <t>2024-07-16</t>
        </is>
      </c>
      <c r="E9" s="2" t="inlineStr">
        <is>
          <t>OTHER FRONT BILLET</t>
        </is>
      </c>
      <c r="F9" s="2" t="inlineStr">
        <is>
          <t>87082900</t>
        </is>
      </c>
      <c r="G9" s="2" t="inlineStr"/>
      <c r="H9" s="2" t="inlineStr"/>
      <c r="I9" s="2" t="inlineStr">
        <is>
          <t>87082900</t>
        </is>
      </c>
      <c r="J9" s="2" t="inlineStr">
        <is>
          <t>OPV NISSANRight Upper Lower Door Hinge Fits Nissan D22 Frontier Maxima 2000 USPS Ground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59.98</v>
      </c>
      <c r="P9" s="3" t="n">
        <v>59.98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87082900</t>
        </is>
      </c>
    </row>
    <row r="10">
      <c r="A10" s="4" t="n"/>
      <c r="B10" s="4" t="n"/>
      <c r="C10" s="4" t="n"/>
      <c r="D10" s="4" t="n"/>
      <c r="E10" s="4" t="n"/>
      <c r="F10" s="4" t="inlineStr">
        <is>
          <t>87082900</t>
        </is>
      </c>
      <c r="G10" s="4" t="n"/>
      <c r="H10" s="4" t="n"/>
      <c r="I10" s="4" t="inlineStr">
        <is>
          <t>ITEM-005</t>
        </is>
      </c>
      <c r="J10" s="4" t="inlineStr">
        <is>
          <t>OPV NISSANRight Upper Lower Door Hinge Fits Nissan D22 Frontier Maxima 2000 USPS Ground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59.98</v>
      </c>
      <c r="P10" s="5" t="n">
        <v>59.98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P2+P4+P7+P9</f>
        <v/>
      </c>
      <c r="Q11" s="7">
        <f>Q2+Q4+Q7+Q9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inlineStr">
        <is>
          <t>INVOICE NOTES: Structural item count mismatch: 1 price lines found between section markers but 5 items extracted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/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inlineStr">
        <is>
          <t>DUTY ESTIMATION (Classification Cross-Check)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CIF (USD) = InvTotal + Freight + Insurance</t>
        </is>
      </c>
      <c r="K29" s="15" t="n"/>
      <c r="L29" s="15" t="n"/>
      <c r="M29" s="15" t="n"/>
      <c r="N29" s="15" t="n"/>
      <c r="O29" s="15" t="n"/>
      <c r="P29" s="17" t="n">
        <v>173.51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CIF (XCD) = CIF × 2.7169</t>
        </is>
      </c>
      <c r="K30" s="15" t="n"/>
      <c r="L30" s="15" t="n"/>
      <c r="M30" s="15" t="n"/>
      <c r="N30" s="15" t="n"/>
      <c r="O30" s="15" t="n"/>
      <c r="P30" s="17" t="n">
        <v>471.41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CET (weighted avg 6.7%)</t>
        </is>
      </c>
      <c r="K31" s="15" t="n"/>
      <c r="L31" s="15" t="n"/>
      <c r="M31" s="15" t="n"/>
      <c r="N31" s="15" t="n"/>
      <c r="O31" s="15" t="n"/>
      <c r="P31" s="17" t="n">
        <v>31.49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inlineStr">
        <is>
          <t>85122000</t>
        </is>
      </c>
      <c r="G32" s="15" t="n"/>
      <c r="H32" s="15" t="n"/>
      <c r="I32" s="15" t="n"/>
      <c r="J32" s="16" t="inlineStr">
        <is>
          <t xml:space="preserve">  └ 85122000: 5% CET (22% of value)</t>
        </is>
      </c>
      <c r="K32" s="15" t="n"/>
      <c r="L32" s="15" t="n"/>
      <c r="M32" s="15" t="n"/>
      <c r="N32" s="15" t="n"/>
      <c r="O32" s="15" t="n"/>
      <c r="P32" s="17" t="n">
        <v>5.17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inlineStr">
        <is>
          <t>85122000</t>
        </is>
      </c>
    </row>
    <row r="33">
      <c r="A33" s="15" t="n"/>
      <c r="B33" s="15" t="n"/>
      <c r="C33" s="15" t="n"/>
      <c r="D33" s="15" t="n"/>
      <c r="E33" s="15" t="n"/>
      <c r="F33" s="15" t="inlineStr">
        <is>
          <t>85365000</t>
        </is>
      </c>
      <c r="G33" s="15" t="n"/>
      <c r="H33" s="15" t="n"/>
      <c r="I33" s="15" t="n"/>
      <c r="J33" s="16" t="inlineStr">
        <is>
          <t xml:space="preserve">  └ 85365000: 20% CET (11% of value)</t>
        </is>
      </c>
      <c r="K33" s="15" t="n"/>
      <c r="L33" s="15" t="n"/>
      <c r="M33" s="15" t="n"/>
      <c r="N33" s="15" t="n"/>
      <c r="O33" s="15" t="n"/>
      <c r="P33" s="17" t="n">
        <v>10.56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inlineStr">
        <is>
          <t>85365000</t>
        </is>
      </c>
    </row>
    <row r="34">
      <c r="A34" s="15" t="n"/>
      <c r="B34" s="15" t="n"/>
      <c r="C34" s="15" t="n"/>
      <c r="D34" s="15" t="n"/>
      <c r="E34" s="15" t="n"/>
      <c r="F34" s="15" t="inlineStr">
        <is>
          <t>87082900</t>
        </is>
      </c>
      <c r="G34" s="15" t="n"/>
      <c r="H34" s="15" t="n"/>
      <c r="I34" s="15" t="n"/>
      <c r="J34" s="16" t="inlineStr">
        <is>
          <t xml:space="preserve">  └ 87082900: 5% CET (40% of value)</t>
        </is>
      </c>
      <c r="K34" s="15" t="n"/>
      <c r="L34" s="15" t="n"/>
      <c r="M34" s="15" t="n"/>
      <c r="N34" s="15" t="n"/>
      <c r="O34" s="15" t="n"/>
      <c r="P34" s="17" t="n">
        <v>9.48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inlineStr">
        <is>
          <t>87082900</t>
        </is>
      </c>
    </row>
    <row r="35">
      <c r="A35" s="15" t="n"/>
      <c r="B35" s="15" t="n"/>
      <c r="C35" s="15" t="n"/>
      <c r="D35" s="15" t="n"/>
      <c r="E35" s="15" t="n"/>
      <c r="F35" s="15" t="inlineStr">
        <is>
          <t>87083099</t>
        </is>
      </c>
      <c r="G35" s="15" t="n"/>
      <c r="H35" s="15" t="n"/>
      <c r="I35" s="15" t="n"/>
      <c r="J35" s="16" t="inlineStr">
        <is>
          <t xml:space="preserve">  └ 87083099: 5% CET (27% of value)</t>
        </is>
      </c>
      <c r="K35" s="15" t="n"/>
      <c r="L35" s="15" t="n"/>
      <c r="M35" s="15" t="n"/>
      <c r="N35" s="15" t="n"/>
      <c r="O35" s="15" t="n"/>
      <c r="P35" s="17" t="n">
        <v>6.28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inlineStr">
        <is>
          <t>87083099</t>
        </is>
      </c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CSC (6%)</t>
        </is>
      </c>
      <c r="K36" s="15" t="n"/>
      <c r="L36" s="15" t="n"/>
      <c r="M36" s="15" t="n"/>
      <c r="N36" s="15" t="n"/>
      <c r="O36" s="15" t="n"/>
      <c r="P36" s="17" t="n">
        <v>28.28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VAT (15%) on CIF+CET+CSC</t>
        </is>
      </c>
      <c r="K37" s="15" t="n"/>
      <c r="L37" s="15" t="n"/>
      <c r="M37" s="15" t="n"/>
      <c r="N37" s="15" t="n"/>
      <c r="O37" s="15" t="n"/>
      <c r="P37" s="17" t="n">
        <v>79.68000000000001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4" t="inlineStr">
        <is>
          <t>ESTIMATED TOTAL DUTIES</t>
        </is>
      </c>
      <c r="K38" s="18" t="n"/>
      <c r="L38" s="18" t="n"/>
      <c r="M38" s="18" t="n"/>
      <c r="N38" s="18" t="n"/>
      <c r="O38" s="18" t="n"/>
      <c r="P38" s="19" t="n">
        <v>139.45</v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Effective Duty Rate</t>
        </is>
      </c>
      <c r="K39" s="15" t="n"/>
      <c r="L39" s="15" t="n"/>
      <c r="M39" s="15" t="n"/>
      <c r="N39" s="15" t="n"/>
      <c r="O39" s="15" t="n"/>
      <c r="P39" s="20" t="n">
        <v>0.2958146836087482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>CLIENT DECLARED DUTIES</t>
        </is>
      </c>
      <c r="K40" s="15" t="n"/>
      <c r="L40" s="15" t="n"/>
      <c r="M40" s="15" t="n"/>
      <c r="N40" s="15" t="n"/>
      <c r="O40" s="15" t="n"/>
      <c r="P40" s="17" t="n">
        <v>123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21" t="inlineStr">
        <is>
          <t>DUTY VARIANCE (Client − Estimated)</t>
        </is>
      </c>
      <c r="K41" s="15" t="n"/>
      <c r="L41" s="15" t="n"/>
      <c r="M41" s="15" t="n"/>
      <c r="N41" s="15" t="n"/>
      <c r="O41" s="15" t="n"/>
      <c r="P41" s="22" t="n">
        <v>-16.45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inlineStr">
        <is>
          <t>IMPLIED CET RATE (from client value)</t>
        </is>
      </c>
      <c r="K42" s="15" t="n"/>
      <c r="L42" s="15" t="n"/>
      <c r="M42" s="15" t="n"/>
      <c r="N42" s="15" t="n"/>
      <c r="O42" s="15" t="n"/>
      <c r="P42" s="20" t="n">
        <v>0.03645162569645366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21" t="inlineStr">
        <is>
          <t>⚠ CET MISMATCH: System=7% vs Client≈4% — review classification</t>
        </is>
      </c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2026-04-18T21:32:38Z</dcterms:created>
  <dcterms:modified xsi:type="dcterms:W3CDTF">2026-04-18T21:32:44Z</dcterms:modified>
</cp:coreProperties>
</file>