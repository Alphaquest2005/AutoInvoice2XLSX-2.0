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375623"/>
      <sz val="10"/>
    </font>
    <font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/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inlineStr">
        <is>
          <t>Items on other declaration(s) (5 items)</t>
        </is>
      </c>
      <c r="K3" s="2" t="n"/>
      <c r="L3" s="2" t="n"/>
      <c r="M3" s="2" t="n"/>
      <c r="N3" s="2" t="n"/>
      <c r="O3" s="2" t="n"/>
      <c r="P3" s="3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</row>
    <row r="4">
      <c r="A4" s="2" t="n"/>
      <c r="B4" s="2" t="n"/>
      <c r="C4" s="2" t="n"/>
      <c r="D4" s="2" t="n"/>
      <c r="E4" s="2" t="inlineStr">
        <is>
          <t>Other lighting or visual signalling equipment</t>
        </is>
      </c>
      <c r="F4" s="2" t="inlineStr">
        <is>
          <t>85122000</t>
        </is>
      </c>
      <c r="G4" s="2" t="n"/>
      <c r="H4" s="2" t="n"/>
      <c r="I4" s="2" t="n"/>
      <c r="J4" s="2" t="inlineStr">
        <is>
          <t>F 1-04 FRONTIER/SENTRA CLEAR LENS OE DRIVING PAIR FOG LIGHT FedEx Ground or FedEx (1 items)</t>
        </is>
      </c>
      <c r="K4" s="2" t="n">
        <v>1</v>
      </c>
      <c r="L4" s="2" t="n"/>
      <c r="M4" s="2" t="n"/>
      <c r="N4" s="2" t="inlineStr">
        <is>
          <t>USD</t>
        </is>
      </c>
      <c r="O4" s="3" t="n">
        <v>32.7</v>
      </c>
      <c r="P4" s="3" t="n">
        <v>32.7</v>
      </c>
      <c r="Q4" s="3" t="n"/>
      <c r="R4" s="3" t="n"/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inlineStr">
        <is>
          <t>ITEM-001</t>
        </is>
      </c>
      <c r="J5" s="4" t="inlineStr">
        <is>
          <t>F 1-04 FRONTIER/SENTRA CLEAR LENS OE DRIVING PAIR FOG LIGHT FedEx Ground or FedEx</t>
        </is>
      </c>
      <c r="K5" s="4" t="n">
        <v>1</v>
      </c>
      <c r="L5" s="4" t="n"/>
      <c r="M5" s="4" t="n"/>
      <c r="N5" s="4" t="inlineStr">
        <is>
          <t>USD</t>
        </is>
      </c>
      <c r="O5" s="5" t="n">
        <v>32.7</v>
      </c>
      <c r="P5" s="5" t="n">
        <v>32.7</v>
      </c>
      <c r="Q5" s="5" t="n"/>
      <c r="R5" s="5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2" t="n"/>
      <c r="B6" s="2" t="n"/>
      <c r="C6" s="2" t="n"/>
      <c r="D6" s="2" t="n"/>
      <c r="E6" s="2" t="inlineStr">
        <is>
          <t>OTHER NK HEAVY DUTY</t>
        </is>
      </c>
      <c r="F6" s="2" t="inlineStr">
        <is>
          <t>87083099</t>
        </is>
      </c>
      <c r="G6" s="2" t="n"/>
      <c r="H6" s="2" t="n"/>
      <c r="I6" s="2" t="n"/>
      <c r="J6" s="2" t="inlineStr">
        <is>
          <t>NEW GENUINE SUZUKI GRAND VITARA BRAKE LEVER PARKING ADJUSTER USPS Ground (+1 more) (2 items)</t>
        </is>
      </c>
      <c r="K6" s="2" t="n">
        <v>2</v>
      </c>
      <c r="L6" s="2" t="n"/>
      <c r="M6" s="2" t="n"/>
      <c r="N6" s="2" t="inlineStr">
        <is>
          <t>USD</t>
        </is>
      </c>
      <c r="O6" s="3" t="n">
        <v>19.855</v>
      </c>
      <c r="P6" s="3" t="n">
        <v>39.71</v>
      </c>
      <c r="Q6" s="3" t="n"/>
      <c r="R6" s="3" t="n"/>
      <c r="S6" s="3" t="n"/>
      <c r="T6" s="3" t="n"/>
      <c r="U6" s="3" t="n"/>
      <c r="V6" s="3" t="n"/>
      <c r="W6" s="3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inlineStr">
        <is>
          <t>ITEM-002</t>
        </is>
      </c>
      <c r="J7" s="4" t="inlineStr">
        <is>
          <t>NEW GENUINE SUZUKI GRAND VITARA BRAKE LEVER PARKING ADJUSTER USPS Ground</t>
        </is>
      </c>
      <c r="K7" s="4" t="n">
        <v>1</v>
      </c>
      <c r="L7" s="4" t="n"/>
      <c r="M7" s="4" t="n"/>
      <c r="N7" s="4" t="inlineStr">
        <is>
          <t>USD</t>
        </is>
      </c>
      <c r="O7" s="5" t="n">
        <v>19.04</v>
      </c>
      <c r="P7" s="5" t="n">
        <v>19.04</v>
      </c>
      <c r="Q7" s="5" t="n"/>
      <c r="R7" s="5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inlineStr">
        <is>
          <t>ITEM-003</t>
        </is>
      </c>
      <c r="J8" s="4" t="inlineStr">
        <is>
          <t>Se. necoore Suzuki Vitara Brake Lever Parking Adjuster Left Side 5378265D00 USPS Ground</t>
        </is>
      </c>
      <c r="K8" s="4" t="n">
        <v>1</v>
      </c>
      <c r="L8" s="4" t="n"/>
      <c r="M8" s="4" t="n"/>
      <c r="N8" s="4" t="inlineStr">
        <is>
          <t>USD</t>
        </is>
      </c>
      <c r="O8" s="5" t="n">
        <v>20.67</v>
      </c>
      <c r="P8" s="5" t="n">
        <v>20.67</v>
      </c>
      <c r="Q8" s="5" t="n"/>
      <c r="R8" s="5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</row>
    <row r="9">
      <c r="A9" s="2" t="n"/>
      <c r="B9" s="2" t="n"/>
      <c r="C9" s="2" t="n"/>
      <c r="D9" s="2" t="n"/>
      <c r="E9" s="2" t="inlineStr">
        <is>
          <t>MARINE ELECTRICAL</t>
        </is>
      </c>
      <c r="F9" s="2" t="inlineStr">
        <is>
          <t>85365000</t>
        </is>
      </c>
      <c r="G9" s="2" t="n"/>
      <c r="H9" s="2" t="n"/>
      <c r="I9" s="2" t="n"/>
      <c r="J9" s="2" t="inlineStr">
        <is>
          <t>or Suzuki Grand Vitara Vitara 1999 2000-2002 XL-7 2005 2006 Power Window FedEx Ground (1 items)</t>
        </is>
      </c>
      <c r="K9" s="2" t="n">
        <v>1</v>
      </c>
      <c r="L9" s="2" t="n"/>
      <c r="M9" s="2" t="n"/>
      <c r="N9" s="2" t="inlineStr">
        <is>
          <t>USD</t>
        </is>
      </c>
      <c r="O9" s="3" t="n">
        <v>16.69</v>
      </c>
      <c r="P9" s="3" t="n">
        <v>16.69</v>
      </c>
      <c r="Q9" s="3" t="n"/>
      <c r="R9" s="3" t="n"/>
      <c r="S9" s="3" t="n"/>
      <c r="T9" s="3" t="n"/>
      <c r="U9" s="3" t="n"/>
      <c r="V9" s="3" t="n"/>
      <c r="W9" s="3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inlineStr">
        <is>
          <t>ITEM-004</t>
        </is>
      </c>
      <c r="J10" s="4" t="inlineStr">
        <is>
          <t>or Suzuki Grand Vitara Vitara 1999 2000-2002 XL-7 2005 2006 Power Window FedEx Ground</t>
        </is>
      </c>
      <c r="K10" s="4" t="n">
        <v>1</v>
      </c>
      <c r="L10" s="4" t="n"/>
      <c r="M10" s="4" t="n"/>
      <c r="N10" s="4" t="inlineStr">
        <is>
          <t>USD</t>
        </is>
      </c>
      <c r="O10" s="5" t="n">
        <v>16.69</v>
      </c>
      <c r="P10" s="5" t="n">
        <v>16.69</v>
      </c>
      <c r="Q10" s="5" t="n"/>
      <c r="R10" s="5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</row>
    <row r="11">
      <c r="A11" s="2" t="n"/>
      <c r="B11" s="2" t="n"/>
      <c r="C11" s="2" t="n"/>
      <c r="D11" s="2" t="n"/>
      <c r="E11" s="2" t="inlineStr">
        <is>
          <t>OTHER FRONT BILLET</t>
        </is>
      </c>
      <c r="F11" s="2" t="inlineStr">
        <is>
          <t>87082900</t>
        </is>
      </c>
      <c r="G11" s="2" t="n"/>
      <c r="H11" s="2" t="n"/>
      <c r="I11" s="2" t="n"/>
      <c r="J11" s="2" t="inlineStr">
        <is>
          <t>OPV NISSANRight Upper Lower Door Hinge Fits Nissan D22 Frontier Maxima 2000 USPS Ground (1 items)</t>
        </is>
      </c>
      <c r="K11" s="2" t="n">
        <v>1</v>
      </c>
      <c r="L11" s="2" t="n"/>
      <c r="M11" s="2" t="n"/>
      <c r="N11" s="2" t="inlineStr">
        <is>
          <t>USD</t>
        </is>
      </c>
      <c r="O11" s="3" t="n">
        <v>59.98</v>
      </c>
      <c r="P11" s="3" t="n">
        <v>59.98</v>
      </c>
      <c r="Q11" s="3" t="n"/>
      <c r="R11" s="3" t="n"/>
      <c r="S11" s="3" t="n"/>
      <c r="T11" s="3" t="n"/>
      <c r="U11" s="3" t="n"/>
      <c r="V11" s="3" t="n"/>
      <c r="W11" s="3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inlineStr">
        <is>
          <t>ITEM-005</t>
        </is>
      </c>
      <c r="J12" s="4" t="inlineStr">
        <is>
          <t>OPV NISSANRight Upper Lower Door Hinge Fits Nissan D22 Frontier Maxima 2000 USPS Ground</t>
        </is>
      </c>
      <c r="K12" s="4" t="n">
        <v>1</v>
      </c>
      <c r="L12" s="4" t="n"/>
      <c r="M12" s="4" t="n"/>
      <c r="N12" s="4" t="inlineStr">
        <is>
          <t>USD</t>
        </is>
      </c>
      <c r="O12" s="5" t="n">
        <v>59.98</v>
      </c>
      <c r="P12" s="5" t="n">
        <v>59.98</v>
      </c>
      <c r="Q12" s="5" t="n"/>
      <c r="R12" s="5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REFERENCE SUBTOTAL</t>
        </is>
      </c>
      <c r="K13" s="6" t="n"/>
      <c r="L13" s="6" t="n"/>
      <c r="M13" s="6" t="n"/>
      <c r="N13" s="6" t="n"/>
      <c r="O13" s="6" t="n"/>
      <c r="P13" s="7" t="n">
        <v>149.08</v>
      </c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REFERENCE FREIGHT</t>
        </is>
      </c>
      <c r="K14" s="6" t="n"/>
      <c r="L14" s="6" t="n"/>
      <c r="M14" s="6" t="n"/>
      <c r="N14" s="6" t="n"/>
      <c r="O14" s="6" t="n"/>
      <c r="P14" s="7" t="n">
        <v>17</v>
      </c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REFERENCE INSURANCE</t>
        </is>
      </c>
      <c r="K15" s="6" t="n"/>
      <c r="L15" s="6" t="n"/>
      <c r="M15" s="6" t="n"/>
      <c r="N15" s="6" t="n"/>
      <c r="O15" s="6" t="n"/>
      <c r="P15" s="7" t="n">
        <v>0</v>
      </c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REFERENCE OTHER COST</t>
        </is>
      </c>
      <c r="K16" s="6" t="n"/>
      <c r="L16" s="6" t="n"/>
      <c r="M16" s="6" t="n"/>
      <c r="N16" s="6" t="n"/>
      <c r="O16" s="6" t="n"/>
      <c r="P16" s="7" t="n">
        <v>0</v>
      </c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REFERENCE DEDUCTION</t>
        </is>
      </c>
      <c r="K17" s="6" t="n"/>
      <c r="L17" s="6" t="n"/>
      <c r="M17" s="6" t="n"/>
      <c r="N17" s="6" t="n"/>
      <c r="O17" s="6" t="n"/>
      <c r="P17" s="7" t="n">
        <v>0</v>
      </c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REFERENCE ADJUSTMENTS</t>
        </is>
      </c>
      <c r="K18" s="6" t="n"/>
      <c r="L18" s="6" t="n"/>
      <c r="M18" s="6" t="n"/>
      <c r="N18" s="6" t="n"/>
      <c r="O18" s="6" t="n"/>
      <c r="P18" s="7">
        <f>P14+P15+P16-P17</f>
        <v/>
      </c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inlineStr">
        <is>
          <t>REFERENCE NET TOTAL</t>
        </is>
      </c>
      <c r="K19" s="6" t="n"/>
      <c r="L19" s="6" t="n"/>
      <c r="M19" s="6" t="n"/>
      <c r="N19" s="6" t="n"/>
      <c r="O19" s="6" t="n"/>
      <c r="P19" s="7">
        <f>P13+P18</f>
        <v/>
      </c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2026-04-18T21:32:45Z</dcterms:created>
  <dcterms:modified xsi:type="dcterms:W3CDTF">2026-04-18T21:32:45Z</dcterms:modified>
</cp:coreProperties>
</file>