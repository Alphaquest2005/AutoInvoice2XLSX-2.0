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FRONT BILLET</t>
        </is>
      </c>
      <c r="F2" s="2" t="inlineStr">
        <is>
          <t>87082900</t>
        </is>
      </c>
      <c r="G2" s="2" t="inlineStr"/>
      <c r="H2" s="2" t="inlineStr"/>
      <c r="I2" s="2" t="inlineStr">
        <is>
          <t>87082900</t>
        </is>
      </c>
      <c r="J2" s="2" t="inlineStr">
        <is>
          <t>OPV NISSANRight Upper Lower Door Hinge Fits Nissan D22 Frontier Maxima 2000 USPS Ground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59.98</v>
      </c>
      <c r="P2" s="3" t="n">
        <v>59.98</v>
      </c>
      <c r="Q2" s="3">
        <f>O2*K2</f>
        <v/>
      </c>
      <c r="R2" s="3">
        <f>P2-Q2</f>
        <v/>
      </c>
      <c r="S2" s="3" t="n">
        <v>62.98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87082900</t>
        </is>
      </c>
    </row>
    <row r="3">
      <c r="A3" s="4" t="n"/>
      <c r="B3" s="4" t="n"/>
      <c r="C3" s="4" t="n"/>
      <c r="D3" s="4" t="n"/>
      <c r="E3" s="4" t="n"/>
      <c r="F3" s="4" t="inlineStr">
        <is>
          <t>87082900</t>
        </is>
      </c>
      <c r="G3" s="4" t="n"/>
      <c r="H3" s="4" t="n"/>
      <c r="I3" s="4" t="inlineStr">
        <is>
          <t>ITEM-005</t>
        </is>
      </c>
      <c r="J3" s="4" t="inlineStr">
        <is>
          <t>OPV NISSANRight Upper Lower Door Hinge Fits Nissan D22 Frontier Maxima 2000 USPS Ground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59.98</v>
      </c>
      <c r="P3" s="5" t="n">
        <v>59.98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inlineStr">
        <is>
          <t>INVOICE NOTES: Structural item count mismatch: 1 price lines found between section markers but 5 items extracted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/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inlineStr">
        <is>
          <t>DUTY ESTIMATION (Classification Cross-Check)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inlineStr">
        <is>
          <t>CIF (USD) = InvTotal + Freight + Insurance</t>
        </is>
      </c>
      <c r="K22" s="15" t="n"/>
      <c r="L22" s="15" t="n"/>
      <c r="M22" s="15" t="n"/>
      <c r="N22" s="15" t="n"/>
      <c r="O22" s="15" t="n"/>
      <c r="P22" s="17" t="n">
        <v>65.98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(XCD) = CIF × 2.7169</t>
        </is>
      </c>
      <c r="K23" s="15" t="n"/>
      <c r="L23" s="15" t="n"/>
      <c r="M23" s="15" t="n"/>
      <c r="N23" s="15" t="n"/>
      <c r="O23" s="15" t="n"/>
      <c r="P23" s="17" t="n">
        <v>179.26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CET (5%) — Tariff 87082900</t>
        </is>
      </c>
      <c r="K24" s="15" t="n"/>
      <c r="L24" s="15" t="n"/>
      <c r="M24" s="15" t="n"/>
      <c r="N24" s="15" t="n"/>
      <c r="O24" s="15" t="n"/>
      <c r="P24" s="17" t="n">
        <v>8.960000000000001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CSC (6%)</t>
        </is>
      </c>
      <c r="K25" s="15" t="n"/>
      <c r="L25" s="15" t="n"/>
      <c r="M25" s="15" t="n"/>
      <c r="N25" s="15" t="n"/>
      <c r="O25" s="15" t="n"/>
      <c r="P25" s="17" t="n">
        <v>10.76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VAT (15%) on CIF+CET+CSC</t>
        </is>
      </c>
      <c r="K26" s="15" t="n"/>
      <c r="L26" s="15" t="n"/>
      <c r="M26" s="15" t="n"/>
      <c r="N26" s="15" t="n"/>
      <c r="O26" s="15" t="n"/>
      <c r="P26" s="17" t="n">
        <v>29.85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4" t="inlineStr">
        <is>
          <t>ESTIMATED TOTAL DUTIES</t>
        </is>
      </c>
      <c r="K27" s="18" t="n"/>
      <c r="L27" s="18" t="n"/>
      <c r="M27" s="18" t="n"/>
      <c r="N27" s="18" t="n"/>
      <c r="O27" s="18" t="n"/>
      <c r="P27" s="19" t="n">
        <v>49.57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Effective Duty Rate</t>
        </is>
      </c>
      <c r="K28" s="15" t="n"/>
      <c r="L28" s="15" t="n"/>
      <c r="M28" s="15" t="n"/>
      <c r="N28" s="15" t="n"/>
      <c r="O28" s="15" t="n"/>
      <c r="P28" s="20" t="n">
        <v>0.2765257168358808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CLIENT DECLARED DUTIES</t>
        </is>
      </c>
      <c r="K29" s="15" t="n"/>
      <c r="L29" s="15" t="n"/>
      <c r="M29" s="15" t="n"/>
      <c r="N29" s="15" t="n"/>
      <c r="O29" s="15" t="n"/>
      <c r="P29" s="17" t="n">
        <v>123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21" t="inlineStr">
        <is>
          <t>DUTY VARIANCE (Client − Estimated)</t>
        </is>
      </c>
      <c r="K30" s="15" t="n"/>
      <c r="L30" s="15" t="n"/>
      <c r="M30" s="15" t="n"/>
      <c r="N30" s="15" t="n"/>
      <c r="O30" s="15" t="n"/>
      <c r="P30" s="22" t="n">
        <v>73.43000000000001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IMPLIED CET RATE (from client value)</t>
        </is>
      </c>
      <c r="K31" s="15" t="n"/>
      <c r="L31" s="15" t="n"/>
      <c r="M31" s="15" t="n"/>
      <c r="N31" s="15" t="n"/>
      <c r="O31" s="15" t="n"/>
      <c r="P31" s="20" t="n">
        <v>0.4062210343004333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21" t="inlineStr">
        <is>
          <t>⚠ CET MISMATCH: System=5% vs Client≈41% — review classification</t>
        </is>
      </c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/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inlineStr">
        <is>
          <t>Items on other declaration(s) (4 items)</t>
        </is>
      </c>
      <c r="K34" s="23" t="n"/>
      <c r="L34" s="23" t="n"/>
      <c r="M34" s="23" t="n"/>
      <c r="N34" s="23" t="n"/>
      <c r="O34" s="23" t="n"/>
      <c r="P34" s="24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3" t="n"/>
      <c r="B35" s="23" t="n"/>
      <c r="C35" s="23" t="n"/>
      <c r="D35" s="23" t="n"/>
      <c r="E35" s="23" t="inlineStr">
        <is>
          <t>Other lighting or visual signalling equipment</t>
        </is>
      </c>
      <c r="F35" s="23" t="inlineStr">
        <is>
          <t>85122000</t>
        </is>
      </c>
      <c r="G35" s="23" t="n"/>
      <c r="H35" s="23" t="n"/>
      <c r="I35" s="23" t="n"/>
      <c r="J35" s="23" t="inlineStr">
        <is>
          <t>F 1-04 FRONTIER/SENTRA CLEAR LENS OE DRIVING PAIR FOG LIGHT FedEx Ground or FedEx (1 items)</t>
        </is>
      </c>
      <c r="K35" s="23" t="n">
        <v>1</v>
      </c>
      <c r="L35" s="23" t="n"/>
      <c r="M35" s="23" t="n"/>
      <c r="N35" s="23" t="inlineStr">
        <is>
          <t>USD</t>
        </is>
      </c>
      <c r="O35" s="24" t="n">
        <v>32.7</v>
      </c>
      <c r="P35" s="24" t="n">
        <v>32.7</v>
      </c>
      <c r="Q35" s="24" t="n"/>
      <c r="R35" s="24" t="n"/>
      <c r="S35" s="24" t="n"/>
      <c r="T35" s="24" t="n"/>
      <c r="U35" s="24" t="n"/>
      <c r="V35" s="24" t="n"/>
      <c r="W35" s="24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inlineStr">
        <is>
          <t>ITEM-001</t>
        </is>
      </c>
      <c r="J36" s="25" t="inlineStr">
        <is>
          <t>F 1-04 FRONTIER/SENTRA CLEAR LENS OE DRIVING PAIR FOG LIGHT FedEx Ground or FedEx</t>
        </is>
      </c>
      <c r="K36" s="25" t="n">
        <v>1</v>
      </c>
      <c r="L36" s="25" t="n"/>
      <c r="M36" s="25" t="n"/>
      <c r="N36" s="25" t="inlineStr">
        <is>
          <t>USD</t>
        </is>
      </c>
      <c r="O36" s="26" t="n">
        <v>32.7</v>
      </c>
      <c r="P36" s="26" t="n">
        <v>32.7</v>
      </c>
      <c r="Q36" s="26" t="n"/>
      <c r="R36" s="26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</row>
    <row r="37">
      <c r="A37" s="23" t="n"/>
      <c r="B37" s="23" t="n"/>
      <c r="C37" s="23" t="n"/>
      <c r="D37" s="23" t="n"/>
      <c r="E37" s="23" t="inlineStr">
        <is>
          <t>OTHER NK HEAVY DUTY</t>
        </is>
      </c>
      <c r="F37" s="23" t="inlineStr">
        <is>
          <t>87083099</t>
        </is>
      </c>
      <c r="G37" s="23" t="n"/>
      <c r="H37" s="23" t="n"/>
      <c r="I37" s="23" t="n"/>
      <c r="J37" s="23" t="inlineStr">
        <is>
          <t>NEW GENUINE SUZUKI GRAND VITARA BRAKE LEVER PARKING ADJUSTER USPS Ground (+1 more) (2 items)</t>
        </is>
      </c>
      <c r="K37" s="23" t="n">
        <v>2</v>
      </c>
      <c r="L37" s="23" t="n"/>
      <c r="M37" s="23" t="n"/>
      <c r="N37" s="23" t="inlineStr">
        <is>
          <t>USD</t>
        </is>
      </c>
      <c r="O37" s="24" t="n">
        <v>19.855</v>
      </c>
      <c r="P37" s="24" t="n">
        <v>39.71</v>
      </c>
      <c r="Q37" s="24" t="n"/>
      <c r="R37" s="24" t="n"/>
      <c r="S37" s="24" t="n"/>
      <c r="T37" s="24" t="n"/>
      <c r="U37" s="24" t="n"/>
      <c r="V37" s="24" t="n"/>
      <c r="W37" s="24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inlineStr">
        <is>
          <t>ITEM-002</t>
        </is>
      </c>
      <c r="J38" s="25" t="inlineStr">
        <is>
          <t>NEW GENUINE SUZUKI GRAND VITARA BRAKE LEVER PARKING ADJUSTER USPS Ground</t>
        </is>
      </c>
      <c r="K38" s="25" t="n">
        <v>1</v>
      </c>
      <c r="L38" s="25" t="n"/>
      <c r="M38" s="25" t="n"/>
      <c r="N38" s="25" t="inlineStr">
        <is>
          <t>USD</t>
        </is>
      </c>
      <c r="O38" s="26" t="n">
        <v>19.04</v>
      </c>
      <c r="P38" s="26" t="n">
        <v>19.04</v>
      </c>
      <c r="Q38" s="26" t="n"/>
      <c r="R38" s="26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inlineStr">
        <is>
          <t>ITEM-003</t>
        </is>
      </c>
      <c r="J39" s="25" t="inlineStr">
        <is>
          <t>Se. necoore Suzuki Vitara Brake Lever Parking Adjuster Left Side 5378265D00 USPS Ground</t>
        </is>
      </c>
      <c r="K39" s="25" t="n">
        <v>1</v>
      </c>
      <c r="L39" s="25" t="n"/>
      <c r="M39" s="25" t="n"/>
      <c r="N39" s="25" t="inlineStr">
        <is>
          <t>USD</t>
        </is>
      </c>
      <c r="O39" s="26" t="n">
        <v>20.67</v>
      </c>
      <c r="P39" s="26" t="n">
        <v>20.67</v>
      </c>
      <c r="Q39" s="26" t="n"/>
      <c r="R39" s="26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3" t="n"/>
      <c r="B40" s="23" t="n"/>
      <c r="C40" s="23" t="n"/>
      <c r="D40" s="23" t="n"/>
      <c r="E40" s="23" t="inlineStr">
        <is>
          <t>MARINE ELECTRICAL</t>
        </is>
      </c>
      <c r="F40" s="23" t="inlineStr">
        <is>
          <t>85365000</t>
        </is>
      </c>
      <c r="G40" s="23" t="n"/>
      <c r="H40" s="23" t="n"/>
      <c r="I40" s="23" t="n"/>
      <c r="J40" s="23" t="inlineStr">
        <is>
          <t>or Suzuki Grand Vitara Vitara 1999 2000-2002 XL-7 2005 2006 Power Window FedEx Ground (1 items)</t>
        </is>
      </c>
      <c r="K40" s="23" t="n">
        <v>1</v>
      </c>
      <c r="L40" s="23" t="n"/>
      <c r="M40" s="23" t="n"/>
      <c r="N40" s="23" t="inlineStr">
        <is>
          <t>USD</t>
        </is>
      </c>
      <c r="O40" s="24" t="n">
        <v>16.69</v>
      </c>
      <c r="P40" s="24" t="n">
        <v>16.69</v>
      </c>
      <c r="Q40" s="24" t="n"/>
      <c r="R40" s="24" t="n"/>
      <c r="S40" s="24" t="n"/>
      <c r="T40" s="24" t="n"/>
      <c r="U40" s="24" t="n"/>
      <c r="V40" s="24" t="n"/>
      <c r="W40" s="24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inlineStr">
        <is>
          <t>ITEM-004</t>
        </is>
      </c>
      <c r="J41" s="25" t="inlineStr">
        <is>
          <t>or Suzuki Grand Vitara Vitara 1999 2000-2002 XL-7 2005 2006 Power Window FedEx Ground</t>
        </is>
      </c>
      <c r="K41" s="25" t="n">
        <v>1</v>
      </c>
      <c r="L41" s="25" t="n"/>
      <c r="M41" s="25" t="n"/>
      <c r="N41" s="25" t="inlineStr">
        <is>
          <t>USD</t>
        </is>
      </c>
      <c r="O41" s="26" t="n">
        <v>16.69</v>
      </c>
      <c r="P41" s="26" t="n">
        <v>16.69</v>
      </c>
      <c r="Q41" s="26" t="n"/>
      <c r="R41" s="26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inlineStr">
        <is>
          <t>REFERENCE SUBTOTAL</t>
        </is>
      </c>
      <c r="K42" s="27" t="n"/>
      <c r="L42" s="27" t="n"/>
      <c r="M42" s="27" t="n"/>
      <c r="N42" s="27" t="n"/>
      <c r="O42" s="27" t="n"/>
      <c r="P42" s="28" t="n">
        <v>89.09999999999999</v>
      </c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inlineStr">
        <is>
          <t>REFERENCE FREIGHT</t>
        </is>
      </c>
      <c r="K43" s="27" t="n"/>
      <c r="L43" s="27" t="n"/>
      <c r="M43" s="27" t="n"/>
      <c r="N43" s="27" t="n"/>
      <c r="O43" s="27" t="n"/>
      <c r="P43" s="28" t="n">
        <v>23</v>
      </c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inlineStr">
        <is>
          <t>REFERENCE INSURANCE</t>
        </is>
      </c>
      <c r="K44" s="27" t="n"/>
      <c r="L44" s="27" t="n"/>
      <c r="M44" s="27" t="n"/>
      <c r="N44" s="27" t="n"/>
      <c r="O44" s="27" t="n"/>
      <c r="P44" s="28" t="n">
        <v>0</v>
      </c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inlineStr">
        <is>
          <t>REFERENCE OTHER COST</t>
        </is>
      </c>
      <c r="K45" s="27" t="n"/>
      <c r="L45" s="27" t="n"/>
      <c r="M45" s="27" t="n"/>
      <c r="N45" s="27" t="n"/>
      <c r="O45" s="27" t="n"/>
      <c r="P45" s="28" t="n">
        <v>0</v>
      </c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inlineStr">
        <is>
          <t>REFERENCE DEDUCTION</t>
        </is>
      </c>
      <c r="K46" s="27" t="n"/>
      <c r="L46" s="27" t="n"/>
      <c r="M46" s="27" t="n"/>
      <c r="N46" s="27" t="n"/>
      <c r="O46" s="27" t="n"/>
      <c r="P46" s="28" t="n">
        <v>0</v>
      </c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inlineStr">
        <is>
          <t>REFERENCE ADJUSTMENTS</t>
        </is>
      </c>
      <c r="K47" s="27" t="n"/>
      <c r="L47" s="27" t="n"/>
      <c r="M47" s="27" t="n"/>
      <c r="N47" s="27" t="n"/>
      <c r="O47" s="27" t="n"/>
      <c r="P47" s="28">
        <f>P43+P44+P45-P46</f>
        <v/>
      </c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inlineStr">
        <is>
          <t>REFERENCE NET TOTAL</t>
        </is>
      </c>
      <c r="K48" s="27" t="n"/>
      <c r="L48" s="27" t="n"/>
      <c r="M48" s="27" t="n"/>
      <c r="N48" s="27" t="n"/>
      <c r="O48" s="27" t="n"/>
      <c r="P48" s="28">
        <f>P42+P47</f>
        <v/>
      </c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inlineStr">
        <is>
          <t>COMBINED ITEMS TOTAL</t>
        </is>
      </c>
      <c r="K50" s="27" t="n"/>
      <c r="L50" s="27" t="n"/>
      <c r="M50" s="27" t="n"/>
      <c r="N50" s="27" t="n"/>
      <c r="O50" s="27" t="n"/>
      <c r="P50" s="28">
        <f>P4+P42</f>
        <v/>
      </c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inlineStr">
        <is>
          <t>FULL INVOICE FREIGHT</t>
        </is>
      </c>
      <c r="K51" s="27" t="n"/>
      <c r="L51" s="27" t="n"/>
      <c r="M51" s="27" t="n"/>
      <c r="N51" s="27" t="n"/>
      <c r="O51" s="27" t="n"/>
      <c r="P51" s="28">
        <f>P8+P43</f>
        <v/>
      </c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inlineStr">
        <is>
          <t>FULL INVOICE INSURANCE</t>
        </is>
      </c>
      <c r="K52" s="27" t="n"/>
      <c r="L52" s="27" t="n"/>
      <c r="M52" s="27" t="n"/>
      <c r="N52" s="27" t="n"/>
      <c r="O52" s="27" t="n"/>
      <c r="P52" s="28">
        <f>P9+P44</f>
        <v/>
      </c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inlineStr">
        <is>
          <t>FULL INVOICE OTHER COST</t>
        </is>
      </c>
      <c r="K53" s="27" t="n"/>
      <c r="L53" s="27" t="n"/>
      <c r="M53" s="27" t="n"/>
      <c r="N53" s="27" t="n"/>
      <c r="O53" s="27" t="n"/>
      <c r="P53" s="28">
        <f>P10+P45</f>
        <v/>
      </c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inlineStr">
        <is>
          <t>FULL INVOICE DEDUCTION</t>
        </is>
      </c>
      <c r="K54" s="27" t="n"/>
      <c r="L54" s="27" t="n"/>
      <c r="M54" s="27" t="n"/>
      <c r="N54" s="27" t="n"/>
      <c r="O54" s="27" t="n"/>
      <c r="P54" s="28">
        <f>P11+P46</f>
        <v/>
      </c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FULL ADJUSTMENTS</t>
        </is>
      </c>
      <c r="K55" s="27" t="n"/>
      <c r="L55" s="27" t="n"/>
      <c r="M55" s="27" t="n"/>
      <c r="N55" s="27" t="n"/>
      <c r="O55" s="27" t="n"/>
      <c r="P55" s="28">
        <f>P51+P52+P53-P54</f>
        <v/>
      </c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inlineStr">
        <is>
          <t>COMBINED NET TOTAL</t>
        </is>
      </c>
      <c r="K56" s="27" t="n"/>
      <c r="L56" s="27" t="n"/>
      <c r="M56" s="27" t="n"/>
      <c r="N56" s="27" t="n"/>
      <c r="O56" s="27" t="n"/>
      <c r="P56" s="28">
        <f>P50+P55</f>
        <v/>
      </c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inlineStr">
        <is>
          <t>FULL INVOICE TOTAL</t>
        </is>
      </c>
      <c r="K57" s="27" t="n"/>
      <c r="L57" s="27" t="n"/>
      <c r="M57" s="27" t="n"/>
      <c r="N57" s="27" t="n"/>
      <c r="O57" s="27" t="n"/>
      <c r="P57" s="28" t="n">
        <v>175.08</v>
      </c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inlineStr">
        <is>
          <t>COMBINED VARIANCE CHECK</t>
        </is>
      </c>
      <c r="K58" s="27" t="n"/>
      <c r="L58" s="27" t="n"/>
      <c r="M58" s="27" t="n"/>
      <c r="N58" s="27" t="n"/>
      <c r="O58" s="27" t="n"/>
      <c r="P58" s="28">
        <f>P57-P56</f>
        <v/>
      </c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2026-04-18T21:32:45Z</dcterms:created>
  <dcterms:modified xsi:type="dcterms:W3CDTF">2026-04-18T21:32:45Z</dcterms:modified>
</cp:coreProperties>
</file>