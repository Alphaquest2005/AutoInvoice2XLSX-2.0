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FRONT BILLET</t>
        </is>
      </c>
      <c r="F2" s="2" t="inlineStr">
        <is>
          <t>87082900</t>
        </is>
      </c>
      <c r="G2" s="2" t="inlineStr"/>
      <c r="H2" s="2" t="inlineStr"/>
      <c r="I2" s="2" t="inlineStr">
        <is>
          <t>87082900</t>
        </is>
      </c>
      <c r="J2" s="2" t="inlineStr">
        <is>
          <t>APc (166001234398) Advantage . , a ys oor 1 or Suzuki Grand Vitara Vitara 199...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16.69</v>
      </c>
      <c r="P2" s="3" t="n">
        <v>16.69</v>
      </c>
      <c r="Q2" s="3">
        <f>O2*K2</f>
        <v/>
      </c>
      <c r="R2" s="3">
        <f>P2-Q2</f>
        <v/>
      </c>
      <c r="S2" s="3" t="n">
        <v>20.86</v>
      </c>
      <c r="T2" s="3" t="n">
        <v>3</v>
      </c>
      <c r="U2" s="3" t="n">
        <v>0</v>
      </c>
      <c r="V2" s="3" t="n">
        <v>1.17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87082900</t>
        </is>
      </c>
    </row>
    <row r="3">
      <c r="A3" s="4" t="n"/>
      <c r="B3" s="4" t="n"/>
      <c r="C3" s="4" t="n"/>
      <c r="D3" s="4" t="n"/>
      <c r="E3" s="4" t="n"/>
      <c r="F3" s="4" t="inlineStr">
        <is>
          <t>87082900</t>
        </is>
      </c>
      <c r="G3" s="4" t="n"/>
      <c r="H3" s="4" t="n"/>
      <c r="I3" s="4" t="inlineStr">
        <is>
          <t>EBAY-4</t>
        </is>
      </c>
      <c r="J3" s="4" t="inlineStr">
        <is>
          <t>APc (166001234398) Advantage . , a ys oor 1 or Suzuki Grand Vitara Vitara 199...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16.69</v>
      </c>
      <c r="P3" s="5" t="n">
        <v>16.69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1.17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23.86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64.83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87082900</t>
        </is>
      </c>
      <c r="K22" s="13" t="n"/>
      <c r="L22" s="13" t="n"/>
      <c r="M22" s="13" t="n"/>
      <c r="N22" s="13" t="n"/>
      <c r="O22" s="13" t="n"/>
      <c r="P22" s="15" t="n">
        <v>3.24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3.89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10.79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17.92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0.2764152398580904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3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-14.92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/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Items on other declaration(s) (5 items)</t>
        </is>
      </c>
      <c r="K30" s="21" t="n"/>
      <c r="L30" s="21" t="n"/>
      <c r="M30" s="21" t="n"/>
      <c r="N30" s="21" t="n"/>
      <c r="O30" s="21" t="n"/>
      <c r="P30" s="22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inlineStr">
        <is>
          <t>Other lighting or visual signalling equipment</t>
        </is>
      </c>
      <c r="F31" s="21" t="inlineStr">
        <is>
          <t>85122000</t>
        </is>
      </c>
      <c r="G31" s="21" t="n"/>
      <c r="H31" s="21" t="n"/>
      <c r="I31" s="21" t="n"/>
      <c r="J31" s="21" t="inlineStr">
        <is>
          <t>a 2 Y 0 Ll Pping price 1 F 1-04 FRONTIER/SENTRA CLEAR LENS OE DRIVING PAIR FO... (1 items)</t>
        </is>
      </c>
      <c r="K31" s="21" t="n">
        <v>1</v>
      </c>
      <c r="L31" s="21" t="n"/>
      <c r="M31" s="21" t="n"/>
      <c r="N31" s="21" t="inlineStr">
        <is>
          <t>USD</t>
        </is>
      </c>
      <c r="O31" s="22" t="n">
        <v>32.7</v>
      </c>
      <c r="P31" s="22" t="n">
        <v>32.7</v>
      </c>
      <c r="Q31" s="22" t="n"/>
      <c r="R31" s="22" t="n"/>
      <c r="S31" s="22" t="n"/>
      <c r="T31" s="22" t="n"/>
      <c r="U31" s="22" t="n"/>
      <c r="V31" s="22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inlineStr">
        <is>
          <t>EBAY-1</t>
        </is>
      </c>
      <c r="J32" s="23" t="inlineStr">
        <is>
          <t>a 2 Y 0 Ll Pping price 1 F 1-04 FRONTIER/SENTRA CLEAR LENS OE DRIVING PAIR FO...</t>
        </is>
      </c>
      <c r="K32" s="23" t="n">
        <v>1</v>
      </c>
      <c r="L32" s="23" t="n"/>
      <c r="M32" s="23" t="n"/>
      <c r="N32" s="23" t="inlineStr">
        <is>
          <t>USD</t>
        </is>
      </c>
      <c r="O32" s="24" t="n">
        <v>32.7</v>
      </c>
      <c r="P32" s="24" t="n">
        <v>32.7</v>
      </c>
      <c r="Q32" s="24" t="n"/>
      <c r="R32" s="24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1" t="n"/>
      <c r="B33" s="21" t="n"/>
      <c r="C33" s="21" t="n"/>
      <c r="D33" s="21" t="n"/>
      <c r="E33" s="21" t="inlineStr">
        <is>
          <t>MARINE ELECTRICAL</t>
        </is>
      </c>
      <c r="F33" s="21" t="inlineStr">
        <is>
          <t>85365000</t>
        </is>
      </c>
      <c r="G33" s="21" t="n"/>
      <c r="H33" s="21" t="n"/>
      <c r="I33" s="21" t="n"/>
      <c r="J33" s="21" t="inlineStr">
        <is>
          <t>AMP+SWITCH (382064019516) Home Delivery , os . Item 1 NEW GENUINE SUZUKI GRAN...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19.04</v>
      </c>
      <c r="P33" s="22" t="n">
        <v>19.04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EBAY-2</t>
        </is>
      </c>
      <c r="J34" s="23" t="inlineStr">
        <is>
          <t>AMP+SWITCH (382064019516) Home Delivery , os . Item 1 NEW GENUINE SUZUKI GRAN...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19.04</v>
      </c>
      <c r="P34" s="24" t="n">
        <v>19.04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FRONT BILLET</t>
        </is>
      </c>
      <c r="F35" s="21" t="inlineStr">
        <is>
          <t>87082900</t>
        </is>
      </c>
      <c r="G35" s="21" t="n"/>
      <c r="H35" s="21" t="n"/>
      <c r="I35" s="21" t="n"/>
      <c r="J35" s="21" t="inlineStr">
        <is>
          <t>PASSENGER SIDE (204138295521) Advantage ° “am o a if . *We're required by law... (+1 more) (2 items)</t>
        </is>
      </c>
      <c r="K35" s="21" t="n">
        <v>2</v>
      </c>
      <c r="L35" s="21" t="n"/>
      <c r="M35" s="21" t="n"/>
      <c r="N35" s="21" t="inlineStr">
        <is>
          <t>USD</t>
        </is>
      </c>
      <c r="O35" s="22" t="n">
        <v>40.325</v>
      </c>
      <c r="P35" s="22" t="n">
        <v>80.65000000000001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EBAY-3</t>
        </is>
      </c>
      <c r="J36" s="23" t="inlineStr">
        <is>
          <t>PASSENGER SIDE (204138295521) Advantage ° “am o a if . *We're required by law...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20.67</v>
      </c>
      <c r="P36" s="24" t="n">
        <v>20.67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EBAY-5</t>
        </is>
      </c>
      <c r="J37" s="23" t="inlineStr">
        <is>
          <t>Switch (282981840889) Economy : ~eN 1 OPV NISSANRight Upper Lower Door Hinge 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59.98</v>
      </c>
      <c r="P37" s="24" t="n">
        <v>59.98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1" t="n"/>
      <c r="B38" s="21" t="n"/>
      <c r="C38" s="21" t="n"/>
      <c r="D38" s="21" t="n"/>
      <c r="E38" s="21" t="inlineStr">
        <is>
          <t>OTHER NK HEAVY DUTY</t>
        </is>
      </c>
      <c r="F38" s="21" t="inlineStr">
        <is>
          <t>87083099</t>
        </is>
      </c>
      <c r="G38" s="21" t="n"/>
      <c r="H38" s="21" t="n"/>
      <c r="I38" s="21" t="n"/>
      <c r="J38" s="21" t="inlineStr">
        <is>
          <t>005 (276109893511) Advantage ° A yo La H5844 Front Disc Brake Hardware Kit (2... (1 items)</t>
        </is>
      </c>
      <c r="K38" s="21" t="n">
        <v>1</v>
      </c>
      <c r="L38" s="21" t="n"/>
      <c r="M38" s="21" t="n"/>
      <c r="N38" s="21" t="inlineStr">
        <is>
          <t>USD</t>
        </is>
      </c>
      <c r="O38" s="22" t="n">
        <v>10.27</v>
      </c>
      <c r="P38" s="22" t="n">
        <v>10.27</v>
      </c>
      <c r="Q38" s="22" t="n"/>
      <c r="R38" s="22" t="n"/>
      <c r="S38" s="22" t="n"/>
      <c r="T38" s="22" t="n"/>
      <c r="U38" s="22" t="n"/>
      <c r="V38" s="22" t="n"/>
      <c r="W38" s="22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EBAY-6</t>
        </is>
      </c>
      <c r="J39" s="23" t="inlineStr">
        <is>
          <t>005 (276109893511) Advantage ° A yo La H5844 Front Disc Brake Hardware Kit (2...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10.27</v>
      </c>
      <c r="P39" s="24" t="n">
        <v>10.27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SUBTOTAL</t>
        </is>
      </c>
      <c r="K40" s="25" t="n"/>
      <c r="L40" s="25" t="n"/>
      <c r="M40" s="25" t="n"/>
      <c r="N40" s="25" t="n"/>
      <c r="O40" s="25" t="n"/>
      <c r="P40" s="26" t="n">
        <v>142.66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FREIGHT</t>
        </is>
      </c>
      <c r="K41" s="25" t="n"/>
      <c r="L41" s="25" t="n"/>
      <c r="M41" s="25" t="n"/>
      <c r="N41" s="25" t="n"/>
      <c r="O41" s="25" t="n"/>
      <c r="P41" s="26" t="n">
        <v>23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INSURANCE</t>
        </is>
      </c>
      <c r="K42" s="25" t="n"/>
      <c r="L42" s="25" t="n"/>
      <c r="M42" s="25" t="n"/>
      <c r="N42" s="25" t="n"/>
      <c r="O42" s="25" t="n"/>
      <c r="P42" s="26" t="n">
        <v>0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OTHER COST</t>
        </is>
      </c>
      <c r="K43" s="25" t="n"/>
      <c r="L43" s="25" t="n"/>
      <c r="M43" s="25" t="n"/>
      <c r="N43" s="25" t="n"/>
      <c r="O43" s="25" t="n"/>
      <c r="P43" s="26" t="n">
        <v>9.99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DEDUCTION</t>
        </is>
      </c>
      <c r="K44" s="25" t="n"/>
      <c r="L44" s="25" t="n"/>
      <c r="M44" s="25" t="n"/>
      <c r="N44" s="25" t="n"/>
      <c r="O44" s="25" t="n"/>
      <c r="P44" s="26" t="n">
        <v>0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ADJUSTMENTS</t>
        </is>
      </c>
      <c r="K45" s="25" t="n"/>
      <c r="L45" s="25" t="n"/>
      <c r="M45" s="25" t="n"/>
      <c r="N45" s="25" t="n"/>
      <c r="O45" s="25" t="n"/>
      <c r="P45" s="26">
        <f>P41+P42+P43-P44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NET TOTAL</t>
        </is>
      </c>
      <c r="K46" s="25" t="n"/>
      <c r="L46" s="25" t="n"/>
      <c r="M46" s="25" t="n"/>
      <c r="N46" s="25" t="n"/>
      <c r="O46" s="25" t="n"/>
      <c r="P46" s="26">
        <f>P40+P45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ITEMS TOTAL</t>
        </is>
      </c>
      <c r="K48" s="25" t="n"/>
      <c r="L48" s="25" t="n"/>
      <c r="M48" s="25" t="n"/>
      <c r="N48" s="25" t="n"/>
      <c r="O48" s="25" t="n"/>
      <c r="P48" s="26">
        <f>P4+P40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FREIGHT</t>
        </is>
      </c>
      <c r="K49" s="25" t="n"/>
      <c r="L49" s="25" t="n"/>
      <c r="M49" s="25" t="n"/>
      <c r="N49" s="25" t="n"/>
      <c r="O49" s="25" t="n"/>
      <c r="P49" s="26">
        <f>P8+P41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INSURANCE</t>
        </is>
      </c>
      <c r="K50" s="25" t="n"/>
      <c r="L50" s="25" t="n"/>
      <c r="M50" s="25" t="n"/>
      <c r="N50" s="25" t="n"/>
      <c r="O50" s="25" t="n"/>
      <c r="P50" s="26">
        <f>P9+P42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OTHER COST</t>
        </is>
      </c>
      <c r="K51" s="25" t="n"/>
      <c r="L51" s="25" t="n"/>
      <c r="M51" s="25" t="n"/>
      <c r="N51" s="25" t="n"/>
      <c r="O51" s="25" t="n"/>
      <c r="P51" s="26">
        <f>P10+P43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DEDUCTION</t>
        </is>
      </c>
      <c r="K52" s="25" t="n"/>
      <c r="L52" s="25" t="n"/>
      <c r="M52" s="25" t="n"/>
      <c r="N52" s="25" t="n"/>
      <c r="O52" s="25" t="n"/>
      <c r="P52" s="26">
        <f>P11+P44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ADJUSTMENTS</t>
        </is>
      </c>
      <c r="K53" s="25" t="n"/>
      <c r="L53" s="25" t="n"/>
      <c r="M53" s="25" t="n"/>
      <c r="N53" s="25" t="n"/>
      <c r="O53" s="25" t="n"/>
      <c r="P53" s="26">
        <f>P49+P50+P51-P52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COMBINED NET TOTAL</t>
        </is>
      </c>
      <c r="K54" s="25" t="n"/>
      <c r="L54" s="25" t="n"/>
      <c r="M54" s="25" t="n"/>
      <c r="N54" s="25" t="n"/>
      <c r="O54" s="25" t="n"/>
      <c r="P54" s="26">
        <f>P48+P53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TOTAL</t>
        </is>
      </c>
      <c r="K55" s="25" t="n"/>
      <c r="L55" s="25" t="n"/>
      <c r="M55" s="25" t="n"/>
      <c r="N55" s="25" t="n"/>
      <c r="O55" s="25" t="n"/>
      <c r="P55" s="26" t="n">
        <v>196.51</v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COMBINED VARIANCE CHECK</t>
        </is>
      </c>
      <c r="K56" s="25" t="n"/>
      <c r="L56" s="25" t="n"/>
      <c r="M56" s="25" t="n"/>
      <c r="N56" s="25" t="n"/>
      <c r="O56" s="25" t="n"/>
      <c r="P56" s="26">
        <f>P55-P54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2026-04-19T00:12:30Z</dcterms:created>
  <dcterms:modified xsi:type="dcterms:W3CDTF">2026-04-19T00:12:30Z</dcterms:modified>
</cp:coreProperties>
</file>