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8" fillId="0" borderId="1" pivotButton="0" quotePrefix="0" xfId="0"/>
    <xf numFmtId="164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20-11818-51856</t>
        </is>
      </c>
      <c r="D2" s="2" t="inlineStr">
        <is>
          <t>2024-07-16</t>
        </is>
      </c>
      <c r="E2" s="2" t="inlineStr">
        <is>
          <t>Other lighting or visual signalling equipment</t>
        </is>
      </c>
      <c r="F2" s="2" t="inlineStr">
        <is>
          <t>85122000</t>
        </is>
      </c>
      <c r="G2" s="2" t="inlineStr"/>
      <c r="H2" s="2" t="inlineStr"/>
      <c r="I2" s="2" t="inlineStr">
        <is>
          <t>85122000</t>
        </is>
      </c>
      <c r="J2" s="2" t="inlineStr">
        <is>
          <t>a 2 Y 0 Ll Pping price 1 F 1-04 FRONTIER/SENTRA CLEAR LENS OE DRIVING PAIR FO...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32.7</v>
      </c>
      <c r="P2" s="3" t="n">
        <v>32.7</v>
      </c>
      <c r="Q2" s="3">
        <f>O2*K2</f>
        <v/>
      </c>
      <c r="R2" s="3">
        <f>P2-Q2</f>
        <v/>
      </c>
      <c r="S2" s="3" t="n">
        <v>170.51</v>
      </c>
      <c r="T2" s="3" t="n">
        <v>0</v>
      </c>
      <c r="U2" s="3" t="n">
        <v>0</v>
      </c>
      <c r="V2" s="3" t="n">
        <v>11.16</v>
      </c>
      <c r="W2" s="3" t="n">
        <v>0</v>
      </c>
      <c r="X2" s="2" t="n">
        <v>1</v>
      </c>
      <c r="Y2" s="2" t="n"/>
      <c r="Z2" s="2" t="inlineStr">
        <is>
          <t>EBAY</t>
        </is>
      </c>
      <c r="AA2" s="2" t="inlineStr">
        <is>
          <t>20-11818-51856</t>
        </is>
      </c>
      <c r="AB2" s="2" t="inlineStr">
        <is>
          <t>2025 Hamilton Avenue, San Jose, CA 95125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85122000</t>
        </is>
      </c>
    </row>
    <row r="3">
      <c r="A3" s="4" t="n"/>
      <c r="B3" s="4" t="n"/>
      <c r="C3" s="4" t="n"/>
      <c r="D3" s="4" t="n"/>
      <c r="E3" s="4" t="n"/>
      <c r="F3" s="4" t="inlineStr">
        <is>
          <t>85122000</t>
        </is>
      </c>
      <c r="G3" s="4" t="n"/>
      <c r="H3" s="4" t="n"/>
      <c r="I3" s="4" t="inlineStr">
        <is>
          <t>EBAY-1</t>
        </is>
      </c>
      <c r="J3" s="4" t="inlineStr">
        <is>
          <t>a 2 Y 0 Ll Pping price 1 F 1-04 FRONTIER/SENTRA CLEAR LENS OE DRIVING PAIR FO...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32.7</v>
      </c>
      <c r="P3" s="5" t="n">
        <v>32.7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2" t="n"/>
      <c r="B4" s="2" t="inlineStr"/>
      <c r="C4" s="2" t="inlineStr">
        <is>
          <t>20-11818-51856</t>
        </is>
      </c>
      <c r="D4" s="2" t="inlineStr">
        <is>
          <t>2024-07-16</t>
        </is>
      </c>
      <c r="E4" s="2" t="inlineStr">
        <is>
          <t>MARINE ELECTRICAL</t>
        </is>
      </c>
      <c r="F4" s="2" t="inlineStr">
        <is>
          <t>85365000</t>
        </is>
      </c>
      <c r="G4" s="2" t="inlineStr"/>
      <c r="H4" s="2" t="inlineStr"/>
      <c r="I4" s="2" t="inlineStr">
        <is>
          <t>85365000</t>
        </is>
      </c>
      <c r="J4" s="2" t="inlineStr">
        <is>
          <t>AMP+SWITCH (382064019516) Home Delivery , os . Item 1 NEW GENUINE SUZUKI GRAN... (1 items)</t>
        </is>
      </c>
      <c r="K4" s="2" t="n">
        <v>1</v>
      </c>
      <c r="L4" s="2" t="n"/>
      <c r="M4" s="2" t="inlineStr"/>
      <c r="N4" s="2" t="inlineStr">
        <is>
          <t>USD</t>
        </is>
      </c>
      <c r="O4" s="3" t="n">
        <v>19.04</v>
      </c>
      <c r="P4" s="3" t="n">
        <v>19.04</v>
      </c>
      <c r="Q4" s="3">
        <f>O4*K4</f>
        <v/>
      </c>
      <c r="R4" s="3">
        <f>P4-Q4</f>
        <v/>
      </c>
      <c r="S4" s="3" t="n"/>
      <c r="T4" s="3" t="n"/>
      <c r="U4" s="3" t="n"/>
      <c r="V4" s="3" t="n"/>
      <c r="W4" s="3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inlineStr">
        <is>
          <t>85365000</t>
        </is>
      </c>
    </row>
    <row r="5">
      <c r="A5" s="4" t="n"/>
      <c r="B5" s="4" t="n"/>
      <c r="C5" s="4" t="n"/>
      <c r="D5" s="4" t="n"/>
      <c r="E5" s="4" t="n"/>
      <c r="F5" s="4" t="inlineStr">
        <is>
          <t>85365000</t>
        </is>
      </c>
      <c r="G5" s="4" t="n"/>
      <c r="H5" s="4" t="n"/>
      <c r="I5" s="4" t="inlineStr">
        <is>
          <t>EBAY-2</t>
        </is>
      </c>
      <c r="J5" s="4" t="inlineStr">
        <is>
          <t>AMP+SWITCH (382064019516) Home Delivery , os . Item 1 NEW GENUINE SUZUKI GRAN...</t>
        </is>
      </c>
      <c r="K5" s="4" t="n">
        <v>1</v>
      </c>
      <c r="L5" s="4" t="n"/>
      <c r="M5" s="4" t="inlineStr"/>
      <c r="N5" s="4" t="inlineStr">
        <is>
          <t>USD</t>
        </is>
      </c>
      <c r="O5" s="5" t="n">
        <v>19.04</v>
      </c>
      <c r="P5" s="5" t="n">
        <v>19.04</v>
      </c>
      <c r="Q5" s="5">
        <f>O5*K5</f>
        <v/>
      </c>
      <c r="R5" s="5">
        <f>P5-Q5</f>
        <v/>
      </c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2" t="n"/>
      <c r="B6" s="2" t="inlineStr"/>
      <c r="C6" s="2" t="inlineStr">
        <is>
          <t>20-11818-51856</t>
        </is>
      </c>
      <c r="D6" s="2" t="inlineStr">
        <is>
          <t>2024-07-16</t>
        </is>
      </c>
      <c r="E6" s="2" t="inlineStr">
        <is>
          <t>OTHER NK HEAVY DUTY</t>
        </is>
      </c>
      <c r="F6" s="2" t="inlineStr">
        <is>
          <t>87089990</t>
        </is>
      </c>
      <c r="G6" s="2" t="inlineStr"/>
      <c r="H6" s="2" t="inlineStr"/>
      <c r="I6" s="2" t="inlineStr">
        <is>
          <t>87089990</t>
        </is>
      </c>
      <c r="J6" s="2" t="inlineStr">
        <is>
          <t>PASSENGER SIDE (204138295521) Advantage ° “am o a if . *We're required by law... (+2 more) (3 items)</t>
        </is>
      </c>
      <c r="K6" s="2" t="n">
        <v>3</v>
      </c>
      <c r="L6" s="2" t="n"/>
      <c r="M6" s="2" t="inlineStr"/>
      <c r="N6" s="2" t="inlineStr">
        <is>
          <t>USD</t>
        </is>
      </c>
      <c r="O6" s="3" t="n">
        <v>32.44666666666667</v>
      </c>
      <c r="P6" s="3" t="n">
        <v>97.34</v>
      </c>
      <c r="Q6" s="3">
        <f>O6*K6</f>
        <v/>
      </c>
      <c r="R6" s="3">
        <f>P6-Q6</f>
        <v/>
      </c>
      <c r="S6" s="3" t="n"/>
      <c r="T6" s="3" t="n"/>
      <c r="U6" s="3" t="n"/>
      <c r="V6" s="3" t="n"/>
      <c r="W6" s="3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inlineStr">
        <is>
          <t>87089990</t>
        </is>
      </c>
    </row>
    <row r="7">
      <c r="A7" s="4" t="n"/>
      <c r="B7" s="4" t="n"/>
      <c r="C7" s="4" t="n"/>
      <c r="D7" s="4" t="n"/>
      <c r="E7" s="4" t="n"/>
      <c r="F7" s="4" t="inlineStr">
        <is>
          <t>87089990</t>
        </is>
      </c>
      <c r="G7" s="4" t="n"/>
      <c r="H7" s="4" t="n"/>
      <c r="I7" s="4" t="inlineStr">
        <is>
          <t>EBAY-3</t>
        </is>
      </c>
      <c r="J7" s="4" t="inlineStr">
        <is>
          <t>PASSENGER SIDE (204138295521) Advantage ° “am o a if . *We're required by law...</t>
        </is>
      </c>
      <c r="K7" s="4" t="n">
        <v>1</v>
      </c>
      <c r="L7" s="4" t="n"/>
      <c r="M7" s="4" t="inlineStr"/>
      <c r="N7" s="4" t="inlineStr">
        <is>
          <t>USD</t>
        </is>
      </c>
      <c r="O7" s="5" t="n">
        <v>20.67</v>
      </c>
      <c r="P7" s="5" t="n">
        <v>20.67</v>
      </c>
      <c r="Q7" s="5">
        <f>O7*K7</f>
        <v/>
      </c>
      <c r="R7" s="5">
        <f>P7-Q7</f>
        <v/>
      </c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</row>
    <row r="8">
      <c r="A8" s="4" t="n"/>
      <c r="B8" s="4" t="n"/>
      <c r="C8" s="4" t="n"/>
      <c r="D8" s="4" t="n"/>
      <c r="E8" s="4" t="n"/>
      <c r="F8" s="4" t="inlineStr">
        <is>
          <t>87089990</t>
        </is>
      </c>
      <c r="G8" s="4" t="n"/>
      <c r="H8" s="4" t="n"/>
      <c r="I8" s="4" t="inlineStr">
        <is>
          <t>EBAY-4</t>
        </is>
      </c>
      <c r="J8" s="4" t="inlineStr">
        <is>
          <t>APc (166001234398) Advantage . , a ys oor 1 or Suzuki Grand Vitara Vitara 199...</t>
        </is>
      </c>
      <c r="K8" s="4" t="n">
        <v>1</v>
      </c>
      <c r="L8" s="4" t="n"/>
      <c r="M8" s="4" t="inlineStr"/>
      <c r="N8" s="4" t="inlineStr">
        <is>
          <t>USD</t>
        </is>
      </c>
      <c r="O8" s="5" t="n">
        <v>16.69</v>
      </c>
      <c r="P8" s="5" t="n">
        <v>16.69</v>
      </c>
      <c r="Q8" s="5">
        <f>O8*K8</f>
        <v/>
      </c>
      <c r="R8" s="5">
        <f>P8-Q8</f>
        <v/>
      </c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</row>
    <row r="9">
      <c r="A9" s="4" t="n"/>
      <c r="B9" s="4" t="n"/>
      <c r="C9" s="4" t="n"/>
      <c r="D9" s="4" t="n"/>
      <c r="E9" s="4" t="n"/>
      <c r="F9" s="4" t="inlineStr">
        <is>
          <t>87089990</t>
        </is>
      </c>
      <c r="G9" s="4" t="n"/>
      <c r="H9" s="4" t="n"/>
      <c r="I9" s="4" t="inlineStr">
        <is>
          <t>EBAY-5</t>
        </is>
      </c>
      <c r="J9" s="4" t="inlineStr">
        <is>
          <t>Switch (282981840889) Economy : ~eN 1 OPV NISSANRight Upper Lower Door Hinge ...</t>
        </is>
      </c>
      <c r="K9" s="4" t="n">
        <v>1</v>
      </c>
      <c r="L9" s="4" t="n"/>
      <c r="M9" s="4" t="inlineStr"/>
      <c r="N9" s="4" t="inlineStr">
        <is>
          <t>USD</t>
        </is>
      </c>
      <c r="O9" s="5" t="n">
        <v>59.98</v>
      </c>
      <c r="P9" s="5" t="n">
        <v>59.98</v>
      </c>
      <c r="Q9" s="5">
        <f>O9*K9</f>
        <v/>
      </c>
      <c r="R9" s="5">
        <f>P9-Q9</f>
        <v/>
      </c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</row>
    <row r="10">
      <c r="A10" s="2" t="n"/>
      <c r="B10" s="2" t="inlineStr"/>
      <c r="C10" s="2" t="inlineStr">
        <is>
          <t>20-11818-51856</t>
        </is>
      </c>
      <c r="D10" s="2" t="inlineStr">
        <is>
          <t>2024-07-16</t>
        </is>
      </c>
      <c r="E10" s="2" t="inlineStr">
        <is>
          <t>OTHER NK HEAVY DUTY</t>
        </is>
      </c>
      <c r="F10" s="2" t="inlineStr">
        <is>
          <t>87083099</t>
        </is>
      </c>
      <c r="G10" s="2" t="inlineStr"/>
      <c r="H10" s="2" t="inlineStr"/>
      <c r="I10" s="2" t="inlineStr">
        <is>
          <t>87083099</t>
        </is>
      </c>
      <c r="J10" s="2" t="inlineStr">
        <is>
          <t>005 (276109893511) Advantage ° A yo La H5844 Front Disc Brake Hardware Kit (2... (1 items)</t>
        </is>
      </c>
      <c r="K10" s="2" t="n">
        <v>1</v>
      </c>
      <c r="L10" s="2" t="n"/>
      <c r="M10" s="2" t="inlineStr"/>
      <c r="N10" s="2" t="inlineStr">
        <is>
          <t>USD</t>
        </is>
      </c>
      <c r="O10" s="3" t="n">
        <v>10.27</v>
      </c>
      <c r="P10" s="3" t="n">
        <v>10.27</v>
      </c>
      <c r="Q10" s="3">
        <f>O10*K10</f>
        <v/>
      </c>
      <c r="R10" s="3">
        <f>P10-Q10</f>
        <v/>
      </c>
      <c r="S10" s="3" t="n"/>
      <c r="T10" s="3" t="n"/>
      <c r="U10" s="3" t="n"/>
      <c r="V10" s="3" t="n"/>
      <c r="W10" s="3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inlineStr">
        <is>
          <t>87083099</t>
        </is>
      </c>
    </row>
    <row r="11">
      <c r="A11" s="4" t="n"/>
      <c r="B11" s="4" t="n"/>
      <c r="C11" s="4" t="n"/>
      <c r="D11" s="4" t="n"/>
      <c r="E11" s="4" t="n"/>
      <c r="F11" s="4" t="inlineStr">
        <is>
          <t>87083099</t>
        </is>
      </c>
      <c r="G11" s="4" t="n"/>
      <c r="H11" s="4" t="n"/>
      <c r="I11" s="4" t="inlineStr">
        <is>
          <t>EBAY-6</t>
        </is>
      </c>
      <c r="J11" s="4" t="inlineStr">
        <is>
          <t>005 (276109893511) Advantage ° A yo La H5844 Front Disc Brake Hardware Kit (2...</t>
        </is>
      </c>
      <c r="K11" s="4" t="n">
        <v>1</v>
      </c>
      <c r="L11" s="4" t="n"/>
      <c r="M11" s="4" t="inlineStr"/>
      <c r="N11" s="4" t="inlineStr">
        <is>
          <t>USD</t>
        </is>
      </c>
      <c r="O11" s="5" t="n">
        <v>10.27</v>
      </c>
      <c r="P11" s="5" t="n">
        <v>10.27</v>
      </c>
      <c r="Q11" s="5">
        <f>O11*K11</f>
        <v/>
      </c>
      <c r="R11" s="5">
        <f>P11-Q11</f>
        <v/>
      </c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SUBTOTAL (GROUPED)</t>
        </is>
      </c>
      <c r="K12" s="6" t="n"/>
      <c r="L12" s="6" t="n"/>
      <c r="M12" s="6" t="n"/>
      <c r="N12" s="6" t="n"/>
      <c r="O12" s="6" t="n"/>
      <c r="P12" s="7">
        <f>P2+P4+P6+P10</f>
        <v/>
      </c>
      <c r="Q12" s="7">
        <f>Q2+Q4+Q6+Q10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SUBTOTAL (DETAILS)</t>
        </is>
      </c>
      <c r="K13" s="6" t="n"/>
      <c r="L13" s="6" t="n"/>
      <c r="M13" s="6" t="n"/>
      <c r="N13" s="6" t="n"/>
      <c r="O13" s="6" t="n"/>
      <c r="P13" s="7">
        <f>SUM(P2:P11)-P12</f>
        <v/>
      </c>
      <c r="Q13" s="7">
        <f>SUM(Q2:Q11)-Q12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inlineStr">
        <is>
          <t>GROUP VERIFICATION</t>
        </is>
      </c>
      <c r="K14" s="8" t="n"/>
      <c r="L14" s="8" t="n"/>
      <c r="M14" s="8" t="n"/>
      <c r="N14" s="8" t="n"/>
      <c r="O14" s="8" t="n"/>
      <c r="P14" s="9">
        <f>P12-P13</f>
        <v/>
      </c>
      <c r="Q14" s="9">
        <f>Q12-Q13</f>
        <v/>
      </c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</row>
    <row r="15"/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TOTAL INTERNAL FREIGHT</t>
        </is>
      </c>
      <c r="K16" s="6" t="n"/>
      <c r="L16" s="6" t="n"/>
      <c r="M16" s="6" t="n"/>
      <c r="N16" s="6" t="n"/>
      <c r="O16" s="6" t="n"/>
      <c r="P16" s="7" t="n">
        <v>0</v>
      </c>
      <c r="Q16" s="7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inlineStr">
        <is>
          <t>TOTAL INSURANCE</t>
        </is>
      </c>
      <c r="K17" s="6" t="n"/>
      <c r="L17" s="6" t="n"/>
      <c r="M17" s="6" t="n"/>
      <c r="N17" s="6" t="n"/>
      <c r="O17" s="6" t="n"/>
      <c r="P17" s="7" t="n">
        <v>0</v>
      </c>
      <c r="Q17" s="7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inlineStr">
        <is>
          <t>TOTAL OTHER COST</t>
        </is>
      </c>
      <c r="K18" s="6" t="n"/>
      <c r="L18" s="6" t="n"/>
      <c r="M18" s="6" t="n"/>
      <c r="N18" s="6" t="n"/>
      <c r="O18" s="6" t="n"/>
      <c r="P18" s="7" t="n">
        <v>11.16</v>
      </c>
      <c r="Q18" s="7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inlineStr">
        <is>
          <t>TOTAL DEDUCTION</t>
        </is>
      </c>
      <c r="K19" s="6" t="n"/>
      <c r="L19" s="6" t="n"/>
      <c r="M19" s="6" t="n"/>
      <c r="N19" s="6" t="n"/>
      <c r="O19" s="6" t="n"/>
      <c r="P19" s="7" t="n">
        <v>0</v>
      </c>
      <c r="Q19" s="7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inlineStr">
        <is>
          <t>ADJUSTMENTS</t>
        </is>
      </c>
      <c r="K20" s="6" t="n"/>
      <c r="L20" s="6" t="n"/>
      <c r="M20" s="6" t="n"/>
      <c r="N20" s="6" t="n"/>
      <c r="O20" s="6" t="n"/>
      <c r="P20" s="7">
        <f>(T2+U2+V2-W2)</f>
        <v/>
      </c>
      <c r="Q20" s="7">
        <f>(T2+U2+V2-W2)</f>
        <v/>
      </c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</row>
    <row r="21"/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inlineStr">
        <is>
          <t>NET TOTAL</t>
        </is>
      </c>
      <c r="K22" s="6" t="n"/>
      <c r="L22" s="6" t="n"/>
      <c r="M22" s="6" t="n"/>
      <c r="N22" s="6" t="n"/>
      <c r="O22" s="6" t="n"/>
      <c r="P22" s="7">
        <f>P12+P20</f>
        <v/>
      </c>
      <c r="Q22" s="7">
        <f>Q12+Q20</f>
        <v/>
      </c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inlineStr">
        <is>
          <t>INVOICE TOTAL</t>
        </is>
      </c>
      <c r="K23" s="6" t="n"/>
      <c r="L23" s="6" t="n"/>
      <c r="M23" s="6" t="n"/>
      <c r="N23" s="6" t="n"/>
      <c r="O23" s="6" t="n"/>
      <c r="P23" s="7">
        <f>S2</f>
        <v/>
      </c>
      <c r="Q23" s="7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</row>
    <row r="24"/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inlineStr">
        <is>
          <t>VARIANCE CHECK</t>
        </is>
      </c>
      <c r="K25" s="10" t="n"/>
      <c r="L25" s="10" t="n"/>
      <c r="M25" s="10" t="n"/>
      <c r="N25" s="10" t="n"/>
      <c r="O25" s="10" t="n"/>
      <c r="P25" s="11">
        <f>S2-P22</f>
        <v/>
      </c>
      <c r="Q25" s="11">
        <f>S2-Q22</f>
        <v/>
      </c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</row>
    <row r="26"/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inlineStr">
        <is>
          <t>DUTY ESTIMATION (Classification Cross-Check)</t>
        </is>
      </c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inlineStr">
        <is>
          <t>CIF (USD) = InvTotal + Freight + Insurance</t>
        </is>
      </c>
      <c r="K28" s="13" t="n"/>
      <c r="L28" s="13" t="n"/>
      <c r="M28" s="13" t="n"/>
      <c r="N28" s="13" t="n"/>
      <c r="O28" s="13" t="n"/>
      <c r="P28" s="15" t="n">
        <v>173.51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4" t="inlineStr">
        <is>
          <t>CIF (XCD) = CIF × 2.7169</t>
        </is>
      </c>
      <c r="K29" s="13" t="n"/>
      <c r="L29" s="13" t="n"/>
      <c r="M29" s="13" t="n"/>
      <c r="N29" s="13" t="n"/>
      <c r="O29" s="13" t="n"/>
      <c r="P29" s="15" t="n">
        <v>471.41</v>
      </c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4" t="inlineStr">
        <is>
          <t>CET (weighted avg 6.8%)</t>
        </is>
      </c>
      <c r="K30" s="13" t="n"/>
      <c r="L30" s="13" t="n"/>
      <c r="M30" s="13" t="n"/>
      <c r="N30" s="13" t="n"/>
      <c r="O30" s="13" t="n"/>
      <c r="P30" s="15" t="n">
        <v>32.02</v>
      </c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>
      <c r="A31" s="13" t="n"/>
      <c r="B31" s="13" t="n"/>
      <c r="C31" s="13" t="n"/>
      <c r="D31" s="13" t="n"/>
      <c r="E31" s="13" t="n"/>
      <c r="F31" s="13" t="inlineStr">
        <is>
          <t>85122000</t>
        </is>
      </c>
      <c r="G31" s="13" t="n"/>
      <c r="H31" s="13" t="n"/>
      <c r="I31" s="13" t="n"/>
      <c r="J31" s="14" t="inlineStr">
        <is>
          <t xml:space="preserve">  └ 85122000: 5% CET (21% of value)</t>
        </is>
      </c>
      <c r="K31" s="13" t="n"/>
      <c r="L31" s="13" t="n"/>
      <c r="M31" s="13" t="n"/>
      <c r="N31" s="13" t="n"/>
      <c r="O31" s="13" t="n"/>
      <c r="P31" s="15" t="n">
        <v>4.84</v>
      </c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inlineStr">
        <is>
          <t>85122000</t>
        </is>
      </c>
    </row>
    <row r="32">
      <c r="A32" s="13" t="n"/>
      <c r="B32" s="13" t="n"/>
      <c r="C32" s="13" t="n"/>
      <c r="D32" s="13" t="n"/>
      <c r="E32" s="13" t="n"/>
      <c r="F32" s="13" t="inlineStr">
        <is>
          <t>85365000</t>
        </is>
      </c>
      <c r="G32" s="13" t="n"/>
      <c r="H32" s="13" t="n"/>
      <c r="I32" s="13" t="n"/>
      <c r="J32" s="14" t="inlineStr">
        <is>
          <t xml:space="preserve">  └ 85365000: 20% CET (12% of value)</t>
        </is>
      </c>
      <c r="K32" s="13" t="n"/>
      <c r="L32" s="13" t="n"/>
      <c r="M32" s="13" t="n"/>
      <c r="N32" s="13" t="n"/>
      <c r="O32" s="13" t="n"/>
      <c r="P32" s="15" t="n">
        <v>11.27</v>
      </c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inlineStr">
        <is>
          <t>85365000</t>
        </is>
      </c>
    </row>
    <row r="33">
      <c r="A33" s="13" t="n"/>
      <c r="B33" s="13" t="n"/>
      <c r="C33" s="13" t="n"/>
      <c r="D33" s="13" t="n"/>
      <c r="E33" s="13" t="n"/>
      <c r="F33" s="13" t="inlineStr">
        <is>
          <t>87083099</t>
        </is>
      </c>
      <c r="G33" s="13" t="n"/>
      <c r="H33" s="13" t="n"/>
      <c r="I33" s="13" t="n"/>
      <c r="J33" s="14" t="inlineStr">
        <is>
          <t xml:space="preserve">  └ 87083099: 5% CET (6% of value)</t>
        </is>
      </c>
      <c r="K33" s="13" t="n"/>
      <c r="L33" s="13" t="n"/>
      <c r="M33" s="13" t="n"/>
      <c r="N33" s="13" t="n"/>
      <c r="O33" s="13" t="n"/>
      <c r="P33" s="15" t="n">
        <v>1.52</v>
      </c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inlineStr">
        <is>
          <t>87083099</t>
        </is>
      </c>
    </row>
    <row r="34">
      <c r="A34" s="13" t="n"/>
      <c r="B34" s="13" t="n"/>
      <c r="C34" s="13" t="n"/>
      <c r="D34" s="13" t="n"/>
      <c r="E34" s="13" t="n"/>
      <c r="F34" s="13" t="inlineStr">
        <is>
          <t>87089990</t>
        </is>
      </c>
      <c r="G34" s="13" t="n"/>
      <c r="H34" s="13" t="n"/>
      <c r="I34" s="13" t="n"/>
      <c r="J34" s="14" t="inlineStr">
        <is>
          <t xml:space="preserve">  └ 87089990: 5% CET (61% of value)</t>
        </is>
      </c>
      <c r="K34" s="13" t="n"/>
      <c r="L34" s="13" t="n"/>
      <c r="M34" s="13" t="n"/>
      <c r="N34" s="13" t="n"/>
      <c r="O34" s="13" t="n"/>
      <c r="P34" s="15" t="n">
        <v>14.4</v>
      </c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inlineStr">
        <is>
          <t>87089990</t>
        </is>
      </c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4" t="inlineStr">
        <is>
          <t>CSC (6%)</t>
        </is>
      </c>
      <c r="K35" s="13" t="n"/>
      <c r="L35" s="13" t="n"/>
      <c r="M35" s="13" t="n"/>
      <c r="N35" s="13" t="n"/>
      <c r="O35" s="13" t="n"/>
      <c r="P35" s="15" t="n">
        <v>28.28</v>
      </c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4" t="inlineStr">
        <is>
          <t>VAT (15%) on CIF+CET+CSC</t>
        </is>
      </c>
      <c r="K36" s="13" t="n"/>
      <c r="L36" s="13" t="n"/>
      <c r="M36" s="13" t="n"/>
      <c r="N36" s="13" t="n"/>
      <c r="O36" s="13" t="n"/>
      <c r="P36" s="15" t="n">
        <v>79.76000000000001</v>
      </c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  <c r="AF36" s="13" t="n"/>
      <c r="AG36" s="13" t="n"/>
      <c r="AH36" s="13" t="n"/>
      <c r="AI36" s="13" t="n"/>
      <c r="AJ36" s="13" t="n"/>
      <c r="AK36" s="13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2" t="inlineStr">
        <is>
          <t>ESTIMATED TOTAL DUTIES</t>
        </is>
      </c>
      <c r="K37" s="16" t="n"/>
      <c r="L37" s="16" t="n"/>
      <c r="M37" s="16" t="n"/>
      <c r="N37" s="16" t="n"/>
      <c r="O37" s="16" t="n"/>
      <c r="P37" s="17" t="n">
        <v>140.06</v>
      </c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inlineStr">
        <is>
          <t>Effective Duty Rate</t>
        </is>
      </c>
      <c r="K38" s="13" t="n"/>
      <c r="L38" s="13" t="n"/>
      <c r="M38" s="13" t="n"/>
      <c r="N38" s="13" t="n"/>
      <c r="O38" s="13" t="n"/>
      <c r="P38" s="18" t="n">
        <v>0.2971086739780658</v>
      </c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  <c r="AE38" s="13" t="n"/>
      <c r="AF38" s="13" t="n"/>
      <c r="AG38" s="13" t="n"/>
      <c r="AH38" s="13" t="n"/>
      <c r="AI38" s="13" t="n"/>
      <c r="AJ38" s="13" t="n"/>
      <c r="AK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inlineStr">
        <is>
          <t>CLIENT DECLARED DUTIES</t>
        </is>
      </c>
      <c r="K39" s="13" t="n"/>
      <c r="L39" s="13" t="n"/>
      <c r="M39" s="13" t="n"/>
      <c r="N39" s="13" t="n"/>
      <c r="O39" s="13" t="n"/>
      <c r="P39" s="15" t="n">
        <v>40.8</v>
      </c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9" t="inlineStr">
        <is>
          <t>DUTY VARIANCE (Client − Estimated)</t>
        </is>
      </c>
      <c r="K40" s="13" t="n"/>
      <c r="L40" s="13" t="n"/>
      <c r="M40" s="13" t="n"/>
      <c r="N40" s="13" t="n"/>
      <c r="O40" s="13" t="n"/>
      <c r="P40" s="20" t="n">
        <v>-99.26000000000001</v>
      </c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  <c r="AE40" s="13" t="n"/>
      <c r="AF40" s="13" t="n"/>
      <c r="AG40" s="13" t="n"/>
      <c r="AH40" s="13" t="n"/>
      <c r="AI40" s="13" t="n"/>
      <c r="AJ40" s="13" t="n"/>
      <c r="AK40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2026-04-19T00:20:06Z</dcterms:created>
  <dcterms:modified xsi:type="dcterms:W3CDTF">2026-04-19T00:20:13Z</dcterms:modified>
</cp:coreProperties>
</file>