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8" fillId="0" borderId="1" pivotButton="0" quotePrefix="0" xfId="0"/>
    <xf numFmtId="164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PO-211-05886758334074065</t>
        </is>
      </c>
      <c r="D2" s="2" t="inlineStr">
        <is>
          <t>2024-07-05</t>
        </is>
      </c>
      <c r="E2" s="2" t="inlineStr">
        <is>
          <t>Headphones and earphones, whether or not combined with a microphone, and sets...</t>
        </is>
      </c>
      <c r="F2" s="2" t="inlineStr">
        <is>
          <t>85183000</t>
        </is>
      </c>
      <c r="G2" s="2" t="inlineStr"/>
      <c r="H2" s="2" t="inlineStr"/>
      <c r="I2" s="2" t="inlineStr">
        <is>
          <t>85183000</t>
        </is>
      </c>
      <c r="J2" s="2" t="inlineStr">
        <is>
          <t>Item details (34) TWS Wireless Earphone, Small And Portable, |... (1 items)</t>
        </is>
      </c>
      <c r="K2" s="2" t="n">
        <v>0</v>
      </c>
      <c r="L2" s="2" t="n"/>
      <c r="M2" s="2" t="inlineStr"/>
      <c r="N2" s="2" t="inlineStr">
        <is>
          <t>USD</t>
        </is>
      </c>
      <c r="O2" s="3" t="inlineStr"/>
      <c r="P2" s="3" t="n">
        <v>2.84</v>
      </c>
      <c r="Q2" s="3">
        <f>O2*K2</f>
        <v/>
      </c>
      <c r="R2" s="3">
        <f>P2-Q2</f>
        <v/>
      </c>
      <c r="S2" s="3" t="n">
        <v>86.15000000000001</v>
      </c>
      <c r="T2" s="3" t="n">
        <v>0</v>
      </c>
      <c r="U2" s="3" t="n">
        <v>0</v>
      </c>
      <c r="V2" s="3" t="n">
        <v>5.48</v>
      </c>
      <c r="W2" s="3" t="n">
        <v>0</v>
      </c>
      <c r="X2" s="2" t="n">
        <v>1</v>
      </c>
      <c r="Y2" s="2" t="n"/>
      <c r="Z2" s="2" t="inlineStr">
        <is>
          <t>TEMU</t>
        </is>
      </c>
      <c r="AA2" s="2" t="inlineStr">
        <is>
          <t>PO-211-05886758334074065</t>
        </is>
      </c>
      <c r="AB2" s="2" t="inlineStr">
        <is>
          <t>31 St. James Avenue, Suite 355, Boston, MA 02116</t>
        </is>
      </c>
      <c r="AC2" s="2" t="inlineStr">
        <is>
          <t>CN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85183000</t>
        </is>
      </c>
    </row>
    <row r="3">
      <c r="A3" s="4" t="n"/>
      <c r="B3" s="4" t="n"/>
      <c r="C3" s="4" t="n"/>
      <c r="D3" s="4" t="n"/>
      <c r="E3" s="4" t="n"/>
      <c r="F3" s="4" t="inlineStr">
        <is>
          <t>85183000</t>
        </is>
      </c>
      <c r="G3" s="4" t="n"/>
      <c r="H3" s="4" t="n"/>
      <c r="I3" s="4" t="inlineStr">
        <is>
          <t>TEMU-1</t>
        </is>
      </c>
      <c r="J3" s="4" t="inlineStr">
        <is>
          <t>Item details (34) TWS Wireless Earphone, Small And Portable, |...</t>
        </is>
      </c>
      <c r="K3" s="4" t="n">
        <v>0</v>
      </c>
      <c r="L3" s="4" t="n"/>
      <c r="M3" s="4" t="inlineStr"/>
      <c r="N3" s="4" t="inlineStr">
        <is>
          <t>USD</t>
        </is>
      </c>
      <c r="O3" s="5" t="n">
        <v>2.84</v>
      </c>
      <c r="P3" s="5" t="n">
        <v>2.84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2" t="n"/>
      <c r="B4" s="2" t="inlineStr"/>
      <c r="C4" s="2" t="inlineStr">
        <is>
          <t>PO-211-05886758334074065</t>
        </is>
      </c>
      <c r="D4" s="2" t="inlineStr">
        <is>
          <t>2024-07-05</t>
        </is>
      </c>
      <c r="E4" s="2" t="inlineStr">
        <is>
          <t>Electrical machinery and equipment</t>
        </is>
      </c>
      <c r="F4" s="2" t="inlineStr">
        <is>
          <t>85183000</t>
        </is>
      </c>
      <c r="G4" s="2" t="inlineStr"/>
      <c r="H4" s="2" t="inlineStr"/>
      <c r="I4" s="2" t="inlineStr">
        <is>
          <t>00000000</t>
        </is>
      </c>
      <c r="J4" s="2" t="inlineStr">
        <is>
          <t>Rd Black x] (1 items)</t>
        </is>
      </c>
      <c r="K4" s="2" t="n">
        <v>1</v>
      </c>
      <c r="L4" s="2" t="n"/>
      <c r="M4" s="2" t="inlineStr"/>
      <c r="N4" s="2" t="inlineStr">
        <is>
          <t>USD</t>
        </is>
      </c>
      <c r="O4" s="3" t="n">
        <v>77.83</v>
      </c>
      <c r="P4" s="3" t="n">
        <v>77.83</v>
      </c>
      <c r="Q4" s="3">
        <f>O4*K4</f>
        <v/>
      </c>
      <c r="R4" s="3">
        <f>P4-Q4</f>
        <v/>
      </c>
      <c r="S4" s="3" t="n"/>
      <c r="T4" s="3" t="n"/>
      <c r="U4" s="3" t="n"/>
      <c r="V4" s="3" t="n"/>
      <c r="W4" s="3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inlineStr">
        <is>
          <t>85183000</t>
        </is>
      </c>
    </row>
    <row r="5">
      <c r="A5" s="4" t="n"/>
      <c r="B5" s="4" t="n"/>
      <c r="C5" s="4" t="n"/>
      <c r="D5" s="4" t="n"/>
      <c r="E5" s="4" t="n"/>
      <c r="F5" s="4" t="inlineStr">
        <is>
          <t>85183000</t>
        </is>
      </c>
      <c r="G5" s="4" t="n"/>
      <c r="H5" s="4" t="n"/>
      <c r="I5" s="4" t="inlineStr">
        <is>
          <t>TEMU-2</t>
        </is>
      </c>
      <c r="J5" s="4" t="inlineStr">
        <is>
          <t>Rd Black x]</t>
        </is>
      </c>
      <c r="K5" s="4" t="n">
        <v>1</v>
      </c>
      <c r="L5" s="4" t="n"/>
      <c r="M5" s="4" t="inlineStr"/>
      <c r="N5" s="4" t="inlineStr">
        <is>
          <t>USD</t>
        </is>
      </c>
      <c r="O5" s="5" t="n">
        <v>77.83</v>
      </c>
      <c r="P5" s="5" t="n">
        <v>77.83</v>
      </c>
      <c r="Q5" s="5">
        <f>O5*K5</f>
        <v/>
      </c>
      <c r="R5" s="5">
        <f>P5-Q5</f>
        <v/>
      </c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inlineStr">
        <is>
          <t>85183000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inlineStr">
        <is>
          <t>SUBTOTAL (GROUPED)</t>
        </is>
      </c>
      <c r="K6" s="6" t="n"/>
      <c r="L6" s="6" t="n"/>
      <c r="M6" s="6" t="n"/>
      <c r="N6" s="6" t="n"/>
      <c r="O6" s="6" t="n"/>
      <c r="P6" s="7">
        <f>P2+P4</f>
        <v/>
      </c>
      <c r="Q6" s="7">
        <f>Q2+Q4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inlineStr">
        <is>
          <t>SUBTOTAL (DETAILS)</t>
        </is>
      </c>
      <c r="K7" s="6" t="n"/>
      <c r="L7" s="6" t="n"/>
      <c r="M7" s="6" t="n"/>
      <c r="N7" s="6" t="n"/>
      <c r="O7" s="6" t="n"/>
      <c r="P7" s="7">
        <f>SUM(P2:P5)-P6</f>
        <v/>
      </c>
      <c r="Q7" s="7">
        <f>SUM(Q2:Q5)-Q6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inlineStr">
        <is>
          <t>GROUP VERIFICATION</t>
        </is>
      </c>
      <c r="K8" s="8" t="n"/>
      <c r="L8" s="8" t="n"/>
      <c r="M8" s="8" t="n"/>
      <c r="N8" s="8" t="n"/>
      <c r="O8" s="8" t="n"/>
      <c r="P8" s="9">
        <f>P6-P7</f>
        <v/>
      </c>
      <c r="Q8" s="9">
        <f>Q6-Q7</f>
        <v/>
      </c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</row>
    <row r="9"/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INTERNAL FREIGHT</t>
        </is>
      </c>
      <c r="K10" s="6" t="n"/>
      <c r="L10" s="6" t="n"/>
      <c r="M10" s="6" t="n"/>
      <c r="N10" s="6" t="n"/>
      <c r="O10" s="6" t="n"/>
      <c r="P10" s="7" t="n">
        <v>0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INSURANCE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TOTAL OTHER COST</t>
        </is>
      </c>
      <c r="K12" s="6" t="n"/>
      <c r="L12" s="6" t="n"/>
      <c r="M12" s="6" t="n"/>
      <c r="N12" s="6" t="n"/>
      <c r="O12" s="6" t="n"/>
      <c r="P12" s="7" t="n">
        <v>5.48</v>
      </c>
      <c r="Q12" s="7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TOTAL DEDUCTION</t>
        </is>
      </c>
      <c r="K13" s="6" t="n"/>
      <c r="L13" s="6" t="n"/>
      <c r="M13" s="6" t="n"/>
      <c r="N13" s="6" t="n"/>
      <c r="O13" s="6" t="n"/>
      <c r="P13" s="7" t="n">
        <v>0</v>
      </c>
      <c r="Q13" s="7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ADJUSTMENTS</t>
        </is>
      </c>
      <c r="K14" s="6" t="n"/>
      <c r="L14" s="6" t="n"/>
      <c r="M14" s="6" t="n"/>
      <c r="N14" s="6" t="n"/>
      <c r="O14" s="6" t="n"/>
      <c r="P14" s="7">
        <f>(T2+U2+V2-W2)</f>
        <v/>
      </c>
      <c r="Q14" s="7">
        <f>(T2+U2+V2-W2)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/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NET TOTAL</t>
        </is>
      </c>
      <c r="K16" s="6" t="n"/>
      <c r="L16" s="6" t="n"/>
      <c r="M16" s="6" t="n"/>
      <c r="N16" s="6" t="n"/>
      <c r="O16" s="6" t="n"/>
      <c r="P16" s="7">
        <f>P6+P14</f>
        <v/>
      </c>
      <c r="Q16" s="7">
        <f>Q6+Q14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inlineStr">
        <is>
          <t>INVOICE TOTAL</t>
        </is>
      </c>
      <c r="K17" s="6" t="n"/>
      <c r="L17" s="6" t="n"/>
      <c r="M17" s="6" t="n"/>
      <c r="N17" s="6" t="n"/>
      <c r="O17" s="6" t="n"/>
      <c r="P17" s="7">
        <f>S2</f>
        <v/>
      </c>
      <c r="Q17" s="7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8"/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inlineStr">
        <is>
          <t>VARIANCE CHECK</t>
        </is>
      </c>
      <c r="K19" s="10" t="n"/>
      <c r="L19" s="10" t="n"/>
      <c r="M19" s="10" t="n"/>
      <c r="N19" s="10" t="n"/>
      <c r="O19" s="10" t="n"/>
      <c r="P19" s="11">
        <f>S2-P16</f>
        <v/>
      </c>
      <c r="Q19" s="11">
        <f>S2-Q16</f>
        <v/>
      </c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</row>
    <row r="20"/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inlineStr">
        <is>
          <t>DUTY ESTIMATION (Classification Cross-Check)</t>
        </is>
      </c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inlineStr">
        <is>
          <t>CIF (USD) = InvTotal + Freight + Insurance</t>
        </is>
      </c>
      <c r="K22" s="13" t="n"/>
      <c r="L22" s="13" t="n"/>
      <c r="M22" s="13" t="n"/>
      <c r="N22" s="13" t="n"/>
      <c r="O22" s="13" t="n"/>
      <c r="P22" s="15" t="n">
        <v>97.15000000000001</v>
      </c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CIF (XCD) = CIF × 2.7169</t>
        </is>
      </c>
      <c r="K23" s="13" t="n"/>
      <c r="L23" s="13" t="n"/>
      <c r="M23" s="13" t="n"/>
      <c r="N23" s="13" t="n"/>
      <c r="O23" s="13" t="n"/>
      <c r="P23" s="15" t="n">
        <v>263.95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CET (weighted avg 20.0%)</t>
        </is>
      </c>
      <c r="K24" s="13" t="n"/>
      <c r="L24" s="13" t="n"/>
      <c r="M24" s="13" t="n"/>
      <c r="N24" s="13" t="n"/>
      <c r="O24" s="13" t="n"/>
      <c r="P24" s="15" t="n">
        <v>52.79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4" t="inlineStr">
        <is>
          <t xml:space="preserve">  └ 00000000: 20% CET (96% of value)</t>
        </is>
      </c>
      <c r="K25" s="13" t="n"/>
      <c r="L25" s="13" t="n"/>
      <c r="M25" s="13" t="n"/>
      <c r="N25" s="13" t="n"/>
      <c r="O25" s="13" t="n"/>
      <c r="P25" s="15" t="n">
        <v>50.93</v>
      </c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</row>
    <row r="26">
      <c r="A26" s="13" t="n"/>
      <c r="B26" s="13" t="n"/>
      <c r="C26" s="13" t="n"/>
      <c r="D26" s="13" t="n"/>
      <c r="E26" s="13" t="n"/>
      <c r="F26" s="13" t="inlineStr">
        <is>
          <t>85183000</t>
        </is>
      </c>
      <c r="G26" s="13" t="n"/>
      <c r="H26" s="13" t="n"/>
      <c r="I26" s="13" t="n"/>
      <c r="J26" s="14" t="inlineStr">
        <is>
          <t xml:space="preserve">  └ 85183000: 20% CET (4% of value)</t>
        </is>
      </c>
      <c r="K26" s="13" t="n"/>
      <c r="L26" s="13" t="n"/>
      <c r="M26" s="13" t="n"/>
      <c r="N26" s="13" t="n"/>
      <c r="O26" s="13" t="n"/>
      <c r="P26" s="15" t="n">
        <v>1.86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inlineStr">
        <is>
          <t>85183000</t>
        </is>
      </c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>CSC (6%)</t>
        </is>
      </c>
      <c r="K27" s="13" t="n"/>
      <c r="L27" s="13" t="n"/>
      <c r="M27" s="13" t="n"/>
      <c r="N27" s="13" t="n"/>
      <c r="O27" s="13" t="n"/>
      <c r="P27" s="15" t="n">
        <v>15.84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inlineStr">
        <is>
          <t>VAT (15%) on CIF+CET+CSC</t>
        </is>
      </c>
      <c r="K28" s="13" t="n"/>
      <c r="L28" s="13" t="n"/>
      <c r="M28" s="13" t="n"/>
      <c r="N28" s="13" t="n"/>
      <c r="O28" s="13" t="n"/>
      <c r="P28" s="15" t="n">
        <v>49.89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2" t="inlineStr">
        <is>
          <t>ESTIMATED TOTAL DUTIES</t>
        </is>
      </c>
      <c r="K29" s="16" t="n"/>
      <c r="L29" s="16" t="n"/>
      <c r="M29" s="16" t="n"/>
      <c r="N29" s="16" t="n"/>
      <c r="O29" s="16" t="n"/>
      <c r="P29" s="17" t="n">
        <v>118.52</v>
      </c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16" t="n"/>
      <c r="AJ29" s="16" t="n"/>
      <c r="AK29" s="16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4" t="inlineStr">
        <is>
          <t>Effective Duty Rate</t>
        </is>
      </c>
      <c r="K30" s="13" t="n"/>
      <c r="L30" s="13" t="n"/>
      <c r="M30" s="13" t="n"/>
      <c r="N30" s="13" t="n"/>
      <c r="O30" s="13" t="n"/>
      <c r="P30" s="18" t="n">
        <v>0.4490244364462966</v>
      </c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4" t="inlineStr">
        <is>
          <t>CLIENT DECLARED DUTIES</t>
        </is>
      </c>
      <c r="K31" s="13" t="n"/>
      <c r="L31" s="13" t="n"/>
      <c r="M31" s="13" t="n"/>
      <c r="N31" s="13" t="n"/>
      <c r="O31" s="13" t="n"/>
      <c r="P31" s="15" t="n">
        <v>31</v>
      </c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9" t="inlineStr">
        <is>
          <t>DUTY VARIANCE (Client − Estimated)</t>
        </is>
      </c>
      <c r="K32" s="13" t="n"/>
      <c r="L32" s="13" t="n"/>
      <c r="M32" s="13" t="n"/>
      <c r="N32" s="13" t="n"/>
      <c r="O32" s="13" t="n"/>
      <c r="P32" s="20" t="n">
        <v>-87.52</v>
      </c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2026-04-19T00:26:56Z</dcterms:created>
  <dcterms:modified xsi:type="dcterms:W3CDTF">2026-04-19T00:27:04Z</dcterms:modified>
</cp:coreProperties>
</file>