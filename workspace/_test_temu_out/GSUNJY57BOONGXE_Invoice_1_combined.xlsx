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6">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
      <b val="1"/>
      <color rgb="009C0006"/>
    </font>
    <font>
      <b val="1"/>
      <color rgb="00FF0000"/>
      <sz val="12"/>
    </font>
  </fonts>
  <fills count="9">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4" borderId="1" pivotButton="0" quotePrefix="0" xfId="0"/>
    <xf numFmtId="0" fontId="6" fillId="4" borderId="1" pivotButton="0" quotePrefix="0" xfId="0"/>
    <xf numFmtId="0" fontId="7" fillId="5"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5" borderId="1" pivotButton="0" quotePrefix="0" xfId="0"/>
    <xf numFmtId="164" fontId="7" fillId="5" borderId="1" pivotButton="0" quotePrefix="0" xfId="0"/>
    <xf numFmtId="165" fontId="7" fillId="0" borderId="1" pivotButton="0" quotePrefix="0" xfId="0"/>
    <xf numFmtId="0" fontId="0" fillId="6"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14"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89"/>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GSUNJY57BOONGXE_Invoice_1</t>
        </is>
      </c>
      <c r="D2" s="2" t="n"/>
      <c r="E2" s="2" t="inlineStr">
        <is>
          <t>BAGS &amp; LUGGAGE</t>
        </is>
      </c>
      <c r="F2" s="2" t="inlineStr">
        <is>
          <t>42022200</t>
        </is>
      </c>
      <c r="G2" s="2" t="n"/>
      <c r="H2" s="2" t="n"/>
      <c r="I2" s="2" t="inlineStr">
        <is>
          <t>42022200</t>
        </is>
      </c>
      <c r="J2" s="2" t="inlineStr">
        <is>
          <t>Pu Fabric Rainbow Stripe Mini Heart Shaped Kids Crossbody Bag (1 items)</t>
        </is>
      </c>
      <c r="K2" s="2" t="n">
        <v>1</v>
      </c>
      <c r="L2" s="2" t="n"/>
      <c r="M2" s="2" t="n"/>
      <c r="N2" s="2" t="inlineStr">
        <is>
          <t>USD</t>
        </is>
      </c>
      <c r="O2" s="3" t="n">
        <v>6.56</v>
      </c>
      <c r="P2" s="3" t="n">
        <v>6.56</v>
      </c>
      <c r="Q2" s="3">
        <f>O2*K2</f>
        <v/>
      </c>
      <c r="R2" s="3">
        <f>P2-Q2</f>
        <v/>
      </c>
      <c r="S2" s="3" t="n">
        <v>6.56</v>
      </c>
      <c r="T2" s="3" t="n">
        <v>0</v>
      </c>
      <c r="U2" s="3" t="n">
        <v>0</v>
      </c>
      <c r="V2" s="3" t="n">
        <v>0</v>
      </c>
      <c r="W2" s="3" t="n">
        <v>0</v>
      </c>
      <c r="X2" s="2" t="n">
        <v>1</v>
      </c>
      <c r="Y2" s="2" t="n"/>
      <c r="Z2" s="2" t="inlineStr">
        <is>
          <t>SHEIN</t>
        </is>
      </c>
      <c r="AA2" s="2" t="inlineStr">
        <is>
          <t>SHEIN US Services, LLC</t>
        </is>
      </c>
      <c r="AB2" s="2" t="inlineStr">
        <is>
          <t>777 S. Alameda St., Second Floor, Los Angeles, CA 90021</t>
        </is>
      </c>
      <c r="AC2" s="2" t="inlineStr">
        <is>
          <t>US</t>
        </is>
      </c>
      <c r="AD2" s="2" t="n"/>
      <c r="AE2" s="2" t="n"/>
      <c r="AF2" s="2" t="n"/>
      <c r="AG2" s="2" t="n"/>
      <c r="AH2" s="2" t="n"/>
      <c r="AI2" s="2" t="n"/>
      <c r="AJ2" s="2" t="n"/>
      <c r="AK2" s="2" t="inlineStr">
        <is>
          <t>42022200</t>
        </is>
      </c>
    </row>
    <row r="3">
      <c r="A3" s="4" t="n"/>
      <c r="B3" s="4" t="n"/>
      <c r="C3" s="4" t="n"/>
      <c r="D3" s="4" t="n"/>
      <c r="E3" s="4" t="n"/>
      <c r="F3" s="4" t="inlineStr">
        <is>
          <t>42022200</t>
        </is>
      </c>
      <c r="G3" s="4" t="n"/>
      <c r="H3" s="4" t="n"/>
      <c r="I3" s="4" t="inlineStr">
        <is>
          <t>SHEIN-1</t>
        </is>
      </c>
      <c r="J3" s="4" t="inlineStr">
        <is>
          <t>Pu Fabric Rainbow Stripe Mini Heart Shaped Kids Crossbody Bag</t>
        </is>
      </c>
      <c r="K3" s="4" t="n">
        <v>1</v>
      </c>
      <c r="L3" s="4" t="n"/>
      <c r="M3" s="4" t="n"/>
      <c r="N3" s="4" t="inlineStr">
        <is>
          <t>USD</t>
        </is>
      </c>
      <c r="O3" s="5" t="n">
        <v>6.56</v>
      </c>
      <c r="P3" s="5" t="n">
        <v>6.56</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6" t="n"/>
      <c r="B4" s="6" t="n"/>
      <c r="C4" s="6" t="n"/>
      <c r="D4" s="6" t="n"/>
      <c r="E4" s="6" t="n"/>
      <c r="F4" s="6" t="n"/>
      <c r="G4" s="6" t="n"/>
      <c r="H4" s="6" t="n"/>
      <c r="I4" s="6" t="n"/>
      <c r="J4" s="6" t="inlineStr">
        <is>
          <t>SUBTOTAL (GROUPED)</t>
        </is>
      </c>
      <c r="K4" s="6" t="n"/>
      <c r="L4" s="6" t="n"/>
      <c r="M4" s="6" t="n"/>
      <c r="N4" s="6" t="n"/>
      <c r="O4" s="6" t="n"/>
      <c r="P4" s="7">
        <f>P2</f>
        <v/>
      </c>
      <c r="Q4" s="7">
        <f>Q2</f>
        <v/>
      </c>
      <c r="R4" s="6" t="n"/>
      <c r="S4" s="6" t="n"/>
      <c r="T4" s="6" t="n"/>
      <c r="U4" s="6" t="n"/>
      <c r="V4" s="6" t="n"/>
      <c r="W4" s="6" t="n"/>
      <c r="X4" s="6" t="n"/>
      <c r="Y4" s="6" t="n"/>
      <c r="Z4" s="6" t="n"/>
      <c r="AA4" s="6" t="n"/>
      <c r="AB4" s="6" t="n"/>
      <c r="AC4" s="6" t="n"/>
      <c r="AD4" s="6" t="n"/>
      <c r="AE4" s="6" t="n"/>
      <c r="AF4" s="6" t="n"/>
      <c r="AG4" s="6" t="n"/>
      <c r="AH4" s="6" t="n"/>
      <c r="AI4" s="6" t="n"/>
      <c r="AJ4" s="6" t="n"/>
      <c r="AK4" s="6" t="n"/>
    </row>
    <row r="5">
      <c r="A5" s="6" t="n"/>
      <c r="B5" s="6" t="n"/>
      <c r="C5" s="6" t="n"/>
      <c r="D5" s="6" t="n"/>
      <c r="E5" s="6" t="n"/>
      <c r="F5" s="6" t="n"/>
      <c r="G5" s="6" t="n"/>
      <c r="H5" s="6" t="n"/>
      <c r="I5" s="6" t="n"/>
      <c r="J5" s="6" t="inlineStr">
        <is>
          <t>SUBTOTAL (DETAILS)</t>
        </is>
      </c>
      <c r="K5" s="6" t="n"/>
      <c r="L5" s="6" t="n"/>
      <c r="M5" s="6" t="n"/>
      <c r="N5" s="6" t="n"/>
      <c r="O5" s="6" t="n"/>
      <c r="P5" s="7">
        <f>SUM(P2:P3)-P4</f>
        <v/>
      </c>
      <c r="Q5" s="7">
        <f>SUM(Q2:Q3)-Q4</f>
        <v/>
      </c>
      <c r="R5" s="6" t="n"/>
      <c r="S5" s="6" t="n"/>
      <c r="T5" s="6" t="n"/>
      <c r="U5" s="6" t="n"/>
      <c r="V5" s="6" t="n"/>
      <c r="W5" s="6" t="n"/>
      <c r="X5" s="6" t="n"/>
      <c r="Y5" s="6" t="n"/>
      <c r="Z5" s="6" t="n"/>
      <c r="AA5" s="6" t="n"/>
      <c r="AB5" s="6" t="n"/>
      <c r="AC5" s="6" t="n"/>
      <c r="AD5" s="6" t="n"/>
      <c r="AE5" s="6" t="n"/>
      <c r="AF5" s="6" t="n"/>
      <c r="AG5" s="6" t="n"/>
      <c r="AH5" s="6" t="n"/>
      <c r="AI5" s="6" t="n"/>
      <c r="AJ5" s="6" t="n"/>
      <c r="AK5" s="6" t="n"/>
    </row>
    <row r="6">
      <c r="A6" s="8" t="n"/>
      <c r="B6" s="8" t="n"/>
      <c r="C6" s="8" t="n"/>
      <c r="D6" s="8" t="n"/>
      <c r="E6" s="8" t="n"/>
      <c r="F6" s="8" t="n"/>
      <c r="G6" s="8" t="n"/>
      <c r="H6" s="8" t="n"/>
      <c r="I6" s="8" t="n"/>
      <c r="J6" s="8" t="inlineStr">
        <is>
          <t>GROUP VERIFICATION</t>
        </is>
      </c>
      <c r="K6" s="8" t="n"/>
      <c r="L6" s="8" t="n"/>
      <c r="M6" s="8" t="n"/>
      <c r="N6" s="8" t="n"/>
      <c r="O6" s="8" t="n"/>
      <c r="P6" s="9">
        <f>P4-P5</f>
        <v/>
      </c>
      <c r="Q6" s="9">
        <f>Q4-Q5</f>
        <v/>
      </c>
      <c r="R6" s="8" t="n"/>
      <c r="S6" s="8" t="n"/>
      <c r="T6" s="8" t="n"/>
      <c r="U6" s="8" t="n"/>
      <c r="V6" s="8" t="n"/>
      <c r="W6" s="8" t="n"/>
      <c r="X6" s="8" t="n"/>
      <c r="Y6" s="8" t="n"/>
      <c r="Z6" s="8" t="n"/>
      <c r="AA6" s="8" t="n"/>
      <c r="AB6" s="8" t="n"/>
      <c r="AC6" s="8" t="n"/>
      <c r="AD6" s="8" t="n"/>
      <c r="AE6" s="8" t="n"/>
      <c r="AF6" s="8" t="n"/>
      <c r="AG6" s="8" t="n"/>
      <c r="AH6" s="8" t="n"/>
      <c r="AI6" s="8" t="n"/>
      <c r="AJ6" s="8" t="n"/>
      <c r="AK6" s="8" t="n"/>
    </row>
    <row r="7"/>
    <row r="8">
      <c r="A8" s="6" t="n"/>
      <c r="B8" s="6" t="n"/>
      <c r="C8" s="6" t="n"/>
      <c r="D8" s="6" t="n"/>
      <c r="E8" s="6" t="n"/>
      <c r="F8" s="6" t="n"/>
      <c r="G8" s="6" t="n"/>
      <c r="H8" s="6" t="n"/>
      <c r="I8" s="6" t="n"/>
      <c r="J8" s="6" t="inlineStr">
        <is>
          <t>TOTAL INTERNAL FREIGHT</t>
        </is>
      </c>
      <c r="K8" s="6" t="n"/>
      <c r="L8" s="6" t="n"/>
      <c r="M8" s="6" t="n"/>
      <c r="N8" s="6" t="n"/>
      <c r="O8" s="6" t="n"/>
      <c r="P8" s="7" t="n">
        <v>0</v>
      </c>
      <c r="Q8" s="7" t="n"/>
      <c r="R8" s="6" t="n"/>
      <c r="S8" s="6" t="n"/>
      <c r="T8" s="6" t="n"/>
      <c r="U8" s="6" t="n"/>
      <c r="V8" s="6" t="n"/>
      <c r="W8" s="6" t="n"/>
      <c r="X8" s="6" t="n"/>
      <c r="Y8" s="6" t="n"/>
      <c r="Z8" s="6" t="n"/>
      <c r="AA8" s="6" t="n"/>
      <c r="AB8" s="6" t="n"/>
      <c r="AC8" s="6" t="n"/>
      <c r="AD8" s="6" t="n"/>
      <c r="AE8" s="6" t="n"/>
      <c r="AF8" s="6" t="n"/>
      <c r="AG8" s="6" t="n"/>
      <c r="AH8" s="6" t="n"/>
      <c r="AI8" s="6" t="n"/>
      <c r="AJ8" s="6" t="n"/>
      <c r="AK8" s="6" t="n"/>
    </row>
    <row r="9">
      <c r="A9" s="6" t="n"/>
      <c r="B9" s="6" t="n"/>
      <c r="C9" s="6" t="n"/>
      <c r="D9" s="6" t="n"/>
      <c r="E9" s="6" t="n"/>
      <c r="F9" s="6" t="n"/>
      <c r="G9" s="6" t="n"/>
      <c r="H9" s="6" t="n"/>
      <c r="I9" s="6" t="n"/>
      <c r="J9" s="6" t="inlineStr">
        <is>
          <t>TOTAL INSURANCE</t>
        </is>
      </c>
      <c r="K9" s="6" t="n"/>
      <c r="L9" s="6" t="n"/>
      <c r="M9" s="6" t="n"/>
      <c r="N9" s="6" t="n"/>
      <c r="O9" s="6" t="n"/>
      <c r="P9" s="7" t="n">
        <v>0</v>
      </c>
      <c r="Q9" s="7" t="n"/>
      <c r="R9" s="6" t="n"/>
      <c r="S9" s="6" t="n"/>
      <c r="T9" s="6" t="n"/>
      <c r="U9" s="6" t="n"/>
      <c r="V9" s="6" t="n"/>
      <c r="W9" s="6" t="n"/>
      <c r="X9" s="6" t="n"/>
      <c r="Y9" s="6" t="n"/>
      <c r="Z9" s="6" t="n"/>
      <c r="AA9" s="6" t="n"/>
      <c r="AB9" s="6" t="n"/>
      <c r="AC9" s="6" t="n"/>
      <c r="AD9" s="6" t="n"/>
      <c r="AE9" s="6" t="n"/>
      <c r="AF9" s="6" t="n"/>
      <c r="AG9" s="6" t="n"/>
      <c r="AH9" s="6" t="n"/>
      <c r="AI9" s="6" t="n"/>
      <c r="AJ9" s="6" t="n"/>
      <c r="AK9" s="6" t="n"/>
    </row>
    <row r="10">
      <c r="A10" s="6" t="n"/>
      <c r="B10" s="6" t="n"/>
      <c r="C10" s="6" t="n"/>
      <c r="D10" s="6" t="n"/>
      <c r="E10" s="6" t="n"/>
      <c r="F10" s="6" t="n"/>
      <c r="G10" s="6" t="n"/>
      <c r="H10" s="6" t="n"/>
      <c r="I10" s="6" t="n"/>
      <c r="J10" s="6" t="inlineStr">
        <is>
          <t>TOTAL OTHER COST</t>
        </is>
      </c>
      <c r="K10" s="6" t="n"/>
      <c r="L10" s="6" t="n"/>
      <c r="M10" s="6" t="n"/>
      <c r="N10" s="6" t="n"/>
      <c r="O10" s="6" t="n"/>
      <c r="P10" s="7" t="n">
        <v>0</v>
      </c>
      <c r="Q10" s="7" t="n"/>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6" t="n"/>
      <c r="B11" s="6" t="n"/>
      <c r="C11" s="6" t="n"/>
      <c r="D11" s="6" t="n"/>
      <c r="E11" s="6" t="n"/>
      <c r="F11" s="6" t="n"/>
      <c r="G11" s="6" t="n"/>
      <c r="H11" s="6" t="n"/>
      <c r="I11" s="6" t="n"/>
      <c r="J11" s="6" t="inlineStr">
        <is>
          <t>TOTAL DEDUCTION</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ADJUSTMENTS</t>
        </is>
      </c>
      <c r="K12" s="6" t="n"/>
      <c r="L12" s="6" t="n"/>
      <c r="M12" s="6" t="n"/>
      <c r="N12" s="6" t="n"/>
      <c r="O12" s="6" t="n"/>
      <c r="P12" s="7">
        <f>(T2+U2+V2-W2)</f>
        <v/>
      </c>
      <c r="Q12" s="7">
        <f>(T2+U2+V2-W2)</f>
        <v/>
      </c>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row r="14">
      <c r="A14" s="6" t="n"/>
      <c r="B14" s="6" t="n"/>
      <c r="C14" s="6" t="n"/>
      <c r="D14" s="6" t="n"/>
      <c r="E14" s="6" t="n"/>
      <c r="F14" s="6" t="n"/>
      <c r="G14" s="6" t="n"/>
      <c r="H14" s="6" t="n"/>
      <c r="I14" s="6" t="n"/>
      <c r="J14" s="6" t="inlineStr">
        <is>
          <t>NET TOTAL</t>
        </is>
      </c>
      <c r="K14" s="6" t="n"/>
      <c r="L14" s="6" t="n"/>
      <c r="M14" s="6" t="n"/>
      <c r="N14" s="6" t="n"/>
      <c r="O14" s="6" t="n"/>
      <c r="P14" s="7">
        <f>P4+P12</f>
        <v/>
      </c>
      <c r="Q14" s="7">
        <f>Q4+Q12</f>
        <v/>
      </c>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INVOICE TOTAL</t>
        </is>
      </c>
      <c r="K15" s="6" t="n"/>
      <c r="L15" s="6" t="n"/>
      <c r="M15" s="6" t="n"/>
      <c r="N15" s="6" t="n"/>
      <c r="O15" s="6" t="n"/>
      <c r="P15" s="7">
        <f>S2</f>
        <v/>
      </c>
      <c r="Q15" s="7" t="n"/>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row r="17">
      <c r="A17" s="10" t="n"/>
      <c r="B17" s="10" t="n"/>
      <c r="C17" s="10" t="n"/>
      <c r="D17" s="10" t="n"/>
      <c r="E17" s="10" t="n"/>
      <c r="F17" s="10" t="n"/>
      <c r="G17" s="10" t="n"/>
      <c r="H17" s="10" t="n"/>
      <c r="I17" s="10" t="n"/>
      <c r="J17" s="10" t="inlineStr">
        <is>
          <t>VARIANCE CHECK</t>
        </is>
      </c>
      <c r="K17" s="10" t="n"/>
      <c r="L17" s="10" t="n"/>
      <c r="M17" s="10" t="n"/>
      <c r="N17" s="10" t="n"/>
      <c r="O17" s="10" t="n"/>
      <c r="P17" s="11">
        <f>S2-P14</f>
        <v/>
      </c>
      <c r="Q17" s="11">
        <f>S2-Q14</f>
        <v/>
      </c>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row>
    <row r="18"/>
    <row r="19">
      <c r="A19" s="12" t="n"/>
      <c r="B19" s="12" t="n"/>
      <c r="C19" s="12" t="n"/>
      <c r="D19" s="12" t="n"/>
      <c r="E19" s="12" t="n"/>
      <c r="F19" s="12" t="n"/>
      <c r="G19" s="12" t="n"/>
      <c r="H19" s="12" t="n"/>
      <c r="I19" s="12" t="n"/>
      <c r="J19" s="13" t="inlineStr">
        <is>
          <t>INVOICE NOTES: Invoice total uncertain</t>
        </is>
      </c>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row>
    <row r="20"/>
    <row r="21">
      <c r="A21" s="14" t="n"/>
      <c r="B21" s="14" t="n"/>
      <c r="C21" s="14" t="n"/>
      <c r="D21" s="14" t="n"/>
      <c r="E21" s="14" t="n"/>
      <c r="F21" s="14" t="n"/>
      <c r="G21" s="14" t="n"/>
      <c r="H21" s="14" t="n"/>
      <c r="I21" s="14" t="n"/>
      <c r="J21" s="14" t="inlineStr">
        <is>
          <t>DUTY ESTIMATION (Classification Cross-Check)</t>
        </is>
      </c>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row>
    <row r="22">
      <c r="A22" s="15" t="n"/>
      <c r="B22" s="15" t="n"/>
      <c r="C22" s="15" t="n"/>
      <c r="D22" s="15" t="n"/>
      <c r="E22" s="15" t="n"/>
      <c r="F22" s="15" t="n"/>
      <c r="G22" s="15" t="n"/>
      <c r="H22" s="15" t="n"/>
      <c r="I22" s="15" t="n"/>
      <c r="J22" s="16" t="inlineStr">
        <is>
          <t>CIF (USD) = InvTotal + Freight + Insurance</t>
        </is>
      </c>
      <c r="K22" s="15" t="n"/>
      <c r="L22" s="15" t="n"/>
      <c r="M22" s="15" t="n"/>
      <c r="N22" s="15" t="n"/>
      <c r="O22" s="15" t="n"/>
      <c r="P22" s="17" t="n">
        <v>6.56</v>
      </c>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row>
    <row r="23">
      <c r="A23" s="15" t="n"/>
      <c r="B23" s="15" t="n"/>
      <c r="C23" s="15" t="n"/>
      <c r="D23" s="15" t="n"/>
      <c r="E23" s="15" t="n"/>
      <c r="F23" s="15" t="n"/>
      <c r="G23" s="15" t="n"/>
      <c r="H23" s="15" t="n"/>
      <c r="I23" s="15" t="n"/>
      <c r="J23" s="16" t="inlineStr">
        <is>
          <t>CIF (XCD) = CIF × 2.7169</t>
        </is>
      </c>
      <c r="K23" s="15" t="n"/>
      <c r="L23" s="15" t="n"/>
      <c r="M23" s="15" t="n"/>
      <c r="N23" s="15" t="n"/>
      <c r="O23" s="15" t="n"/>
      <c r="P23" s="17" t="n">
        <v>17.82</v>
      </c>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row>
    <row r="24">
      <c r="A24" s="15" t="n"/>
      <c r="B24" s="15" t="n"/>
      <c r="C24" s="15" t="n"/>
      <c r="D24" s="15" t="n"/>
      <c r="E24" s="15" t="n"/>
      <c r="F24" s="15" t="n"/>
      <c r="G24" s="15" t="n"/>
      <c r="H24" s="15" t="n"/>
      <c r="I24" s="15" t="n"/>
      <c r="J24" s="16" t="inlineStr">
        <is>
          <t>CET (20%) — Tariff 42022200</t>
        </is>
      </c>
      <c r="K24" s="15" t="n"/>
      <c r="L24" s="15" t="n"/>
      <c r="M24" s="15" t="n"/>
      <c r="N24" s="15" t="n"/>
      <c r="O24" s="15" t="n"/>
      <c r="P24" s="17" t="n">
        <v>3.56</v>
      </c>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row>
    <row r="25">
      <c r="A25" s="15" t="n"/>
      <c r="B25" s="15" t="n"/>
      <c r="C25" s="15" t="n"/>
      <c r="D25" s="15" t="n"/>
      <c r="E25" s="15" t="n"/>
      <c r="F25" s="15" t="n"/>
      <c r="G25" s="15" t="n"/>
      <c r="H25" s="15" t="n"/>
      <c r="I25" s="15" t="n"/>
      <c r="J25" s="16" t="inlineStr">
        <is>
          <t>CSC (6%)</t>
        </is>
      </c>
      <c r="K25" s="15" t="n"/>
      <c r="L25" s="15" t="n"/>
      <c r="M25" s="15" t="n"/>
      <c r="N25" s="15" t="n"/>
      <c r="O25" s="15" t="n"/>
      <c r="P25" s="17" t="n">
        <v>1.07</v>
      </c>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row>
    <row r="26">
      <c r="A26" s="15" t="n"/>
      <c r="B26" s="15" t="n"/>
      <c r="C26" s="15" t="n"/>
      <c r="D26" s="15" t="n"/>
      <c r="E26" s="15" t="n"/>
      <c r="F26" s="15" t="n"/>
      <c r="G26" s="15" t="n"/>
      <c r="H26" s="15" t="n"/>
      <c r="I26" s="15" t="n"/>
      <c r="J26" s="16" t="inlineStr">
        <is>
          <t>VAT (15%) on CIF+CET+CSC</t>
        </is>
      </c>
      <c r="K26" s="15" t="n"/>
      <c r="L26" s="15" t="n"/>
      <c r="M26" s="15" t="n"/>
      <c r="N26" s="15" t="n"/>
      <c r="O26" s="15" t="n"/>
      <c r="P26" s="17" t="n">
        <v>3.37</v>
      </c>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row>
    <row r="27">
      <c r="A27" s="18" t="n"/>
      <c r="B27" s="18" t="n"/>
      <c r="C27" s="18" t="n"/>
      <c r="D27" s="18" t="n"/>
      <c r="E27" s="18" t="n"/>
      <c r="F27" s="18" t="n"/>
      <c r="G27" s="18" t="n"/>
      <c r="H27" s="18" t="n"/>
      <c r="I27" s="18" t="n"/>
      <c r="J27" s="14" t="inlineStr">
        <is>
          <t>ESTIMATED TOTAL DUTIES</t>
        </is>
      </c>
      <c r="K27" s="18" t="n"/>
      <c r="L27" s="18" t="n"/>
      <c r="M27" s="18" t="n"/>
      <c r="N27" s="18" t="n"/>
      <c r="O27" s="18" t="n"/>
      <c r="P27" s="19" t="n">
        <v>8</v>
      </c>
      <c r="Q27" s="18" t="n"/>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row>
    <row r="28">
      <c r="A28" s="15" t="n"/>
      <c r="B28" s="15" t="n"/>
      <c r="C28" s="15" t="n"/>
      <c r="D28" s="15" t="n"/>
      <c r="E28" s="15" t="n"/>
      <c r="F28" s="15" t="n"/>
      <c r="G28" s="15" t="n"/>
      <c r="H28" s="15" t="n"/>
      <c r="I28" s="15" t="n"/>
      <c r="J28" s="16" t="inlineStr">
        <is>
          <t>Effective Duty Rate</t>
        </is>
      </c>
      <c r="K28" s="15" t="n"/>
      <c r="L28" s="15" t="n"/>
      <c r="M28" s="15" t="n"/>
      <c r="N28" s="15" t="n"/>
      <c r="O28" s="15" t="n"/>
      <c r="P28" s="20" t="n">
        <v>0.4489337822671156</v>
      </c>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row>
    <row r="30">
      <c r="A30" s="2" t="inlineStr">
        <is>
          <t>4000-000</t>
        </is>
      </c>
      <c r="B30" s="2" t="n"/>
      <c r="C30" s="2" t="inlineStr">
        <is>
          <t>GSUNJY57BOONGXE_Invoice_2</t>
        </is>
      </c>
      <c r="D30" s="2" t="n"/>
      <c r="E30" s="2" t="inlineStr">
        <is>
          <t>Of synthetic fibres</t>
        </is>
      </c>
      <c r="F30" s="2" t="inlineStr">
        <is>
          <t>61046200</t>
        </is>
      </c>
      <c r="G30" s="2" t="n"/>
      <c r="H30" s="2" t="n"/>
      <c r="I30" s="2" t="inlineStr">
        <is>
          <t>61046200</t>
        </is>
      </c>
      <c r="J30" s="2" t="inlineStr">
        <is>
          <t>Women Color Block Crochet Knitted Short Sleeve Top And Shorts Set Short Sets Summer (1 items)</t>
        </is>
      </c>
      <c r="K30" s="2" t="n">
        <v>1</v>
      </c>
      <c r="L30" s="2" t="n"/>
      <c r="M30" s="2" t="n"/>
      <c r="N30" s="2" t="inlineStr">
        <is>
          <t>USD</t>
        </is>
      </c>
      <c r="O30" s="3" t="n">
        <v>15.48</v>
      </c>
      <c r="P30" s="3" t="n">
        <v>15.48</v>
      </c>
      <c r="Q30" s="3">
        <f>O30*K30</f>
        <v/>
      </c>
      <c r="R30" s="3">
        <f>P30-Q30</f>
        <v/>
      </c>
      <c r="S30" s="3" t="n">
        <v>15.48</v>
      </c>
      <c r="T30" s="3" t="n">
        <v>0</v>
      </c>
      <c r="U30" s="3" t="n">
        <v>0</v>
      </c>
      <c r="V30" s="3" t="n">
        <v>0</v>
      </c>
      <c r="W30" s="3" t="n">
        <v>0</v>
      </c>
      <c r="X30" s="2" t="n"/>
      <c r="Y30" s="2" t="n"/>
      <c r="Z30" s="2" t="inlineStr">
        <is>
          <t>SHEIN</t>
        </is>
      </c>
      <c r="AA30" s="2" t="inlineStr">
        <is>
          <t>SHEIN US Services, LLC</t>
        </is>
      </c>
      <c r="AB30" s="2" t="inlineStr">
        <is>
          <t>777 S. Alameda St., Second Floor, Los Angeles, CA 90021</t>
        </is>
      </c>
      <c r="AC30" s="2" t="inlineStr">
        <is>
          <t>US</t>
        </is>
      </c>
      <c r="AD30" s="2" t="n"/>
      <c r="AE30" s="2" t="n"/>
      <c r="AF30" s="2" t="n"/>
      <c r="AG30" s="2" t="n"/>
      <c r="AH30" s="2" t="n"/>
      <c r="AI30" s="2" t="n"/>
      <c r="AJ30" s="2" t="n"/>
      <c r="AK30" s="2" t="inlineStr">
        <is>
          <t>61046200</t>
        </is>
      </c>
    </row>
    <row r="31">
      <c r="A31" s="4" t="n"/>
      <c r="B31" s="4" t="n"/>
      <c r="C31" s="4" t="n"/>
      <c r="D31" s="4" t="n"/>
      <c r="E31" s="4" t="n"/>
      <c r="F31" s="4" t="inlineStr">
        <is>
          <t>61046200</t>
        </is>
      </c>
      <c r="G31" s="4" t="n"/>
      <c r="H31" s="4" t="n"/>
      <c r="I31" s="4" t="inlineStr">
        <is>
          <t>SHEIN-1</t>
        </is>
      </c>
      <c r="J31" s="4" t="inlineStr">
        <is>
          <t>Women Color Block Crochet Knitted Short Sleeve Top And Shorts Set Short Sets Summer</t>
        </is>
      </c>
      <c r="K31" s="4" t="n">
        <v>1</v>
      </c>
      <c r="L31" s="4" t="n"/>
      <c r="M31" s="4" t="n"/>
      <c r="N31" s="4" t="inlineStr">
        <is>
          <t>USD</t>
        </is>
      </c>
      <c r="O31" s="5" t="n">
        <v>15.48</v>
      </c>
      <c r="P31" s="5" t="n">
        <v>15.48</v>
      </c>
      <c r="Q31" s="5">
        <f>O31*K31</f>
        <v/>
      </c>
      <c r="R31" s="5">
        <f>P31-Q31</f>
        <v/>
      </c>
      <c r="S31" s="4" t="n"/>
      <c r="T31" s="4" t="n"/>
      <c r="U31" s="4" t="n"/>
      <c r="V31" s="4" t="n"/>
      <c r="W31" s="4" t="n"/>
      <c r="X31" s="4" t="n"/>
      <c r="Y31" s="4" t="n"/>
      <c r="Z31" s="4" t="n"/>
      <c r="AA31" s="4" t="n"/>
      <c r="AB31" s="4" t="n"/>
      <c r="AC31" s="4" t="n"/>
      <c r="AD31" s="4" t="n"/>
      <c r="AE31" s="4" t="n"/>
      <c r="AF31" s="4" t="n"/>
      <c r="AG31" s="4" t="n"/>
      <c r="AH31" s="4" t="n"/>
      <c r="AI31" s="4" t="n"/>
      <c r="AJ31" s="4" t="n"/>
      <c r="AK31" s="4" t="n"/>
    </row>
    <row r="32">
      <c r="A32" s="6" t="n"/>
      <c r="B32" s="6" t="n"/>
      <c r="C32" s="6" t="n"/>
      <c r="D32" s="6" t="n"/>
      <c r="E32" s="6" t="n"/>
      <c r="F32" s="6" t="n"/>
      <c r="G32" s="6" t="n"/>
      <c r="H32" s="6" t="n"/>
      <c r="I32" s="6" t="n"/>
      <c r="J32" s="6" t="inlineStr">
        <is>
          <t>SUBTOTAL (GROUPED)</t>
        </is>
      </c>
      <c r="K32" s="6" t="n"/>
      <c r="L32" s="6" t="n"/>
      <c r="M32" s="6" t="n"/>
      <c r="N32" s="6" t="n"/>
      <c r="O32" s="6" t="n"/>
      <c r="P32" s="7">
        <f>P30</f>
        <v/>
      </c>
      <c r="Q32" s="7">
        <f>Q30</f>
        <v/>
      </c>
      <c r="R32" s="6" t="n"/>
      <c r="S32" s="6" t="n"/>
      <c r="T32" s="6" t="n"/>
      <c r="U32" s="6" t="n"/>
      <c r="V32" s="6" t="n"/>
      <c r="W32" s="6" t="n"/>
      <c r="X32" s="6" t="n"/>
      <c r="Y32" s="6" t="n"/>
      <c r="Z32" s="6" t="n"/>
      <c r="AA32" s="6" t="n"/>
      <c r="AB32" s="6" t="n"/>
      <c r="AC32" s="6" t="n"/>
      <c r="AD32" s="6" t="n"/>
      <c r="AE32" s="6" t="n"/>
      <c r="AF32" s="6" t="n"/>
      <c r="AG32" s="6" t="n"/>
      <c r="AH32" s="6" t="n"/>
      <c r="AI32" s="6" t="n"/>
      <c r="AJ32" s="6" t="n"/>
      <c r="AK32" s="6" t="n"/>
    </row>
    <row r="33">
      <c r="A33" s="6" t="n"/>
      <c r="B33" s="6" t="n"/>
      <c r="C33" s="6" t="n"/>
      <c r="D33" s="6" t="n"/>
      <c r="E33" s="6" t="n"/>
      <c r="F33" s="6" t="n"/>
      <c r="G33" s="6" t="n"/>
      <c r="H33" s="6" t="n"/>
      <c r="I33" s="6" t="n"/>
      <c r="J33" s="6" t="inlineStr">
        <is>
          <t>SUBTOTAL (DETAILS)</t>
        </is>
      </c>
      <c r="K33" s="6" t="n"/>
      <c r="L33" s="6" t="n"/>
      <c r="M33" s="6" t="n"/>
      <c r="N33" s="6" t="n"/>
      <c r="O33" s="6" t="n"/>
      <c r="P33" s="7">
        <f>SUM(P30:P31)-P32</f>
        <v/>
      </c>
      <c r="Q33" s="7">
        <f>SUM(Q30:Q31)-Q32</f>
        <v/>
      </c>
      <c r="R33" s="6" t="n"/>
      <c r="S33" s="6" t="n"/>
      <c r="T33" s="6" t="n"/>
      <c r="U33" s="6" t="n"/>
      <c r="V33" s="6" t="n"/>
      <c r="W33" s="6" t="n"/>
      <c r="X33" s="6" t="n"/>
      <c r="Y33" s="6" t="n"/>
      <c r="Z33" s="6" t="n"/>
      <c r="AA33" s="6" t="n"/>
      <c r="AB33" s="6" t="n"/>
      <c r="AC33" s="6" t="n"/>
      <c r="AD33" s="6" t="n"/>
      <c r="AE33" s="6" t="n"/>
      <c r="AF33" s="6" t="n"/>
      <c r="AG33" s="6" t="n"/>
      <c r="AH33" s="6" t="n"/>
      <c r="AI33" s="6" t="n"/>
      <c r="AJ33" s="6" t="n"/>
      <c r="AK33" s="6" t="n"/>
    </row>
    <row r="34">
      <c r="A34" s="8" t="n"/>
      <c r="B34" s="8" t="n"/>
      <c r="C34" s="8" t="n"/>
      <c r="D34" s="8" t="n"/>
      <c r="E34" s="8" t="n"/>
      <c r="F34" s="8" t="n"/>
      <c r="G34" s="8" t="n"/>
      <c r="H34" s="8" t="n"/>
      <c r="I34" s="8" t="n"/>
      <c r="J34" s="8" t="inlineStr">
        <is>
          <t>GROUP VERIFICATION</t>
        </is>
      </c>
      <c r="K34" s="8" t="n"/>
      <c r="L34" s="8" t="n"/>
      <c r="M34" s="8" t="n"/>
      <c r="N34" s="8" t="n"/>
      <c r="O34" s="8" t="n"/>
      <c r="P34" s="9">
        <f>P32-P33</f>
        <v/>
      </c>
      <c r="Q34" s="9">
        <f>Q32-Q33</f>
        <v/>
      </c>
      <c r="R34" s="8" t="n"/>
      <c r="S34" s="8" t="n"/>
      <c r="T34" s="8" t="n"/>
      <c r="U34" s="8" t="n"/>
      <c r="V34" s="8" t="n"/>
      <c r="W34" s="8" t="n"/>
      <c r="X34" s="8" t="n"/>
      <c r="Y34" s="8" t="n"/>
      <c r="Z34" s="8" t="n"/>
      <c r="AA34" s="8" t="n"/>
      <c r="AB34" s="8" t="n"/>
      <c r="AC34" s="8" t="n"/>
      <c r="AD34" s="8" t="n"/>
      <c r="AE34" s="8" t="n"/>
      <c r="AF34" s="8" t="n"/>
      <c r="AG34" s="8" t="n"/>
      <c r="AH34" s="8" t="n"/>
      <c r="AI34" s="8" t="n"/>
      <c r="AJ34" s="8" t="n"/>
      <c r="AK34" s="8" t="n"/>
    </row>
    <row r="35"/>
    <row r="36">
      <c r="A36" s="6" t="n"/>
      <c r="B36" s="6" t="n"/>
      <c r="C36" s="6" t="n"/>
      <c r="D36" s="6" t="n"/>
      <c r="E36" s="6" t="n"/>
      <c r="F36" s="6" t="n"/>
      <c r="G36" s="6" t="n"/>
      <c r="H36" s="6" t="n"/>
      <c r="I36" s="6" t="n"/>
      <c r="J36" s="6" t="inlineStr">
        <is>
          <t>TOTAL INTERNAL FREIGHT</t>
        </is>
      </c>
      <c r="K36" s="6" t="n"/>
      <c r="L36" s="6" t="n"/>
      <c r="M36" s="6" t="n"/>
      <c r="N36" s="6" t="n"/>
      <c r="O36" s="6" t="n"/>
      <c r="P36" s="7" t="n">
        <v>0</v>
      </c>
      <c r="Q36" s="7" t="n"/>
      <c r="R36" s="6" t="n"/>
      <c r="S36" s="6" t="n"/>
      <c r="T36" s="6" t="n"/>
      <c r="U36" s="6" t="n"/>
      <c r="V36" s="6" t="n"/>
      <c r="W36" s="6" t="n"/>
      <c r="X36" s="6" t="n"/>
      <c r="Y36" s="6" t="n"/>
      <c r="Z36" s="6" t="n"/>
      <c r="AA36" s="6" t="n"/>
      <c r="AB36" s="6" t="n"/>
      <c r="AC36" s="6" t="n"/>
      <c r="AD36" s="6" t="n"/>
      <c r="AE36" s="6" t="n"/>
      <c r="AF36" s="6" t="n"/>
      <c r="AG36" s="6" t="n"/>
      <c r="AH36" s="6" t="n"/>
      <c r="AI36" s="6" t="n"/>
      <c r="AJ36" s="6" t="n"/>
      <c r="AK36" s="6" t="n"/>
    </row>
    <row r="37">
      <c r="A37" s="6" t="n"/>
      <c r="B37" s="6" t="n"/>
      <c r="C37" s="6" t="n"/>
      <c r="D37" s="6" t="n"/>
      <c r="E37" s="6" t="n"/>
      <c r="F37" s="6" t="n"/>
      <c r="G37" s="6" t="n"/>
      <c r="H37" s="6" t="n"/>
      <c r="I37" s="6" t="n"/>
      <c r="J37" s="6" t="inlineStr">
        <is>
          <t>TOTAL INSURANCE</t>
        </is>
      </c>
      <c r="K37" s="6" t="n"/>
      <c r="L37" s="6" t="n"/>
      <c r="M37" s="6" t="n"/>
      <c r="N37" s="6" t="n"/>
      <c r="O37" s="6" t="n"/>
      <c r="P37" s="7" t="n">
        <v>0</v>
      </c>
      <c r="Q37" s="7" t="n"/>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TOTAL OTHER COST</t>
        </is>
      </c>
      <c r="K38" s="6" t="n"/>
      <c r="L38" s="6" t="n"/>
      <c r="M38" s="6" t="n"/>
      <c r="N38" s="6" t="n"/>
      <c r="O38" s="6" t="n"/>
      <c r="P38" s="7" t="n">
        <v>0</v>
      </c>
      <c r="Q38" s="7" t="n"/>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c r="A39" s="6" t="n"/>
      <c r="B39" s="6" t="n"/>
      <c r="C39" s="6" t="n"/>
      <c r="D39" s="6" t="n"/>
      <c r="E39" s="6" t="n"/>
      <c r="F39" s="6" t="n"/>
      <c r="G39" s="6" t="n"/>
      <c r="H39" s="6" t="n"/>
      <c r="I39" s="6" t="n"/>
      <c r="J39" s="6" t="inlineStr">
        <is>
          <t>TOTAL DEDUCTION</t>
        </is>
      </c>
      <c r="K39" s="6" t="n"/>
      <c r="L39" s="6" t="n"/>
      <c r="M39" s="6" t="n"/>
      <c r="N39" s="6" t="n"/>
      <c r="O39" s="6" t="n"/>
      <c r="P39" s="7" t="n">
        <v>0</v>
      </c>
      <c r="Q39" s="7" t="n"/>
      <c r="R39" s="6" t="n"/>
      <c r="S39" s="6" t="n"/>
      <c r="T39" s="6" t="n"/>
      <c r="U39" s="6" t="n"/>
      <c r="V39" s="6" t="n"/>
      <c r="W39" s="6" t="n"/>
      <c r="X39" s="6" t="n"/>
      <c r="Y39" s="6" t="n"/>
      <c r="Z39" s="6" t="n"/>
      <c r="AA39" s="6" t="n"/>
      <c r="AB39" s="6" t="n"/>
      <c r="AC39" s="6" t="n"/>
      <c r="AD39" s="6" t="n"/>
      <c r="AE39" s="6" t="n"/>
      <c r="AF39" s="6" t="n"/>
      <c r="AG39" s="6" t="n"/>
      <c r="AH39" s="6" t="n"/>
      <c r="AI39" s="6" t="n"/>
      <c r="AJ39" s="6" t="n"/>
      <c r="AK39" s="6" t="n"/>
    </row>
    <row r="40">
      <c r="A40" s="6" t="n"/>
      <c r="B40" s="6" t="n"/>
      <c r="C40" s="6" t="n"/>
      <c r="D40" s="6" t="n"/>
      <c r="E40" s="6" t="n"/>
      <c r="F40" s="6" t="n"/>
      <c r="G40" s="6" t="n"/>
      <c r="H40" s="6" t="n"/>
      <c r="I40" s="6" t="n"/>
      <c r="J40" s="6" t="inlineStr">
        <is>
          <t>ADJUSTMENTS</t>
        </is>
      </c>
      <c r="K40" s="6" t="n"/>
      <c r="L40" s="6" t="n"/>
      <c r="M40" s="6" t="n"/>
      <c r="N40" s="6" t="n"/>
      <c r="O40" s="6" t="n"/>
      <c r="P40" s="7">
        <f>(T30+U30+V30-W30)</f>
        <v/>
      </c>
      <c r="Q40" s="7">
        <f>(T30+U30+V30-W30)</f>
        <v/>
      </c>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row r="42">
      <c r="A42" s="6" t="n"/>
      <c r="B42" s="6" t="n"/>
      <c r="C42" s="6" t="n"/>
      <c r="D42" s="6" t="n"/>
      <c r="E42" s="6" t="n"/>
      <c r="F42" s="6" t="n"/>
      <c r="G42" s="6" t="n"/>
      <c r="H42" s="6" t="n"/>
      <c r="I42" s="6" t="n"/>
      <c r="J42" s="6" t="inlineStr">
        <is>
          <t>NET TOTAL</t>
        </is>
      </c>
      <c r="K42" s="6" t="n"/>
      <c r="L42" s="6" t="n"/>
      <c r="M42" s="6" t="n"/>
      <c r="N42" s="6" t="n"/>
      <c r="O42" s="6" t="n"/>
      <c r="P42" s="7">
        <f>P32+P40</f>
        <v/>
      </c>
      <c r="Q42" s="7">
        <f>Q32+Q40</f>
        <v/>
      </c>
      <c r="R42" s="6" t="n"/>
      <c r="S42" s="6" t="n"/>
      <c r="T42" s="6" t="n"/>
      <c r="U42" s="6" t="n"/>
      <c r="V42" s="6" t="n"/>
      <c r="W42" s="6" t="n"/>
      <c r="X42" s="6" t="n"/>
      <c r="Y42" s="6" t="n"/>
      <c r="Z42" s="6" t="n"/>
      <c r="AA42" s="6" t="n"/>
      <c r="AB42" s="6" t="n"/>
      <c r="AC42" s="6" t="n"/>
      <c r="AD42" s="6" t="n"/>
      <c r="AE42" s="6" t="n"/>
      <c r="AF42" s="6" t="n"/>
      <c r="AG42" s="6" t="n"/>
      <c r="AH42" s="6" t="n"/>
      <c r="AI42" s="6" t="n"/>
      <c r="AJ42" s="6" t="n"/>
      <c r="AK42" s="6" t="n"/>
    </row>
    <row r="43">
      <c r="A43" s="6" t="n"/>
      <c r="B43" s="6" t="n"/>
      <c r="C43" s="6" t="n"/>
      <c r="D43" s="6" t="n"/>
      <c r="E43" s="6" t="n"/>
      <c r="F43" s="6" t="n"/>
      <c r="G43" s="6" t="n"/>
      <c r="H43" s="6" t="n"/>
      <c r="I43" s="6" t="n"/>
      <c r="J43" s="6" t="inlineStr">
        <is>
          <t>INVOICE TOTAL</t>
        </is>
      </c>
      <c r="K43" s="6" t="n"/>
      <c r="L43" s="6" t="n"/>
      <c r="M43" s="6" t="n"/>
      <c r="N43" s="6" t="n"/>
      <c r="O43" s="6" t="n"/>
      <c r="P43" s="7">
        <f>S30</f>
        <v/>
      </c>
      <c r="Q43" s="7" t="n"/>
      <c r="R43" s="6" t="n"/>
      <c r="S43" s="6" t="n"/>
      <c r="T43" s="6" t="n"/>
      <c r="U43" s="6" t="n"/>
      <c r="V43" s="6" t="n"/>
      <c r="W43" s="6" t="n"/>
      <c r="X43" s="6" t="n"/>
      <c r="Y43" s="6" t="n"/>
      <c r="Z43" s="6" t="n"/>
      <c r="AA43" s="6" t="n"/>
      <c r="AB43" s="6" t="n"/>
      <c r="AC43" s="6" t="n"/>
      <c r="AD43" s="6" t="n"/>
      <c r="AE43" s="6" t="n"/>
      <c r="AF43" s="6" t="n"/>
      <c r="AG43" s="6" t="n"/>
      <c r="AH43" s="6" t="n"/>
      <c r="AI43" s="6" t="n"/>
      <c r="AJ43" s="6" t="n"/>
      <c r="AK43" s="6" t="n"/>
    </row>
    <row r="44"/>
    <row r="45">
      <c r="A45" s="10" t="n"/>
      <c r="B45" s="10" t="n"/>
      <c r="C45" s="10" t="n"/>
      <c r="D45" s="10" t="n"/>
      <c r="E45" s="10" t="n"/>
      <c r="F45" s="10" t="n"/>
      <c r="G45" s="10" t="n"/>
      <c r="H45" s="10" t="n"/>
      <c r="I45" s="10" t="n"/>
      <c r="J45" s="10" t="inlineStr">
        <is>
          <t>VARIANCE CHECK</t>
        </is>
      </c>
      <c r="K45" s="10" t="n"/>
      <c r="L45" s="10" t="n"/>
      <c r="M45" s="10" t="n"/>
      <c r="N45" s="10" t="n"/>
      <c r="O45" s="10" t="n"/>
      <c r="P45" s="11">
        <f>S30-P42</f>
        <v/>
      </c>
      <c r="Q45" s="11">
        <f>S30-Q42</f>
        <v/>
      </c>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row>
    <row r="46"/>
    <row r="47">
      <c r="A47" s="12" t="n"/>
      <c r="B47" s="12" t="n"/>
      <c r="C47" s="12" t="n"/>
      <c r="D47" s="12" t="n"/>
      <c r="E47" s="12" t="n"/>
      <c r="F47" s="12" t="n"/>
      <c r="G47" s="12" t="n"/>
      <c r="H47" s="12" t="n"/>
      <c r="I47" s="12" t="n"/>
      <c r="J47" s="13" t="inlineStr">
        <is>
          <t>INVOICE NOTES: Invoice total uncertain</t>
        </is>
      </c>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row>
    <row r="48"/>
    <row r="49">
      <c r="A49" s="14" t="n"/>
      <c r="B49" s="14" t="n"/>
      <c r="C49" s="14" t="n"/>
      <c r="D49" s="14" t="n"/>
      <c r="E49" s="14" t="n"/>
      <c r="F49" s="14" t="n"/>
      <c r="G49" s="14" t="n"/>
      <c r="H49" s="14" t="n"/>
      <c r="I49" s="14" t="n"/>
      <c r="J49" s="14" t="inlineStr">
        <is>
          <t>DUTY ESTIMATION (Classification Cross-Check)</t>
        </is>
      </c>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row>
    <row r="50">
      <c r="A50" s="15" t="n"/>
      <c r="B50" s="15" t="n"/>
      <c r="C50" s="15" t="n"/>
      <c r="D50" s="15" t="n"/>
      <c r="E50" s="15" t="n"/>
      <c r="F50" s="15" t="n"/>
      <c r="G50" s="15" t="n"/>
      <c r="H50" s="15" t="n"/>
      <c r="I50" s="15" t="n"/>
      <c r="J50" s="16" t="inlineStr">
        <is>
          <t>CIF (USD) = InvTotal + Freight + Insurance</t>
        </is>
      </c>
      <c r="K50" s="15" t="n"/>
      <c r="L50" s="15" t="n"/>
      <c r="M50" s="15" t="n"/>
      <c r="N50" s="15" t="n"/>
      <c r="O50" s="15" t="n"/>
      <c r="P50" s="17" t="n">
        <v>15.48</v>
      </c>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row>
    <row r="51">
      <c r="A51" s="15" t="n"/>
      <c r="B51" s="15" t="n"/>
      <c r="C51" s="15" t="n"/>
      <c r="D51" s="15" t="n"/>
      <c r="E51" s="15" t="n"/>
      <c r="F51" s="15" t="n"/>
      <c r="G51" s="15" t="n"/>
      <c r="H51" s="15" t="n"/>
      <c r="I51" s="15" t="n"/>
      <c r="J51" s="16" t="inlineStr">
        <is>
          <t>CIF (XCD) = CIF × 2.7169</t>
        </is>
      </c>
      <c r="K51" s="15" t="n"/>
      <c r="L51" s="15" t="n"/>
      <c r="M51" s="15" t="n"/>
      <c r="N51" s="15" t="n"/>
      <c r="O51" s="15" t="n"/>
      <c r="P51" s="17" t="n">
        <v>42.06</v>
      </c>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row>
    <row r="52">
      <c r="A52" s="15" t="n"/>
      <c r="B52" s="15" t="n"/>
      <c r="C52" s="15" t="n"/>
      <c r="D52" s="15" t="n"/>
      <c r="E52" s="15" t="n"/>
      <c r="F52" s="15" t="n"/>
      <c r="G52" s="15" t="n"/>
      <c r="H52" s="15" t="n"/>
      <c r="I52" s="15" t="n"/>
      <c r="J52" s="16" t="inlineStr">
        <is>
          <t>CET (20%) — Tariff 61046200</t>
        </is>
      </c>
      <c r="K52" s="15" t="n"/>
      <c r="L52" s="15" t="n"/>
      <c r="M52" s="15" t="n"/>
      <c r="N52" s="15" t="n"/>
      <c r="O52" s="15" t="n"/>
      <c r="P52" s="17" t="n">
        <v>8.41</v>
      </c>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row>
    <row r="53">
      <c r="A53" s="15" t="n"/>
      <c r="B53" s="15" t="n"/>
      <c r="C53" s="15" t="n"/>
      <c r="D53" s="15" t="n"/>
      <c r="E53" s="15" t="n"/>
      <c r="F53" s="15" t="n"/>
      <c r="G53" s="15" t="n"/>
      <c r="H53" s="15" t="n"/>
      <c r="I53" s="15" t="n"/>
      <c r="J53" s="16" t="inlineStr">
        <is>
          <t>CSC (6%)</t>
        </is>
      </c>
      <c r="K53" s="15" t="n"/>
      <c r="L53" s="15" t="n"/>
      <c r="M53" s="15" t="n"/>
      <c r="N53" s="15" t="n"/>
      <c r="O53" s="15" t="n"/>
      <c r="P53" s="17" t="n">
        <v>2.52</v>
      </c>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row>
    <row r="54">
      <c r="A54" s="15" t="n"/>
      <c r="B54" s="15" t="n"/>
      <c r="C54" s="15" t="n"/>
      <c r="D54" s="15" t="n"/>
      <c r="E54" s="15" t="n"/>
      <c r="F54" s="15" t="n"/>
      <c r="G54" s="15" t="n"/>
      <c r="H54" s="15" t="n"/>
      <c r="I54" s="15" t="n"/>
      <c r="J54" s="16" t="inlineStr">
        <is>
          <t>VAT (15%) on CIF+CET+CSC</t>
        </is>
      </c>
      <c r="K54" s="15" t="n"/>
      <c r="L54" s="15" t="n"/>
      <c r="M54" s="15" t="n"/>
      <c r="N54" s="15" t="n"/>
      <c r="O54" s="15" t="n"/>
      <c r="P54" s="17" t="n">
        <v>7.95</v>
      </c>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row>
    <row r="55">
      <c r="A55" s="18" t="n"/>
      <c r="B55" s="18" t="n"/>
      <c r="C55" s="18" t="n"/>
      <c r="D55" s="18" t="n"/>
      <c r="E55" s="18" t="n"/>
      <c r="F55" s="18" t="n"/>
      <c r="G55" s="18" t="n"/>
      <c r="H55" s="18" t="n"/>
      <c r="I55" s="18" t="n"/>
      <c r="J55" s="14" t="inlineStr">
        <is>
          <t>ESTIMATED TOTAL DUTIES</t>
        </is>
      </c>
      <c r="K55" s="18" t="n"/>
      <c r="L55" s="18" t="n"/>
      <c r="M55" s="18" t="n"/>
      <c r="N55" s="18" t="n"/>
      <c r="O55" s="18" t="n"/>
      <c r="P55" s="19" t="n">
        <v>18.88</v>
      </c>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row>
    <row r="56">
      <c r="A56" s="15" t="n"/>
      <c r="B56" s="15" t="n"/>
      <c r="C56" s="15" t="n"/>
      <c r="D56" s="15" t="n"/>
      <c r="E56" s="15" t="n"/>
      <c r="F56" s="15" t="n"/>
      <c r="G56" s="15" t="n"/>
      <c r="H56" s="15" t="n"/>
      <c r="I56" s="15" t="n"/>
      <c r="J56" s="16" t="inlineStr">
        <is>
          <t>Effective Duty Rate</t>
        </is>
      </c>
      <c r="K56" s="15" t="n"/>
      <c r="L56" s="15" t="n"/>
      <c r="M56" s="15" t="n"/>
      <c r="N56" s="15" t="n"/>
      <c r="O56" s="15" t="n"/>
      <c r="P56" s="20" t="n">
        <v>0.4488825487398954</v>
      </c>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c r="AA57" s="21" t="n"/>
      <c r="AB57" s="21" t="n"/>
      <c r="AC57" s="21" t="n"/>
      <c r="AD57" s="21" t="n"/>
      <c r="AE57" s="21" t="n"/>
      <c r="AF57" s="21" t="n"/>
      <c r="AG57" s="21" t="n"/>
      <c r="AH57" s="21" t="n"/>
      <c r="AI57" s="21" t="n"/>
      <c r="AJ57" s="21" t="n"/>
      <c r="AK57" s="21" t="n"/>
    </row>
    <row r="58">
      <c r="A58" s="2" t="inlineStr">
        <is>
          <t>4000-000</t>
        </is>
      </c>
      <c r="B58" s="2" t="n"/>
      <c r="C58" s="2" t="inlineStr">
        <is>
          <t>GSUNJY57BOONGXE_Invoice_3</t>
        </is>
      </c>
      <c r="D58" s="2" t="n"/>
      <c r="E58" s="2" t="inlineStr">
        <is>
          <t>BAGS &amp; LUGGAGE</t>
        </is>
      </c>
      <c r="F58" s="2" t="inlineStr">
        <is>
          <t>42029200</t>
        </is>
      </c>
      <c r="G58" s="2" t="n"/>
      <c r="H58" s="2" t="n"/>
      <c r="I58" s="2" t="inlineStr">
        <is>
          <t>42029200</t>
        </is>
      </c>
      <c r="J58" s="2" t="inlineStr">
        <is>
          <t>Trendy Warm Winter Upper Handle Handbag With Shoulder Strap For Shopping Featuring Pink Cow Patterns And Cherry Elements In Corduroy Fabric School Bag Large Capacity Portable For Teen Girls Women College (+1 more) (2 items)</t>
        </is>
      </c>
      <c r="K58" s="2" t="n">
        <v>2</v>
      </c>
      <c r="L58" s="2" t="n"/>
      <c r="M58" s="2" t="n"/>
      <c r="N58" s="2" t="inlineStr">
        <is>
          <t>USD</t>
        </is>
      </c>
      <c r="O58" s="3" t="n">
        <v>4.555</v>
      </c>
      <c r="P58" s="3" t="n">
        <v>9.109999999999999</v>
      </c>
      <c r="Q58" s="3">
        <f>O58*K58</f>
        <v/>
      </c>
      <c r="R58" s="3">
        <f>P58-Q58</f>
        <v/>
      </c>
      <c r="S58" s="3" t="n">
        <v>9.109999999999999</v>
      </c>
      <c r="T58" s="3" t="n">
        <v>0</v>
      </c>
      <c r="U58" s="3" t="n">
        <v>0</v>
      </c>
      <c r="V58" s="3" t="n">
        <v>0</v>
      </c>
      <c r="W58" s="3" t="n">
        <v>0</v>
      </c>
      <c r="X58" s="2" t="n"/>
      <c r="Y58" s="2" t="n"/>
      <c r="Z58" s="2" t="inlineStr">
        <is>
          <t>SHEIN</t>
        </is>
      </c>
      <c r="AA58" s="2" t="inlineStr">
        <is>
          <t>SHEIN US Services, LLC</t>
        </is>
      </c>
      <c r="AB58" s="2" t="inlineStr">
        <is>
          <t>777 S. Alameda St., Second Floor, Los Angeles, CA 90021</t>
        </is>
      </c>
      <c r="AC58" s="2" t="inlineStr">
        <is>
          <t>US</t>
        </is>
      </c>
      <c r="AD58" s="2" t="n"/>
      <c r="AE58" s="2" t="n"/>
      <c r="AF58" s="2" t="n"/>
      <c r="AG58" s="2" t="n"/>
      <c r="AH58" s="2" t="n"/>
      <c r="AI58" s="2" t="n"/>
      <c r="AJ58" s="2" t="n"/>
      <c r="AK58" s="2" t="inlineStr">
        <is>
          <t>42029200</t>
        </is>
      </c>
    </row>
    <row r="59">
      <c r="A59" s="4" t="n"/>
      <c r="B59" s="4" t="n"/>
      <c r="C59" s="4" t="n"/>
      <c r="D59" s="4" t="n"/>
      <c r="E59" s="4" t="n"/>
      <c r="F59" s="4" t="inlineStr">
        <is>
          <t>42029200</t>
        </is>
      </c>
      <c r="G59" s="4" t="n"/>
      <c r="H59" s="4" t="n"/>
      <c r="I59" s="4" t="inlineStr">
        <is>
          <t>SHEIN-1</t>
        </is>
      </c>
      <c r="J59" s="4" t="inlineStr">
        <is>
          <t>Trendy Warm Winter Upper Handle Handbag With Shoulder Strap For Shopping Featuring Pink Cow Patterns And Cherry Elements In Corduroy Fabric School Bag Large Capacity Portable For Teen Girls Women College</t>
        </is>
      </c>
      <c r="K59" s="4" t="n">
        <v>1</v>
      </c>
      <c r="L59" s="4" t="n"/>
      <c r="M59" s="4" t="n"/>
      <c r="N59" s="4" t="inlineStr">
        <is>
          <t>USD</t>
        </is>
      </c>
      <c r="O59" s="5" t="n">
        <v>4.55</v>
      </c>
      <c r="P59" s="5" t="n">
        <v>4.55</v>
      </c>
      <c r="Q59" s="5">
        <f>O59*K59</f>
        <v/>
      </c>
      <c r="R59" s="5">
        <f>P59-Q59</f>
        <v/>
      </c>
      <c r="S59" s="4" t="n"/>
      <c r="T59" s="4" t="n"/>
      <c r="U59" s="4" t="n"/>
      <c r="V59" s="4" t="n"/>
      <c r="W59" s="4" t="n"/>
      <c r="X59" s="4" t="n"/>
      <c r="Y59" s="4" t="n"/>
      <c r="Z59" s="4" t="n"/>
      <c r="AA59" s="4" t="n"/>
      <c r="AB59" s="4" t="n"/>
      <c r="AC59" s="4" t="n"/>
      <c r="AD59" s="4" t="n"/>
      <c r="AE59" s="4" t="n"/>
      <c r="AF59" s="4" t="n"/>
      <c r="AG59" s="4" t="n"/>
      <c r="AH59" s="4" t="n"/>
      <c r="AI59" s="4" t="n"/>
      <c r="AJ59" s="4" t="n"/>
      <c r="AK59" s="4" t="n"/>
    </row>
    <row r="60">
      <c r="A60" s="4" t="n"/>
      <c r="B60" s="4" t="n"/>
      <c r="C60" s="4" t="n"/>
      <c r="D60" s="4" t="n"/>
      <c r="E60" s="4" t="n"/>
      <c r="F60" s="4" t="inlineStr">
        <is>
          <t>42029200</t>
        </is>
      </c>
      <c r="G60" s="4" t="n"/>
      <c r="H60" s="4" t="n"/>
      <c r="I60" s="4" t="inlineStr">
        <is>
          <t>SHEIN-2</t>
        </is>
      </c>
      <c r="J60" s="4" t="inlineStr">
        <is>
          <t>Students White Collar Workers Perfect For Work Back To School Middle School High School College Vacation Trendy Warm Winter Upper Handle Handbag With Shoulder Strap For Shopping Featuring Pink Cow Patterns And Cherry Elements In Corduroy Fabric School Bag Large Capacity Portable For Teen Girls Women College</t>
        </is>
      </c>
      <c r="K60" s="4" t="n">
        <v>1</v>
      </c>
      <c r="L60" s="4" t="n"/>
      <c r="M60" s="4" t="n"/>
      <c r="N60" s="4" t="inlineStr">
        <is>
          <t>USD</t>
        </is>
      </c>
      <c r="O60" s="5" t="n">
        <v>4.56</v>
      </c>
      <c r="P60" s="5" t="n">
        <v>4.56</v>
      </c>
      <c r="Q60" s="5">
        <f>O60*K60</f>
        <v/>
      </c>
      <c r="R60" s="5">
        <f>P60-Q60</f>
        <v/>
      </c>
      <c r="S60" s="4" t="n"/>
      <c r="T60" s="4" t="n"/>
      <c r="U60" s="4" t="n"/>
      <c r="V60" s="4" t="n"/>
      <c r="W60" s="4" t="n"/>
      <c r="X60" s="4" t="n"/>
      <c r="Y60" s="4" t="n"/>
      <c r="Z60" s="4" t="n"/>
      <c r="AA60" s="4" t="n"/>
      <c r="AB60" s="4" t="n"/>
      <c r="AC60" s="4" t="n"/>
      <c r="AD60" s="4" t="n"/>
      <c r="AE60" s="4" t="n"/>
      <c r="AF60" s="4" t="n"/>
      <c r="AG60" s="4" t="n"/>
      <c r="AH60" s="4" t="n"/>
      <c r="AI60" s="4" t="n"/>
      <c r="AJ60" s="4" t="n"/>
      <c r="AK60" s="4" t="n"/>
    </row>
    <row r="61">
      <c r="A61" s="6" t="n"/>
      <c r="B61" s="6" t="n"/>
      <c r="C61" s="6" t="n"/>
      <c r="D61" s="6" t="n"/>
      <c r="E61" s="6" t="n"/>
      <c r="F61" s="6" t="n"/>
      <c r="G61" s="6" t="n"/>
      <c r="H61" s="6" t="n"/>
      <c r="I61" s="6" t="n"/>
      <c r="J61" s="6" t="inlineStr">
        <is>
          <t>SUBTOTAL (GROUPED)</t>
        </is>
      </c>
      <c r="K61" s="6" t="n"/>
      <c r="L61" s="6" t="n"/>
      <c r="M61" s="6" t="n"/>
      <c r="N61" s="6" t="n"/>
      <c r="O61" s="6" t="n"/>
      <c r="P61" s="7">
        <f>P58</f>
        <v/>
      </c>
      <c r="Q61" s="7">
        <f>Q58</f>
        <v/>
      </c>
      <c r="R61" s="6" t="n"/>
      <c r="S61" s="6" t="n"/>
      <c r="T61" s="6" t="n"/>
      <c r="U61" s="6" t="n"/>
      <c r="V61" s="6" t="n"/>
      <c r="W61" s="6" t="n"/>
      <c r="X61" s="6" t="n"/>
      <c r="Y61" s="6" t="n"/>
      <c r="Z61" s="6" t="n"/>
      <c r="AA61" s="6" t="n"/>
      <c r="AB61" s="6" t="n"/>
      <c r="AC61" s="6" t="n"/>
      <c r="AD61" s="6" t="n"/>
      <c r="AE61" s="6" t="n"/>
      <c r="AF61" s="6" t="n"/>
      <c r="AG61" s="6" t="n"/>
      <c r="AH61" s="6" t="n"/>
      <c r="AI61" s="6" t="n"/>
      <c r="AJ61" s="6" t="n"/>
      <c r="AK61" s="6" t="n"/>
    </row>
    <row r="62">
      <c r="A62" s="6" t="n"/>
      <c r="B62" s="6" t="n"/>
      <c r="C62" s="6" t="n"/>
      <c r="D62" s="6" t="n"/>
      <c r="E62" s="6" t="n"/>
      <c r="F62" s="6" t="n"/>
      <c r="G62" s="6" t="n"/>
      <c r="H62" s="6" t="n"/>
      <c r="I62" s="6" t="n"/>
      <c r="J62" s="6" t="inlineStr">
        <is>
          <t>SUBTOTAL (DETAILS)</t>
        </is>
      </c>
      <c r="K62" s="6" t="n"/>
      <c r="L62" s="6" t="n"/>
      <c r="M62" s="6" t="n"/>
      <c r="N62" s="6" t="n"/>
      <c r="O62" s="6" t="n"/>
      <c r="P62" s="7">
        <f>SUM(P58:P60)-P61</f>
        <v/>
      </c>
      <c r="Q62" s="7">
        <f>SUM(Q58:Q60)-Q61</f>
        <v/>
      </c>
      <c r="R62" s="6" t="n"/>
      <c r="S62" s="6" t="n"/>
      <c r="T62" s="6" t="n"/>
      <c r="U62" s="6" t="n"/>
      <c r="V62" s="6" t="n"/>
      <c r="W62" s="6" t="n"/>
      <c r="X62" s="6" t="n"/>
      <c r="Y62" s="6" t="n"/>
      <c r="Z62" s="6" t="n"/>
      <c r="AA62" s="6" t="n"/>
      <c r="AB62" s="6" t="n"/>
      <c r="AC62" s="6" t="n"/>
      <c r="AD62" s="6" t="n"/>
      <c r="AE62" s="6" t="n"/>
      <c r="AF62" s="6" t="n"/>
      <c r="AG62" s="6" t="n"/>
      <c r="AH62" s="6" t="n"/>
      <c r="AI62" s="6" t="n"/>
      <c r="AJ62" s="6" t="n"/>
      <c r="AK62" s="6" t="n"/>
    </row>
    <row r="63">
      <c r="A63" s="8" t="n"/>
      <c r="B63" s="8" t="n"/>
      <c r="C63" s="8" t="n"/>
      <c r="D63" s="8" t="n"/>
      <c r="E63" s="8" t="n"/>
      <c r="F63" s="8" t="n"/>
      <c r="G63" s="8" t="n"/>
      <c r="H63" s="8" t="n"/>
      <c r="I63" s="8" t="n"/>
      <c r="J63" s="8" t="inlineStr">
        <is>
          <t>GROUP VERIFICATION</t>
        </is>
      </c>
      <c r="K63" s="8" t="n"/>
      <c r="L63" s="8" t="n"/>
      <c r="M63" s="8" t="n"/>
      <c r="N63" s="8" t="n"/>
      <c r="O63" s="8" t="n"/>
      <c r="P63" s="9">
        <f>P61-P62</f>
        <v/>
      </c>
      <c r="Q63" s="9">
        <f>Q61-Q62</f>
        <v/>
      </c>
      <c r="R63" s="8" t="n"/>
      <c r="S63" s="8" t="n"/>
      <c r="T63" s="8" t="n"/>
      <c r="U63" s="8" t="n"/>
      <c r="V63" s="8" t="n"/>
      <c r="W63" s="8" t="n"/>
      <c r="X63" s="8" t="n"/>
      <c r="Y63" s="8" t="n"/>
      <c r="Z63" s="8" t="n"/>
      <c r="AA63" s="8" t="n"/>
      <c r="AB63" s="8" t="n"/>
      <c r="AC63" s="8" t="n"/>
      <c r="AD63" s="8" t="n"/>
      <c r="AE63" s="8" t="n"/>
      <c r="AF63" s="8" t="n"/>
      <c r="AG63" s="8" t="n"/>
      <c r="AH63" s="8" t="n"/>
      <c r="AI63" s="8" t="n"/>
      <c r="AJ63" s="8" t="n"/>
      <c r="AK63" s="8" t="n"/>
    </row>
    <row r="64"/>
    <row r="65">
      <c r="A65" s="6" t="n"/>
      <c r="B65" s="6" t="n"/>
      <c r="C65" s="6" t="n"/>
      <c r="D65" s="6" t="n"/>
      <c r="E65" s="6" t="n"/>
      <c r="F65" s="6" t="n"/>
      <c r="G65" s="6" t="n"/>
      <c r="H65" s="6" t="n"/>
      <c r="I65" s="6" t="n"/>
      <c r="J65" s="6" t="inlineStr">
        <is>
          <t>TOTAL INTERNAL FREIGHT</t>
        </is>
      </c>
      <c r="K65" s="6" t="n"/>
      <c r="L65" s="6" t="n"/>
      <c r="M65" s="6" t="n"/>
      <c r="N65" s="6" t="n"/>
      <c r="O65" s="6" t="n"/>
      <c r="P65" s="7" t="n">
        <v>0</v>
      </c>
      <c r="Q65" s="7" t="n"/>
      <c r="R65" s="6" t="n"/>
      <c r="S65" s="6" t="n"/>
      <c r="T65" s="6" t="n"/>
      <c r="U65" s="6" t="n"/>
      <c r="V65" s="6" t="n"/>
      <c r="W65" s="6" t="n"/>
      <c r="X65" s="6" t="n"/>
      <c r="Y65" s="6" t="n"/>
      <c r="Z65" s="6" t="n"/>
      <c r="AA65" s="6" t="n"/>
      <c r="AB65" s="6" t="n"/>
      <c r="AC65" s="6" t="n"/>
      <c r="AD65" s="6" t="n"/>
      <c r="AE65" s="6" t="n"/>
      <c r="AF65" s="6" t="n"/>
      <c r="AG65" s="6" t="n"/>
      <c r="AH65" s="6" t="n"/>
      <c r="AI65" s="6" t="n"/>
      <c r="AJ65" s="6" t="n"/>
      <c r="AK65" s="6" t="n"/>
    </row>
    <row r="66">
      <c r="A66" s="6" t="n"/>
      <c r="B66" s="6" t="n"/>
      <c r="C66" s="6" t="n"/>
      <c r="D66" s="6" t="n"/>
      <c r="E66" s="6" t="n"/>
      <c r="F66" s="6" t="n"/>
      <c r="G66" s="6" t="n"/>
      <c r="H66" s="6" t="n"/>
      <c r="I66" s="6" t="n"/>
      <c r="J66" s="6" t="inlineStr">
        <is>
          <t>TOTAL INSURANCE</t>
        </is>
      </c>
      <c r="K66" s="6" t="n"/>
      <c r="L66" s="6" t="n"/>
      <c r="M66" s="6" t="n"/>
      <c r="N66" s="6" t="n"/>
      <c r="O66" s="6" t="n"/>
      <c r="P66" s="7" t="n">
        <v>0</v>
      </c>
      <c r="Q66" s="7" t="n"/>
      <c r="R66" s="6" t="n"/>
      <c r="S66" s="6" t="n"/>
      <c r="T66" s="6" t="n"/>
      <c r="U66" s="6" t="n"/>
      <c r="V66" s="6" t="n"/>
      <c r="W66" s="6" t="n"/>
      <c r="X66" s="6" t="n"/>
      <c r="Y66" s="6" t="n"/>
      <c r="Z66" s="6" t="n"/>
      <c r="AA66" s="6" t="n"/>
      <c r="AB66" s="6" t="n"/>
      <c r="AC66" s="6" t="n"/>
      <c r="AD66" s="6" t="n"/>
      <c r="AE66" s="6" t="n"/>
      <c r="AF66" s="6" t="n"/>
      <c r="AG66" s="6" t="n"/>
      <c r="AH66" s="6" t="n"/>
      <c r="AI66" s="6" t="n"/>
      <c r="AJ66" s="6" t="n"/>
      <c r="AK66" s="6" t="n"/>
    </row>
    <row r="67">
      <c r="A67" s="6" t="n"/>
      <c r="B67" s="6" t="n"/>
      <c r="C67" s="6" t="n"/>
      <c r="D67" s="6" t="n"/>
      <c r="E67" s="6" t="n"/>
      <c r="F67" s="6" t="n"/>
      <c r="G67" s="6" t="n"/>
      <c r="H67" s="6" t="n"/>
      <c r="I67" s="6" t="n"/>
      <c r="J67" s="6" t="inlineStr">
        <is>
          <t>TOTAL OTHER COST</t>
        </is>
      </c>
      <c r="K67" s="6" t="n"/>
      <c r="L67" s="6" t="n"/>
      <c r="M67" s="6" t="n"/>
      <c r="N67" s="6" t="n"/>
      <c r="O67" s="6" t="n"/>
      <c r="P67" s="7" t="n">
        <v>0</v>
      </c>
      <c r="Q67" s="7" t="n"/>
      <c r="R67" s="6" t="n"/>
      <c r="S67" s="6" t="n"/>
      <c r="T67" s="6" t="n"/>
      <c r="U67" s="6" t="n"/>
      <c r="V67" s="6" t="n"/>
      <c r="W67" s="6" t="n"/>
      <c r="X67" s="6" t="n"/>
      <c r="Y67" s="6" t="n"/>
      <c r="Z67" s="6" t="n"/>
      <c r="AA67" s="6" t="n"/>
      <c r="AB67" s="6" t="n"/>
      <c r="AC67" s="6" t="n"/>
      <c r="AD67" s="6" t="n"/>
      <c r="AE67" s="6" t="n"/>
      <c r="AF67" s="6" t="n"/>
      <c r="AG67" s="6" t="n"/>
      <c r="AH67" s="6" t="n"/>
      <c r="AI67" s="6" t="n"/>
      <c r="AJ67" s="6" t="n"/>
      <c r="AK67" s="6" t="n"/>
    </row>
    <row r="68">
      <c r="A68" s="6" t="n"/>
      <c r="B68" s="6" t="n"/>
      <c r="C68" s="6" t="n"/>
      <c r="D68" s="6" t="n"/>
      <c r="E68" s="6" t="n"/>
      <c r="F68" s="6" t="n"/>
      <c r="G68" s="6" t="n"/>
      <c r="H68" s="6" t="n"/>
      <c r="I68" s="6" t="n"/>
      <c r="J68" s="6" t="inlineStr">
        <is>
          <t>TOTAL DEDUCTION</t>
        </is>
      </c>
      <c r="K68" s="6" t="n"/>
      <c r="L68" s="6" t="n"/>
      <c r="M68" s="6" t="n"/>
      <c r="N68" s="6" t="n"/>
      <c r="O68" s="6" t="n"/>
      <c r="P68" s="7" t="n">
        <v>0</v>
      </c>
      <c r="Q68" s="7" t="n"/>
      <c r="R68" s="6" t="n"/>
      <c r="S68" s="6" t="n"/>
      <c r="T68" s="6" t="n"/>
      <c r="U68" s="6" t="n"/>
      <c r="V68" s="6" t="n"/>
      <c r="W68" s="6" t="n"/>
      <c r="X68" s="6" t="n"/>
      <c r="Y68" s="6" t="n"/>
      <c r="Z68" s="6" t="n"/>
      <c r="AA68" s="6" t="n"/>
      <c r="AB68" s="6" t="n"/>
      <c r="AC68" s="6" t="n"/>
      <c r="AD68" s="6" t="n"/>
      <c r="AE68" s="6" t="n"/>
      <c r="AF68" s="6" t="n"/>
      <c r="AG68" s="6" t="n"/>
      <c r="AH68" s="6" t="n"/>
      <c r="AI68" s="6" t="n"/>
      <c r="AJ68" s="6" t="n"/>
      <c r="AK68" s="6" t="n"/>
    </row>
    <row r="69">
      <c r="A69" s="6" t="n"/>
      <c r="B69" s="6" t="n"/>
      <c r="C69" s="6" t="n"/>
      <c r="D69" s="6" t="n"/>
      <c r="E69" s="6" t="n"/>
      <c r="F69" s="6" t="n"/>
      <c r="G69" s="6" t="n"/>
      <c r="H69" s="6" t="n"/>
      <c r="I69" s="6" t="n"/>
      <c r="J69" s="6" t="inlineStr">
        <is>
          <t>ADJUSTMENTS</t>
        </is>
      </c>
      <c r="K69" s="6" t="n"/>
      <c r="L69" s="6" t="n"/>
      <c r="M69" s="6" t="n"/>
      <c r="N69" s="6" t="n"/>
      <c r="O69" s="6" t="n"/>
      <c r="P69" s="7">
        <f>(T58+U58+V58-W58)</f>
        <v/>
      </c>
      <c r="Q69" s="7">
        <f>(T58+U58+V58-W58)</f>
        <v/>
      </c>
      <c r="R69" s="6" t="n"/>
      <c r="S69" s="6" t="n"/>
      <c r="T69" s="6" t="n"/>
      <c r="U69" s="6" t="n"/>
      <c r="V69" s="6" t="n"/>
      <c r="W69" s="6" t="n"/>
      <c r="X69" s="6" t="n"/>
      <c r="Y69" s="6" t="n"/>
      <c r="Z69" s="6" t="n"/>
      <c r="AA69" s="6" t="n"/>
      <c r="AB69" s="6" t="n"/>
      <c r="AC69" s="6" t="n"/>
      <c r="AD69" s="6" t="n"/>
      <c r="AE69" s="6" t="n"/>
      <c r="AF69" s="6" t="n"/>
      <c r="AG69" s="6" t="n"/>
      <c r="AH69" s="6" t="n"/>
      <c r="AI69" s="6" t="n"/>
      <c r="AJ69" s="6" t="n"/>
      <c r="AK69" s="6" t="n"/>
    </row>
    <row r="70"/>
    <row r="71">
      <c r="A71" s="6" t="n"/>
      <c r="B71" s="6" t="n"/>
      <c r="C71" s="6" t="n"/>
      <c r="D71" s="6" t="n"/>
      <c r="E71" s="6" t="n"/>
      <c r="F71" s="6" t="n"/>
      <c r="G71" s="6" t="n"/>
      <c r="H71" s="6" t="n"/>
      <c r="I71" s="6" t="n"/>
      <c r="J71" s="6" t="inlineStr">
        <is>
          <t>NET TOTAL</t>
        </is>
      </c>
      <c r="K71" s="6" t="n"/>
      <c r="L71" s="6" t="n"/>
      <c r="M71" s="6" t="n"/>
      <c r="N71" s="6" t="n"/>
      <c r="O71" s="6" t="n"/>
      <c r="P71" s="7">
        <f>P61+P69</f>
        <v/>
      </c>
      <c r="Q71" s="7">
        <f>Q61+Q69</f>
        <v/>
      </c>
      <c r="R71" s="6" t="n"/>
      <c r="S71" s="6" t="n"/>
      <c r="T71" s="6" t="n"/>
      <c r="U71" s="6" t="n"/>
      <c r="V71" s="6" t="n"/>
      <c r="W71" s="6" t="n"/>
      <c r="X71" s="6" t="n"/>
      <c r="Y71" s="6" t="n"/>
      <c r="Z71" s="6" t="n"/>
      <c r="AA71" s="6" t="n"/>
      <c r="AB71" s="6" t="n"/>
      <c r="AC71" s="6" t="n"/>
      <c r="AD71" s="6" t="n"/>
      <c r="AE71" s="6" t="n"/>
      <c r="AF71" s="6" t="n"/>
      <c r="AG71" s="6" t="n"/>
      <c r="AH71" s="6" t="n"/>
      <c r="AI71" s="6" t="n"/>
      <c r="AJ71" s="6" t="n"/>
      <c r="AK71" s="6" t="n"/>
    </row>
    <row r="72">
      <c r="A72" s="6" t="n"/>
      <c r="B72" s="6" t="n"/>
      <c r="C72" s="6" t="n"/>
      <c r="D72" s="6" t="n"/>
      <c r="E72" s="6" t="n"/>
      <c r="F72" s="6" t="n"/>
      <c r="G72" s="6" t="n"/>
      <c r="H72" s="6" t="n"/>
      <c r="I72" s="6" t="n"/>
      <c r="J72" s="6" t="inlineStr">
        <is>
          <t>INVOICE TOTAL</t>
        </is>
      </c>
      <c r="K72" s="6" t="n"/>
      <c r="L72" s="6" t="n"/>
      <c r="M72" s="6" t="n"/>
      <c r="N72" s="6" t="n"/>
      <c r="O72" s="6" t="n"/>
      <c r="P72" s="7">
        <f>S58</f>
        <v/>
      </c>
      <c r="Q72" s="7" t="n"/>
      <c r="R72" s="6" t="n"/>
      <c r="S72" s="6" t="n"/>
      <c r="T72" s="6" t="n"/>
      <c r="U72" s="6" t="n"/>
      <c r="V72" s="6" t="n"/>
      <c r="W72" s="6" t="n"/>
      <c r="X72" s="6" t="n"/>
      <c r="Y72" s="6" t="n"/>
      <c r="Z72" s="6" t="n"/>
      <c r="AA72" s="6" t="n"/>
      <c r="AB72" s="6" t="n"/>
      <c r="AC72" s="6" t="n"/>
      <c r="AD72" s="6" t="n"/>
      <c r="AE72" s="6" t="n"/>
      <c r="AF72" s="6" t="n"/>
      <c r="AG72" s="6" t="n"/>
      <c r="AH72" s="6" t="n"/>
      <c r="AI72" s="6" t="n"/>
      <c r="AJ72" s="6" t="n"/>
      <c r="AK72" s="6" t="n"/>
    </row>
    <row r="73"/>
    <row r="74">
      <c r="A74" s="10" t="n"/>
      <c r="B74" s="10" t="n"/>
      <c r="C74" s="10" t="n"/>
      <c r="D74" s="10" t="n"/>
      <c r="E74" s="10" t="n"/>
      <c r="F74" s="10" t="n"/>
      <c r="G74" s="10" t="n"/>
      <c r="H74" s="10" t="n"/>
      <c r="I74" s="10" t="n"/>
      <c r="J74" s="10" t="inlineStr">
        <is>
          <t>VARIANCE CHECK</t>
        </is>
      </c>
      <c r="K74" s="10" t="n"/>
      <c r="L74" s="10" t="n"/>
      <c r="M74" s="10" t="n"/>
      <c r="N74" s="10" t="n"/>
      <c r="O74" s="10" t="n"/>
      <c r="P74" s="11">
        <f>S58-P71</f>
        <v/>
      </c>
      <c r="Q74" s="11">
        <f>S58-Q71</f>
        <v/>
      </c>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row>
    <row r="75"/>
    <row r="76">
      <c r="A76" s="12" t="n"/>
      <c r="B76" s="12" t="n"/>
      <c r="C76" s="12" t="n"/>
      <c r="D76" s="12" t="n"/>
      <c r="E76" s="12" t="n"/>
      <c r="F76" s="12" t="n"/>
      <c r="G76" s="12" t="n"/>
      <c r="H76" s="12" t="n"/>
      <c r="I76" s="12" t="n"/>
      <c r="J76" s="13" t="inlineStr">
        <is>
          <t>INVOICE NOTES: Invoice total uncertain</t>
        </is>
      </c>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row>
    <row r="77"/>
    <row r="78">
      <c r="A78" s="14" t="n"/>
      <c r="B78" s="14" t="n"/>
      <c r="C78" s="14" t="n"/>
      <c r="D78" s="14" t="n"/>
      <c r="E78" s="14" t="n"/>
      <c r="F78" s="14" t="n"/>
      <c r="G78" s="14" t="n"/>
      <c r="H78" s="14" t="n"/>
      <c r="I78" s="14" t="n"/>
      <c r="J78" s="14" t="inlineStr">
        <is>
          <t>DUTY ESTIMATION (Classification Cross-Check)</t>
        </is>
      </c>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row>
    <row r="79">
      <c r="A79" s="15" t="n"/>
      <c r="B79" s="15" t="n"/>
      <c r="C79" s="15" t="n"/>
      <c r="D79" s="15" t="n"/>
      <c r="E79" s="15" t="n"/>
      <c r="F79" s="15" t="n"/>
      <c r="G79" s="15" t="n"/>
      <c r="H79" s="15" t="n"/>
      <c r="I79" s="15" t="n"/>
      <c r="J79" s="16" t="inlineStr">
        <is>
          <t>CIF (USD) = InvTotal + Freight + Insurance</t>
        </is>
      </c>
      <c r="K79" s="15" t="n"/>
      <c r="L79" s="15" t="n"/>
      <c r="M79" s="15" t="n"/>
      <c r="N79" s="15" t="n"/>
      <c r="O79" s="15" t="n"/>
      <c r="P79" s="17" t="n">
        <v>9.109999999999999</v>
      </c>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row>
    <row r="80">
      <c r="A80" s="15" t="n"/>
      <c r="B80" s="15" t="n"/>
      <c r="C80" s="15" t="n"/>
      <c r="D80" s="15" t="n"/>
      <c r="E80" s="15" t="n"/>
      <c r="F80" s="15" t="n"/>
      <c r="G80" s="15" t="n"/>
      <c r="H80" s="15" t="n"/>
      <c r="I80" s="15" t="n"/>
      <c r="J80" s="16" t="inlineStr">
        <is>
          <t>CIF (XCD) = CIF × 2.7169</t>
        </is>
      </c>
      <c r="K80" s="15" t="n"/>
      <c r="L80" s="15" t="n"/>
      <c r="M80" s="15" t="n"/>
      <c r="N80" s="15" t="n"/>
      <c r="O80" s="15" t="n"/>
      <c r="P80" s="17" t="n">
        <v>24.75</v>
      </c>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row>
    <row r="81">
      <c r="A81" s="15" t="n"/>
      <c r="B81" s="15" t="n"/>
      <c r="C81" s="15" t="n"/>
      <c r="D81" s="15" t="n"/>
      <c r="E81" s="15" t="n"/>
      <c r="F81" s="15" t="n"/>
      <c r="G81" s="15" t="n"/>
      <c r="H81" s="15" t="n"/>
      <c r="I81" s="15" t="n"/>
      <c r="J81" s="16" t="inlineStr">
        <is>
          <t>CET (20%) — Tariff 42029200</t>
        </is>
      </c>
      <c r="K81" s="15" t="n"/>
      <c r="L81" s="15" t="n"/>
      <c r="M81" s="15" t="n"/>
      <c r="N81" s="15" t="n"/>
      <c r="O81" s="15" t="n"/>
      <c r="P81" s="17" t="n">
        <v>4.95</v>
      </c>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row>
    <row r="82">
      <c r="A82" s="15" t="n"/>
      <c r="B82" s="15" t="n"/>
      <c r="C82" s="15" t="n"/>
      <c r="D82" s="15" t="n"/>
      <c r="E82" s="15" t="n"/>
      <c r="F82" s="15" t="n"/>
      <c r="G82" s="15" t="n"/>
      <c r="H82" s="15" t="n"/>
      <c r="I82" s="15" t="n"/>
      <c r="J82" s="16" t="inlineStr">
        <is>
          <t>CSC (6%)</t>
        </is>
      </c>
      <c r="K82" s="15" t="n"/>
      <c r="L82" s="15" t="n"/>
      <c r="M82" s="15" t="n"/>
      <c r="N82" s="15" t="n"/>
      <c r="O82" s="15" t="n"/>
      <c r="P82" s="17" t="n">
        <v>1.48</v>
      </c>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row>
    <row r="83">
      <c r="A83" s="15" t="n"/>
      <c r="B83" s="15" t="n"/>
      <c r="C83" s="15" t="n"/>
      <c r="D83" s="15" t="n"/>
      <c r="E83" s="15" t="n"/>
      <c r="F83" s="15" t="n"/>
      <c r="G83" s="15" t="n"/>
      <c r="H83" s="15" t="n"/>
      <c r="I83" s="15" t="n"/>
      <c r="J83" s="16" t="inlineStr">
        <is>
          <t>VAT (15%) on CIF+CET+CSC</t>
        </is>
      </c>
      <c r="K83" s="15" t="n"/>
      <c r="L83" s="15" t="n"/>
      <c r="M83" s="15" t="n"/>
      <c r="N83" s="15" t="n"/>
      <c r="O83" s="15" t="n"/>
      <c r="P83" s="17" t="n">
        <v>4.68</v>
      </c>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row>
    <row r="84">
      <c r="A84" s="18" t="n"/>
      <c r="B84" s="18" t="n"/>
      <c r="C84" s="18" t="n"/>
      <c r="D84" s="18" t="n"/>
      <c r="E84" s="18" t="n"/>
      <c r="F84" s="18" t="n"/>
      <c r="G84" s="18" t="n"/>
      <c r="H84" s="18" t="n"/>
      <c r="I84" s="18" t="n"/>
      <c r="J84" s="14" t="inlineStr">
        <is>
          <t>ESTIMATED TOTAL DUTIES</t>
        </is>
      </c>
      <c r="K84" s="18" t="n"/>
      <c r="L84" s="18" t="n"/>
      <c r="M84" s="18" t="n"/>
      <c r="N84" s="18" t="n"/>
      <c r="O84" s="18" t="n"/>
      <c r="P84" s="19" t="n">
        <v>11.11</v>
      </c>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row>
    <row r="85">
      <c r="A85" s="15" t="n"/>
      <c r="B85" s="15" t="n"/>
      <c r="C85" s="15" t="n"/>
      <c r="D85" s="15" t="n"/>
      <c r="E85" s="15" t="n"/>
      <c r="F85" s="15" t="n"/>
      <c r="G85" s="15" t="n"/>
      <c r="H85" s="15" t="n"/>
      <c r="I85" s="15" t="n"/>
      <c r="J85" s="16" t="inlineStr">
        <is>
          <t>Effective Duty Rate</t>
        </is>
      </c>
      <c r="K85" s="15" t="n"/>
      <c r="L85" s="15" t="n"/>
      <c r="M85" s="15" t="n"/>
      <c r="N85" s="15" t="n"/>
      <c r="O85" s="15" t="n"/>
      <c r="P85" s="20" t="n">
        <v>0.4488888888888889</v>
      </c>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c r="AA86" s="21" t="n"/>
      <c r="AB86" s="21" t="n"/>
      <c r="AC86" s="21" t="n"/>
      <c r="AD86" s="21" t="n"/>
      <c r="AE86" s="21" t="n"/>
      <c r="AF86" s="21" t="n"/>
      <c r="AG86" s="21" t="n"/>
      <c r="AH86" s="21" t="n"/>
      <c r="AI86" s="21" t="n"/>
      <c r="AJ86" s="21" t="n"/>
      <c r="AK86" s="21" t="n"/>
    </row>
    <row r="87">
      <c r="A87" s="2" t="inlineStr">
        <is>
          <t>4000-000</t>
        </is>
      </c>
      <c r="B87" s="2" t="n"/>
      <c r="C87" s="2" t="inlineStr">
        <is>
          <t>GSUNJY57BOONGXE_Invoice_4</t>
        </is>
      </c>
      <c r="D87" s="2" t="n"/>
      <c r="E87" s="2" t="inlineStr">
        <is>
          <t>CORDAGE</t>
        </is>
      </c>
      <c r="F87" s="2" t="inlineStr">
        <is>
          <t>56074910</t>
        </is>
      </c>
      <c r="G87" s="2" t="n"/>
      <c r="H87" s="2" t="n"/>
      <c r="I87" s="2" t="inlineStr">
        <is>
          <t>56074910</t>
        </is>
      </c>
      <c r="J87" s="2" t="inlineStr">
        <is>
          <t>Irregular Petals Candy Colored Bubble Glasses With Hollow Concave Shape European And American Popular Floral Fashion 2 Catwalk Street Shot Sunglasses (1 items)</t>
        </is>
      </c>
      <c r="K87" s="2" t="n">
        <v>1</v>
      </c>
      <c r="L87" s="2" t="n"/>
      <c r="M87" s="2" t="n"/>
      <c r="N87" s="2" t="inlineStr">
        <is>
          <t>USD</t>
        </is>
      </c>
      <c r="O87" s="3" t="n">
        <v>1.94</v>
      </c>
      <c r="P87" s="3" t="n">
        <v>1.94</v>
      </c>
      <c r="Q87" s="3">
        <f>O87*K87</f>
        <v/>
      </c>
      <c r="R87" s="3">
        <f>P87-Q87</f>
        <v/>
      </c>
      <c r="S87" s="3" t="n">
        <v>1.94</v>
      </c>
      <c r="T87" s="3" t="n">
        <v>0</v>
      </c>
      <c r="U87" s="3" t="n">
        <v>0</v>
      </c>
      <c r="V87" s="3" t="n">
        <v>0</v>
      </c>
      <c r="W87" s="3" t="n">
        <v>0</v>
      </c>
      <c r="X87" s="2" t="n"/>
      <c r="Y87" s="2" t="n"/>
      <c r="Z87" s="2" t="inlineStr">
        <is>
          <t>SHEIN</t>
        </is>
      </c>
      <c r="AA87" s="2" t="inlineStr">
        <is>
          <t>SHEIN US Services, LLC</t>
        </is>
      </c>
      <c r="AB87" s="2" t="inlineStr">
        <is>
          <t>777 S. Alameda St., Second Floor, Los Angeles, CA 90021</t>
        </is>
      </c>
      <c r="AC87" s="2" t="inlineStr">
        <is>
          <t>US</t>
        </is>
      </c>
      <c r="AD87" s="2" t="n"/>
      <c r="AE87" s="2" t="n"/>
      <c r="AF87" s="2" t="n"/>
      <c r="AG87" s="2" t="n"/>
      <c r="AH87" s="2" t="n"/>
      <c r="AI87" s="2" t="n"/>
      <c r="AJ87" s="2" t="n"/>
      <c r="AK87" s="2" t="inlineStr">
        <is>
          <t>56074910</t>
        </is>
      </c>
    </row>
    <row r="88">
      <c r="A88" s="4" t="n"/>
      <c r="B88" s="4" t="n"/>
      <c r="C88" s="4" t="n"/>
      <c r="D88" s="4" t="n"/>
      <c r="E88" s="4" t="n"/>
      <c r="F88" s="4" t="inlineStr">
        <is>
          <t>56074910</t>
        </is>
      </c>
      <c r="G88" s="4" t="n"/>
      <c r="H88" s="4" t="n"/>
      <c r="I88" s="4" t="inlineStr">
        <is>
          <t>SHEIN-1</t>
        </is>
      </c>
      <c r="J88" s="4" t="inlineStr">
        <is>
          <t>Irregular Petals Candy Colored Bubble Glasses With Hollow Concave Shape European And American Popular Floral Fashion 2 Catwalk Street Shot Sunglasses</t>
        </is>
      </c>
      <c r="K88" s="4" t="n">
        <v>1</v>
      </c>
      <c r="L88" s="4" t="n"/>
      <c r="M88" s="4" t="n"/>
      <c r="N88" s="4" t="inlineStr">
        <is>
          <t>USD</t>
        </is>
      </c>
      <c r="O88" s="5" t="n">
        <v>1.94</v>
      </c>
      <c r="P88" s="5" t="n">
        <v>1.94</v>
      </c>
      <c r="Q88" s="5">
        <f>O88*K88</f>
        <v/>
      </c>
      <c r="R88" s="5">
        <f>P88-Q88</f>
        <v/>
      </c>
      <c r="S88" s="4" t="n"/>
      <c r="T88" s="4" t="n"/>
      <c r="U88" s="4" t="n"/>
      <c r="V88" s="4" t="n"/>
      <c r="W88" s="4" t="n"/>
      <c r="X88" s="4" t="n"/>
      <c r="Y88" s="4" t="n"/>
      <c r="Z88" s="4" t="n"/>
      <c r="AA88" s="4" t="n"/>
      <c r="AB88" s="4" t="n"/>
      <c r="AC88" s="4" t="n"/>
      <c r="AD88" s="4" t="n"/>
      <c r="AE88" s="4" t="n"/>
      <c r="AF88" s="4" t="n"/>
      <c r="AG88" s="4" t="n"/>
      <c r="AH88" s="4" t="n"/>
      <c r="AI88" s="4" t="n"/>
      <c r="AJ88" s="4" t="n"/>
      <c r="AK88" s="4" t="n"/>
    </row>
    <row r="89">
      <c r="A89" s="6" t="n"/>
      <c r="B89" s="6" t="n"/>
      <c r="C89" s="6" t="n"/>
      <c r="D89" s="6" t="n"/>
      <c r="E89" s="6" t="n"/>
      <c r="F89" s="6" t="n"/>
      <c r="G89" s="6" t="n"/>
      <c r="H89" s="6" t="n"/>
      <c r="I89" s="6" t="n"/>
      <c r="J89" s="6" t="inlineStr">
        <is>
          <t>SUBTOTAL (GROUPED)</t>
        </is>
      </c>
      <c r="K89" s="6" t="n"/>
      <c r="L89" s="6" t="n"/>
      <c r="M89" s="6" t="n"/>
      <c r="N89" s="6" t="n"/>
      <c r="O89" s="6" t="n"/>
      <c r="P89" s="7">
        <f>P87</f>
        <v/>
      </c>
      <c r="Q89" s="7">
        <f>Q87</f>
        <v/>
      </c>
      <c r="R89" s="6" t="n"/>
      <c r="S89" s="6" t="n"/>
      <c r="T89" s="6" t="n"/>
      <c r="U89" s="6" t="n"/>
      <c r="V89" s="6" t="n"/>
      <c r="W89" s="6" t="n"/>
      <c r="X89" s="6" t="n"/>
      <c r="Y89" s="6" t="n"/>
      <c r="Z89" s="6" t="n"/>
      <c r="AA89" s="6" t="n"/>
      <c r="AB89" s="6" t="n"/>
      <c r="AC89" s="6" t="n"/>
      <c r="AD89" s="6" t="n"/>
      <c r="AE89" s="6" t="n"/>
      <c r="AF89" s="6" t="n"/>
      <c r="AG89" s="6" t="n"/>
      <c r="AH89" s="6" t="n"/>
      <c r="AI89" s="6" t="n"/>
      <c r="AJ89" s="6" t="n"/>
      <c r="AK89" s="6" t="n"/>
    </row>
    <row r="90">
      <c r="A90" s="6" t="n"/>
      <c r="B90" s="6" t="n"/>
      <c r="C90" s="6" t="n"/>
      <c r="D90" s="6" t="n"/>
      <c r="E90" s="6" t="n"/>
      <c r="F90" s="6" t="n"/>
      <c r="G90" s="6" t="n"/>
      <c r="H90" s="6" t="n"/>
      <c r="I90" s="6" t="n"/>
      <c r="J90" s="6" t="inlineStr">
        <is>
          <t>SUBTOTAL (DETAILS)</t>
        </is>
      </c>
      <c r="K90" s="6" t="n"/>
      <c r="L90" s="6" t="n"/>
      <c r="M90" s="6" t="n"/>
      <c r="N90" s="6" t="n"/>
      <c r="O90" s="6" t="n"/>
      <c r="P90" s="7">
        <f>SUM(P87:P88)-P89</f>
        <v/>
      </c>
      <c r="Q90" s="7">
        <f>SUM(Q87:Q88)-Q89</f>
        <v/>
      </c>
      <c r="R90" s="6" t="n"/>
      <c r="S90" s="6" t="n"/>
      <c r="T90" s="6" t="n"/>
      <c r="U90" s="6" t="n"/>
      <c r="V90" s="6" t="n"/>
      <c r="W90" s="6" t="n"/>
      <c r="X90" s="6" t="n"/>
      <c r="Y90" s="6" t="n"/>
      <c r="Z90" s="6" t="n"/>
      <c r="AA90" s="6" t="n"/>
      <c r="AB90" s="6" t="n"/>
      <c r="AC90" s="6" t="n"/>
      <c r="AD90" s="6" t="n"/>
      <c r="AE90" s="6" t="n"/>
      <c r="AF90" s="6" t="n"/>
      <c r="AG90" s="6" t="n"/>
      <c r="AH90" s="6" t="n"/>
      <c r="AI90" s="6" t="n"/>
      <c r="AJ90" s="6" t="n"/>
      <c r="AK90" s="6" t="n"/>
    </row>
    <row r="91">
      <c r="A91" s="8" t="n"/>
      <c r="B91" s="8" t="n"/>
      <c r="C91" s="8" t="n"/>
      <c r="D91" s="8" t="n"/>
      <c r="E91" s="8" t="n"/>
      <c r="F91" s="8" t="n"/>
      <c r="G91" s="8" t="n"/>
      <c r="H91" s="8" t="n"/>
      <c r="I91" s="8" t="n"/>
      <c r="J91" s="8" t="inlineStr">
        <is>
          <t>GROUP VERIFICATION</t>
        </is>
      </c>
      <c r="K91" s="8" t="n"/>
      <c r="L91" s="8" t="n"/>
      <c r="M91" s="8" t="n"/>
      <c r="N91" s="8" t="n"/>
      <c r="O91" s="8" t="n"/>
      <c r="P91" s="9">
        <f>P89-P90</f>
        <v/>
      </c>
      <c r="Q91" s="9">
        <f>Q89-Q90</f>
        <v/>
      </c>
      <c r="R91" s="8" t="n"/>
      <c r="S91" s="8" t="n"/>
      <c r="T91" s="8" t="n"/>
      <c r="U91" s="8" t="n"/>
      <c r="V91" s="8" t="n"/>
      <c r="W91" s="8" t="n"/>
      <c r="X91" s="8" t="n"/>
      <c r="Y91" s="8" t="n"/>
      <c r="Z91" s="8" t="n"/>
      <c r="AA91" s="8" t="n"/>
      <c r="AB91" s="8" t="n"/>
      <c r="AC91" s="8" t="n"/>
      <c r="AD91" s="8" t="n"/>
      <c r="AE91" s="8" t="n"/>
      <c r="AF91" s="8" t="n"/>
      <c r="AG91" s="8" t="n"/>
      <c r="AH91" s="8" t="n"/>
      <c r="AI91" s="8" t="n"/>
      <c r="AJ91" s="8" t="n"/>
      <c r="AK91" s="8" t="n"/>
    </row>
    <row r="92"/>
    <row r="93">
      <c r="A93" s="6" t="n"/>
      <c r="B93" s="6" t="n"/>
      <c r="C93" s="6" t="n"/>
      <c r="D93" s="6" t="n"/>
      <c r="E93" s="6" t="n"/>
      <c r="F93" s="6" t="n"/>
      <c r="G93" s="6" t="n"/>
      <c r="H93" s="6" t="n"/>
      <c r="I93" s="6" t="n"/>
      <c r="J93" s="6" t="inlineStr">
        <is>
          <t>TOTAL INTERNAL FREIGHT</t>
        </is>
      </c>
      <c r="K93" s="6" t="n"/>
      <c r="L93" s="6" t="n"/>
      <c r="M93" s="6" t="n"/>
      <c r="N93" s="6" t="n"/>
      <c r="O93" s="6" t="n"/>
      <c r="P93" s="7" t="n">
        <v>0</v>
      </c>
      <c r="Q93" s="7" t="n"/>
      <c r="R93" s="6" t="n"/>
      <c r="S93" s="6" t="n"/>
      <c r="T93" s="6" t="n"/>
      <c r="U93" s="6" t="n"/>
      <c r="V93" s="6" t="n"/>
      <c r="W93" s="6" t="n"/>
      <c r="X93" s="6" t="n"/>
      <c r="Y93" s="6" t="n"/>
      <c r="Z93" s="6" t="n"/>
      <c r="AA93" s="6" t="n"/>
      <c r="AB93" s="6" t="n"/>
      <c r="AC93" s="6" t="n"/>
      <c r="AD93" s="6" t="n"/>
      <c r="AE93" s="6" t="n"/>
      <c r="AF93" s="6" t="n"/>
      <c r="AG93" s="6" t="n"/>
      <c r="AH93" s="6" t="n"/>
      <c r="AI93" s="6" t="n"/>
      <c r="AJ93" s="6" t="n"/>
      <c r="AK93" s="6" t="n"/>
    </row>
    <row r="94">
      <c r="A94" s="6" t="n"/>
      <c r="B94" s="6" t="n"/>
      <c r="C94" s="6" t="n"/>
      <c r="D94" s="6" t="n"/>
      <c r="E94" s="6" t="n"/>
      <c r="F94" s="6" t="n"/>
      <c r="G94" s="6" t="n"/>
      <c r="H94" s="6" t="n"/>
      <c r="I94" s="6" t="n"/>
      <c r="J94" s="6" t="inlineStr">
        <is>
          <t>TOTAL INSURANCE</t>
        </is>
      </c>
      <c r="K94" s="6" t="n"/>
      <c r="L94" s="6" t="n"/>
      <c r="M94" s="6" t="n"/>
      <c r="N94" s="6" t="n"/>
      <c r="O94" s="6" t="n"/>
      <c r="P94" s="7" t="n">
        <v>0</v>
      </c>
      <c r="Q94" s="7" t="n"/>
      <c r="R94" s="6" t="n"/>
      <c r="S94" s="6" t="n"/>
      <c r="T94" s="6" t="n"/>
      <c r="U94" s="6" t="n"/>
      <c r="V94" s="6" t="n"/>
      <c r="W94" s="6" t="n"/>
      <c r="X94" s="6" t="n"/>
      <c r="Y94" s="6" t="n"/>
      <c r="Z94" s="6" t="n"/>
      <c r="AA94" s="6" t="n"/>
      <c r="AB94" s="6" t="n"/>
      <c r="AC94" s="6" t="n"/>
      <c r="AD94" s="6" t="n"/>
      <c r="AE94" s="6" t="n"/>
      <c r="AF94" s="6" t="n"/>
      <c r="AG94" s="6" t="n"/>
      <c r="AH94" s="6" t="n"/>
      <c r="AI94" s="6" t="n"/>
      <c r="AJ94" s="6" t="n"/>
      <c r="AK94" s="6" t="n"/>
    </row>
    <row r="95">
      <c r="A95" s="6" t="n"/>
      <c r="B95" s="6" t="n"/>
      <c r="C95" s="6" t="n"/>
      <c r="D95" s="6" t="n"/>
      <c r="E95" s="6" t="n"/>
      <c r="F95" s="6" t="n"/>
      <c r="G95" s="6" t="n"/>
      <c r="H95" s="6" t="n"/>
      <c r="I95" s="6" t="n"/>
      <c r="J95" s="6" t="inlineStr">
        <is>
          <t>TOTAL OTHER COST</t>
        </is>
      </c>
      <c r="K95" s="6" t="n"/>
      <c r="L95" s="6" t="n"/>
      <c r="M95" s="6" t="n"/>
      <c r="N95" s="6" t="n"/>
      <c r="O95" s="6" t="n"/>
      <c r="P95" s="7" t="n">
        <v>0</v>
      </c>
      <c r="Q95" s="7" t="n"/>
      <c r="R95" s="6" t="n"/>
      <c r="S95" s="6" t="n"/>
      <c r="T95" s="6" t="n"/>
      <c r="U95" s="6" t="n"/>
      <c r="V95" s="6" t="n"/>
      <c r="W95" s="6" t="n"/>
      <c r="X95" s="6" t="n"/>
      <c r="Y95" s="6" t="n"/>
      <c r="Z95" s="6" t="n"/>
      <c r="AA95" s="6" t="n"/>
      <c r="AB95" s="6" t="n"/>
      <c r="AC95" s="6" t="n"/>
      <c r="AD95" s="6" t="n"/>
      <c r="AE95" s="6" t="n"/>
      <c r="AF95" s="6" t="n"/>
      <c r="AG95" s="6" t="n"/>
      <c r="AH95" s="6" t="n"/>
      <c r="AI95" s="6" t="n"/>
      <c r="AJ95" s="6" t="n"/>
      <c r="AK95" s="6" t="n"/>
    </row>
    <row r="96">
      <c r="A96" s="6" t="n"/>
      <c r="B96" s="6" t="n"/>
      <c r="C96" s="6" t="n"/>
      <c r="D96" s="6" t="n"/>
      <c r="E96" s="6" t="n"/>
      <c r="F96" s="6" t="n"/>
      <c r="G96" s="6" t="n"/>
      <c r="H96" s="6" t="n"/>
      <c r="I96" s="6" t="n"/>
      <c r="J96" s="6" t="inlineStr">
        <is>
          <t>TOTAL DEDUCTION</t>
        </is>
      </c>
      <c r="K96" s="6" t="n"/>
      <c r="L96" s="6" t="n"/>
      <c r="M96" s="6" t="n"/>
      <c r="N96" s="6" t="n"/>
      <c r="O96" s="6" t="n"/>
      <c r="P96" s="7" t="n">
        <v>0</v>
      </c>
      <c r="Q96" s="7" t="n"/>
      <c r="R96" s="6" t="n"/>
      <c r="S96" s="6" t="n"/>
      <c r="T96" s="6" t="n"/>
      <c r="U96" s="6" t="n"/>
      <c r="V96" s="6" t="n"/>
      <c r="W96" s="6" t="n"/>
      <c r="X96" s="6" t="n"/>
      <c r="Y96" s="6" t="n"/>
      <c r="Z96" s="6" t="n"/>
      <c r="AA96" s="6" t="n"/>
      <c r="AB96" s="6" t="n"/>
      <c r="AC96" s="6" t="n"/>
      <c r="AD96" s="6" t="n"/>
      <c r="AE96" s="6" t="n"/>
      <c r="AF96" s="6" t="n"/>
      <c r="AG96" s="6" t="n"/>
      <c r="AH96" s="6" t="n"/>
      <c r="AI96" s="6" t="n"/>
      <c r="AJ96" s="6" t="n"/>
      <c r="AK96" s="6" t="n"/>
    </row>
    <row r="97">
      <c r="A97" s="6" t="n"/>
      <c r="B97" s="6" t="n"/>
      <c r="C97" s="6" t="n"/>
      <c r="D97" s="6" t="n"/>
      <c r="E97" s="6" t="n"/>
      <c r="F97" s="6" t="n"/>
      <c r="G97" s="6" t="n"/>
      <c r="H97" s="6" t="n"/>
      <c r="I97" s="6" t="n"/>
      <c r="J97" s="6" t="inlineStr">
        <is>
          <t>ADJUSTMENTS</t>
        </is>
      </c>
      <c r="K97" s="6" t="n"/>
      <c r="L97" s="6" t="n"/>
      <c r="M97" s="6" t="n"/>
      <c r="N97" s="6" t="n"/>
      <c r="O97" s="6" t="n"/>
      <c r="P97" s="7">
        <f>(T87+U87+V87-W87)</f>
        <v/>
      </c>
      <c r="Q97" s="7">
        <f>(T87+U87+V87-W87)</f>
        <v/>
      </c>
      <c r="R97" s="6" t="n"/>
      <c r="S97" s="6" t="n"/>
      <c r="T97" s="6" t="n"/>
      <c r="U97" s="6" t="n"/>
      <c r="V97" s="6" t="n"/>
      <c r="W97" s="6" t="n"/>
      <c r="X97" s="6" t="n"/>
      <c r="Y97" s="6" t="n"/>
      <c r="Z97" s="6" t="n"/>
      <c r="AA97" s="6" t="n"/>
      <c r="AB97" s="6" t="n"/>
      <c r="AC97" s="6" t="n"/>
      <c r="AD97" s="6" t="n"/>
      <c r="AE97" s="6" t="n"/>
      <c r="AF97" s="6" t="n"/>
      <c r="AG97" s="6" t="n"/>
      <c r="AH97" s="6" t="n"/>
      <c r="AI97" s="6" t="n"/>
      <c r="AJ97" s="6" t="n"/>
      <c r="AK97" s="6" t="n"/>
    </row>
    <row r="98"/>
    <row r="99">
      <c r="A99" s="6" t="n"/>
      <c r="B99" s="6" t="n"/>
      <c r="C99" s="6" t="n"/>
      <c r="D99" s="6" t="n"/>
      <c r="E99" s="6" t="n"/>
      <c r="F99" s="6" t="n"/>
      <c r="G99" s="6" t="n"/>
      <c r="H99" s="6" t="n"/>
      <c r="I99" s="6" t="n"/>
      <c r="J99" s="6" t="inlineStr">
        <is>
          <t>NET TOTAL</t>
        </is>
      </c>
      <c r="K99" s="6" t="n"/>
      <c r="L99" s="6" t="n"/>
      <c r="M99" s="6" t="n"/>
      <c r="N99" s="6" t="n"/>
      <c r="O99" s="6" t="n"/>
      <c r="P99" s="7">
        <f>P89+P97</f>
        <v/>
      </c>
      <c r="Q99" s="7">
        <f>Q89+Q97</f>
        <v/>
      </c>
      <c r="R99" s="6" t="n"/>
      <c r="S99" s="6" t="n"/>
      <c r="T99" s="6" t="n"/>
      <c r="U99" s="6" t="n"/>
      <c r="V99" s="6" t="n"/>
      <c r="W99" s="6" t="n"/>
      <c r="X99" s="6" t="n"/>
      <c r="Y99" s="6" t="n"/>
      <c r="Z99" s="6" t="n"/>
      <c r="AA99" s="6" t="n"/>
      <c r="AB99" s="6" t="n"/>
      <c r="AC99" s="6" t="n"/>
      <c r="AD99" s="6" t="n"/>
      <c r="AE99" s="6" t="n"/>
      <c r="AF99" s="6" t="n"/>
      <c r="AG99" s="6" t="n"/>
      <c r="AH99" s="6" t="n"/>
      <c r="AI99" s="6" t="n"/>
      <c r="AJ99" s="6" t="n"/>
      <c r="AK99" s="6" t="n"/>
    </row>
    <row r="100">
      <c r="A100" s="6" t="n"/>
      <c r="B100" s="6" t="n"/>
      <c r="C100" s="6" t="n"/>
      <c r="D100" s="6" t="n"/>
      <c r="E100" s="6" t="n"/>
      <c r="F100" s="6" t="n"/>
      <c r="G100" s="6" t="n"/>
      <c r="H100" s="6" t="n"/>
      <c r="I100" s="6" t="n"/>
      <c r="J100" s="6" t="inlineStr">
        <is>
          <t>INVOICE TOTAL</t>
        </is>
      </c>
      <c r="K100" s="6" t="n"/>
      <c r="L100" s="6" t="n"/>
      <c r="M100" s="6" t="n"/>
      <c r="N100" s="6" t="n"/>
      <c r="O100" s="6" t="n"/>
      <c r="P100" s="7">
        <f>S87</f>
        <v/>
      </c>
      <c r="Q100" s="7"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row>
    <row r="101"/>
    <row r="102">
      <c r="A102" s="10" t="n"/>
      <c r="B102" s="10" t="n"/>
      <c r="C102" s="10" t="n"/>
      <c r="D102" s="10" t="n"/>
      <c r="E102" s="10" t="n"/>
      <c r="F102" s="10" t="n"/>
      <c r="G102" s="10" t="n"/>
      <c r="H102" s="10" t="n"/>
      <c r="I102" s="10" t="n"/>
      <c r="J102" s="10" t="inlineStr">
        <is>
          <t>VARIANCE CHECK</t>
        </is>
      </c>
      <c r="K102" s="10" t="n"/>
      <c r="L102" s="10" t="n"/>
      <c r="M102" s="10" t="n"/>
      <c r="N102" s="10" t="n"/>
      <c r="O102" s="10" t="n"/>
      <c r="P102" s="11">
        <f>S87-P99</f>
        <v/>
      </c>
      <c r="Q102" s="11">
        <f>S87-Q99</f>
        <v/>
      </c>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row>
    <row r="103"/>
    <row r="104">
      <c r="A104" s="12" t="n"/>
      <c r="B104" s="12" t="n"/>
      <c r="C104" s="12" t="n"/>
      <c r="D104" s="12" t="n"/>
      <c r="E104" s="12" t="n"/>
      <c r="F104" s="12" t="n"/>
      <c r="G104" s="12" t="n"/>
      <c r="H104" s="12" t="n"/>
      <c r="I104" s="12" t="n"/>
      <c r="J104" s="13" t="inlineStr">
        <is>
          <t>INVOICE NOTES: Invoice total uncertain</t>
        </is>
      </c>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row>
    <row r="105"/>
    <row r="106">
      <c r="A106" s="14" t="n"/>
      <c r="B106" s="14" t="n"/>
      <c r="C106" s="14" t="n"/>
      <c r="D106" s="14" t="n"/>
      <c r="E106" s="14" t="n"/>
      <c r="F106" s="14" t="n"/>
      <c r="G106" s="14" t="n"/>
      <c r="H106" s="14" t="n"/>
      <c r="I106" s="14" t="n"/>
      <c r="J106" s="14" t="inlineStr">
        <is>
          <t>DUTY ESTIMATION (Classification Cross-Check)</t>
        </is>
      </c>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row>
    <row r="107">
      <c r="A107" s="15" t="n"/>
      <c r="B107" s="15" t="n"/>
      <c r="C107" s="15" t="n"/>
      <c r="D107" s="15" t="n"/>
      <c r="E107" s="15" t="n"/>
      <c r="F107" s="15" t="n"/>
      <c r="G107" s="15" t="n"/>
      <c r="H107" s="15" t="n"/>
      <c r="I107" s="15" t="n"/>
      <c r="J107" s="16" t="inlineStr">
        <is>
          <t>CIF (USD) = InvTotal + Freight + Insurance</t>
        </is>
      </c>
      <c r="K107" s="15" t="n"/>
      <c r="L107" s="15" t="n"/>
      <c r="M107" s="15" t="n"/>
      <c r="N107" s="15" t="n"/>
      <c r="O107" s="15" t="n"/>
      <c r="P107" s="17" t="n">
        <v>1.94</v>
      </c>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row>
    <row r="108">
      <c r="A108" s="15" t="n"/>
      <c r="B108" s="15" t="n"/>
      <c r="C108" s="15" t="n"/>
      <c r="D108" s="15" t="n"/>
      <c r="E108" s="15" t="n"/>
      <c r="F108" s="15" t="n"/>
      <c r="G108" s="15" t="n"/>
      <c r="H108" s="15" t="n"/>
      <c r="I108" s="15" t="n"/>
      <c r="J108" s="16" t="inlineStr">
        <is>
          <t>CIF (XCD) = CIF × 2.7169</t>
        </is>
      </c>
      <c r="K108" s="15" t="n"/>
      <c r="L108" s="15" t="n"/>
      <c r="M108" s="15" t="n"/>
      <c r="N108" s="15" t="n"/>
      <c r="O108" s="15" t="n"/>
      <c r="P108" s="17" t="n">
        <v>5.27</v>
      </c>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row>
    <row r="109">
      <c r="A109" s="15" t="n"/>
      <c r="B109" s="15" t="n"/>
      <c r="C109" s="15" t="n"/>
      <c r="D109" s="15" t="n"/>
      <c r="E109" s="15" t="n"/>
      <c r="F109" s="15" t="n"/>
      <c r="G109" s="15" t="n"/>
      <c r="H109" s="15" t="n"/>
      <c r="I109" s="15" t="n"/>
      <c r="J109" s="16" t="inlineStr">
        <is>
          <t>CET (15%) — Tariff 56074910</t>
        </is>
      </c>
      <c r="K109" s="15" t="n"/>
      <c r="L109" s="15" t="n"/>
      <c r="M109" s="15" t="n"/>
      <c r="N109" s="15" t="n"/>
      <c r="O109" s="15" t="n"/>
      <c r="P109" s="17" t="n">
        <v>0.79</v>
      </c>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row>
    <row r="110">
      <c r="A110" s="15" t="n"/>
      <c r="B110" s="15" t="n"/>
      <c r="C110" s="15" t="n"/>
      <c r="D110" s="15" t="n"/>
      <c r="E110" s="15" t="n"/>
      <c r="F110" s="15" t="n"/>
      <c r="G110" s="15" t="n"/>
      <c r="H110" s="15" t="n"/>
      <c r="I110" s="15" t="n"/>
      <c r="J110" s="16" t="inlineStr">
        <is>
          <t>CSC (6%)</t>
        </is>
      </c>
      <c r="K110" s="15" t="n"/>
      <c r="L110" s="15" t="n"/>
      <c r="M110" s="15" t="n"/>
      <c r="N110" s="15" t="n"/>
      <c r="O110" s="15" t="n"/>
      <c r="P110" s="17" t="n">
        <v>0.32</v>
      </c>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row>
    <row r="111">
      <c r="A111" s="15" t="n"/>
      <c r="B111" s="15" t="n"/>
      <c r="C111" s="15" t="n"/>
      <c r="D111" s="15" t="n"/>
      <c r="E111" s="15" t="n"/>
      <c r="F111" s="15" t="n"/>
      <c r="G111" s="15" t="n"/>
      <c r="H111" s="15" t="n"/>
      <c r="I111" s="15" t="n"/>
      <c r="J111" s="16" t="inlineStr">
        <is>
          <t>VAT (15%) on CIF+CET+CSC</t>
        </is>
      </c>
      <c r="K111" s="15" t="n"/>
      <c r="L111" s="15" t="n"/>
      <c r="M111" s="15" t="n"/>
      <c r="N111" s="15" t="n"/>
      <c r="O111" s="15" t="n"/>
      <c r="P111" s="17" t="n">
        <v>0.96</v>
      </c>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row>
    <row r="112">
      <c r="A112" s="18" t="n"/>
      <c r="B112" s="18" t="n"/>
      <c r="C112" s="18" t="n"/>
      <c r="D112" s="18" t="n"/>
      <c r="E112" s="18" t="n"/>
      <c r="F112" s="18" t="n"/>
      <c r="G112" s="18" t="n"/>
      <c r="H112" s="18" t="n"/>
      <c r="I112" s="18" t="n"/>
      <c r="J112" s="14" t="inlineStr">
        <is>
          <t>ESTIMATED TOTAL DUTIES</t>
        </is>
      </c>
      <c r="K112" s="18" t="n"/>
      <c r="L112" s="18" t="n"/>
      <c r="M112" s="18" t="n"/>
      <c r="N112" s="18" t="n"/>
      <c r="O112" s="18" t="n"/>
      <c r="P112" s="19" t="n">
        <v>2.07</v>
      </c>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c r="AJ112" s="18" t="n"/>
      <c r="AK112" s="18" t="n"/>
    </row>
    <row r="113">
      <c r="A113" s="15" t="n"/>
      <c r="B113" s="15" t="n"/>
      <c r="C113" s="15" t="n"/>
      <c r="D113" s="15" t="n"/>
      <c r="E113" s="15" t="n"/>
      <c r="F113" s="15" t="n"/>
      <c r="G113" s="15" t="n"/>
      <c r="H113" s="15" t="n"/>
      <c r="I113" s="15" t="n"/>
      <c r="J113" s="16" t="inlineStr">
        <is>
          <t>Effective Duty Rate</t>
        </is>
      </c>
      <c r="K113" s="15" t="n"/>
      <c r="L113" s="15" t="n"/>
      <c r="M113" s="15" t="n"/>
      <c r="N113" s="15" t="n"/>
      <c r="O113" s="15" t="n"/>
      <c r="P113" s="20" t="n">
        <v>0.3927893738140417</v>
      </c>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c r="AA114" s="21" t="n"/>
      <c r="AB114" s="21" t="n"/>
      <c r="AC114" s="21" t="n"/>
      <c r="AD114" s="21" t="n"/>
      <c r="AE114" s="21" t="n"/>
      <c r="AF114" s="21" t="n"/>
      <c r="AG114" s="21" t="n"/>
      <c r="AH114" s="21" t="n"/>
      <c r="AI114" s="21" t="n"/>
      <c r="AJ114" s="21" t="n"/>
      <c r="AK114" s="21" t="n"/>
    </row>
    <row r="115">
      <c r="A115" s="2" t="inlineStr">
        <is>
          <t>4000-000</t>
        </is>
      </c>
      <c r="B115" s="2" t="n"/>
      <c r="C115" s="2" t="inlineStr">
        <is>
          <t>GSUNJY57BOONGXE_Invoice_5</t>
        </is>
      </c>
      <c r="D115" s="2" t="n"/>
      <c r="E115" s="2" t="inlineStr">
        <is>
          <t>HOSIERY</t>
        </is>
      </c>
      <c r="F115" s="2" t="inlineStr">
        <is>
          <t>61152100</t>
        </is>
      </c>
      <c r="G115" s="2" t="n"/>
      <c r="H115" s="2" t="n"/>
      <c r="I115" s="2" t="inlineStr">
        <is>
          <t>61152100</t>
        </is>
      </c>
      <c r="J115" s="2" t="inlineStr">
        <is>
          <t>SHEIN Swim SXY Summer Beach Hollow Out Fishnet Bodycon Dress Without Liner (1 items)</t>
        </is>
      </c>
      <c r="K115" s="2" t="n">
        <v>1</v>
      </c>
      <c r="L115" s="2" t="n"/>
      <c r="M115" s="2" t="n"/>
      <c r="N115" s="2" t="inlineStr">
        <is>
          <t>USD</t>
        </is>
      </c>
      <c r="O115" s="3" t="n">
        <v>2.2</v>
      </c>
      <c r="P115" s="3" t="n">
        <v>2.2</v>
      </c>
      <c r="Q115" s="3">
        <f>O115*K115</f>
        <v/>
      </c>
      <c r="R115" s="3">
        <f>P115-Q115</f>
        <v/>
      </c>
      <c r="S115" s="3" t="n">
        <v>2.2</v>
      </c>
      <c r="T115" s="3" t="n">
        <v>0</v>
      </c>
      <c r="U115" s="3" t="n">
        <v>0</v>
      </c>
      <c r="V115" s="3" t="n">
        <v>0</v>
      </c>
      <c r="W115" s="3" t="n">
        <v>0</v>
      </c>
      <c r="X115" s="2" t="n"/>
      <c r="Y115" s="2" t="n"/>
      <c r="Z115" s="2" t="inlineStr">
        <is>
          <t>SHEIN</t>
        </is>
      </c>
      <c r="AA115" s="2" t="inlineStr">
        <is>
          <t>SHEIN US Services, LLC</t>
        </is>
      </c>
      <c r="AB115" s="2" t="inlineStr">
        <is>
          <t>777 S. Alameda St., Second Floor, Los Angeles, CA 90021</t>
        </is>
      </c>
      <c r="AC115" s="2" t="inlineStr">
        <is>
          <t>US</t>
        </is>
      </c>
      <c r="AD115" s="2" t="n"/>
      <c r="AE115" s="2" t="n"/>
      <c r="AF115" s="2" t="n"/>
      <c r="AG115" s="2" t="n"/>
      <c r="AH115" s="2" t="n"/>
      <c r="AI115" s="2" t="n"/>
      <c r="AJ115" s="2" t="n"/>
      <c r="AK115" s="2" t="inlineStr">
        <is>
          <t>61152100</t>
        </is>
      </c>
    </row>
    <row r="116">
      <c r="A116" s="4" t="n"/>
      <c r="B116" s="4" t="n"/>
      <c r="C116" s="4" t="n"/>
      <c r="D116" s="4" t="n"/>
      <c r="E116" s="4" t="n"/>
      <c r="F116" s="4" t="inlineStr">
        <is>
          <t>61152100</t>
        </is>
      </c>
      <c r="G116" s="4" t="n"/>
      <c r="H116" s="4" t="n"/>
      <c r="I116" s="4" t="inlineStr">
        <is>
          <t>SHEIN-1</t>
        </is>
      </c>
      <c r="J116" s="4" t="inlineStr">
        <is>
          <t>SHEIN Swim SXY Summer Beach Hollow Out Fishnet Bodycon Dress Without Liner</t>
        </is>
      </c>
      <c r="K116" s="4" t="n">
        <v>1</v>
      </c>
      <c r="L116" s="4" t="n"/>
      <c r="M116" s="4" t="n"/>
      <c r="N116" s="4" t="inlineStr">
        <is>
          <t>USD</t>
        </is>
      </c>
      <c r="O116" s="5" t="n">
        <v>2.2</v>
      </c>
      <c r="P116" s="5" t="n">
        <v>2.2</v>
      </c>
      <c r="Q116" s="5">
        <f>O116*K116</f>
        <v/>
      </c>
      <c r="R116" s="5">
        <f>P116-Q116</f>
        <v/>
      </c>
      <c r="S116" s="4" t="n"/>
      <c r="T116" s="4" t="n"/>
      <c r="U116" s="4" t="n"/>
      <c r="V116" s="4" t="n"/>
      <c r="W116" s="4" t="n"/>
      <c r="X116" s="4" t="n"/>
      <c r="Y116" s="4" t="n"/>
      <c r="Z116" s="4" t="n"/>
      <c r="AA116" s="4" t="n"/>
      <c r="AB116" s="4" t="n"/>
      <c r="AC116" s="4" t="n"/>
      <c r="AD116" s="4" t="n"/>
      <c r="AE116" s="4" t="n"/>
      <c r="AF116" s="4" t="n"/>
      <c r="AG116" s="4" t="n"/>
      <c r="AH116" s="4" t="n"/>
      <c r="AI116" s="4" t="n"/>
      <c r="AJ116" s="4" t="n"/>
      <c r="AK116" s="4" t="n"/>
    </row>
    <row r="117">
      <c r="A117" s="6" t="n"/>
      <c r="B117" s="6" t="n"/>
      <c r="C117" s="6" t="n"/>
      <c r="D117" s="6" t="n"/>
      <c r="E117" s="6" t="n"/>
      <c r="F117" s="6" t="n"/>
      <c r="G117" s="6" t="n"/>
      <c r="H117" s="6" t="n"/>
      <c r="I117" s="6" t="n"/>
      <c r="J117" s="6" t="inlineStr">
        <is>
          <t>SUBTOTAL (GROUPED)</t>
        </is>
      </c>
      <c r="K117" s="6" t="n"/>
      <c r="L117" s="6" t="n"/>
      <c r="M117" s="6" t="n"/>
      <c r="N117" s="6" t="n"/>
      <c r="O117" s="6" t="n"/>
      <c r="P117" s="7">
        <f>P115</f>
        <v/>
      </c>
      <c r="Q117" s="7">
        <f>Q115</f>
        <v/>
      </c>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row>
    <row r="118">
      <c r="A118" s="6" t="n"/>
      <c r="B118" s="6" t="n"/>
      <c r="C118" s="6" t="n"/>
      <c r="D118" s="6" t="n"/>
      <c r="E118" s="6" t="n"/>
      <c r="F118" s="6" t="n"/>
      <c r="G118" s="6" t="n"/>
      <c r="H118" s="6" t="n"/>
      <c r="I118" s="6" t="n"/>
      <c r="J118" s="6" t="inlineStr">
        <is>
          <t>SUBTOTAL (DETAILS)</t>
        </is>
      </c>
      <c r="K118" s="6" t="n"/>
      <c r="L118" s="6" t="n"/>
      <c r="M118" s="6" t="n"/>
      <c r="N118" s="6" t="n"/>
      <c r="O118" s="6" t="n"/>
      <c r="P118" s="7">
        <f>SUM(P115:P116)-P117</f>
        <v/>
      </c>
      <c r="Q118" s="7">
        <f>SUM(Q115:Q116)-Q117</f>
        <v/>
      </c>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row>
    <row r="119">
      <c r="A119" s="8" t="n"/>
      <c r="B119" s="8" t="n"/>
      <c r="C119" s="8" t="n"/>
      <c r="D119" s="8" t="n"/>
      <c r="E119" s="8" t="n"/>
      <c r="F119" s="8" t="n"/>
      <c r="G119" s="8" t="n"/>
      <c r="H119" s="8" t="n"/>
      <c r="I119" s="8" t="n"/>
      <c r="J119" s="8" t="inlineStr">
        <is>
          <t>GROUP VERIFICATION</t>
        </is>
      </c>
      <c r="K119" s="8" t="n"/>
      <c r="L119" s="8" t="n"/>
      <c r="M119" s="8" t="n"/>
      <c r="N119" s="8" t="n"/>
      <c r="O119" s="8" t="n"/>
      <c r="P119" s="9">
        <f>P117-P118</f>
        <v/>
      </c>
      <c r="Q119" s="9">
        <f>Q117-Q118</f>
        <v/>
      </c>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row>
    <row r="120"/>
    <row r="121">
      <c r="A121" s="6" t="n"/>
      <c r="B121" s="6" t="n"/>
      <c r="C121" s="6" t="n"/>
      <c r="D121" s="6" t="n"/>
      <c r="E121" s="6" t="n"/>
      <c r="F121" s="6" t="n"/>
      <c r="G121" s="6" t="n"/>
      <c r="H121" s="6" t="n"/>
      <c r="I121" s="6" t="n"/>
      <c r="J121" s="6" t="inlineStr">
        <is>
          <t>TOTAL INTERNAL FREIGHT</t>
        </is>
      </c>
      <c r="K121" s="6" t="n"/>
      <c r="L121" s="6" t="n"/>
      <c r="M121" s="6" t="n"/>
      <c r="N121" s="6" t="n"/>
      <c r="O121" s="6" t="n"/>
      <c r="P121" s="7" t="n">
        <v>0</v>
      </c>
      <c r="Q121" s="7"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row>
    <row r="122">
      <c r="A122" s="6" t="n"/>
      <c r="B122" s="6" t="n"/>
      <c r="C122" s="6" t="n"/>
      <c r="D122" s="6" t="n"/>
      <c r="E122" s="6" t="n"/>
      <c r="F122" s="6" t="n"/>
      <c r="G122" s="6" t="n"/>
      <c r="H122" s="6" t="n"/>
      <c r="I122" s="6" t="n"/>
      <c r="J122" s="6" t="inlineStr">
        <is>
          <t>TOTAL INSURANCE</t>
        </is>
      </c>
      <c r="K122" s="6" t="n"/>
      <c r="L122" s="6" t="n"/>
      <c r="M122" s="6" t="n"/>
      <c r="N122" s="6" t="n"/>
      <c r="O122" s="6" t="n"/>
      <c r="P122" s="7" t="n">
        <v>0</v>
      </c>
      <c r="Q122" s="7"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row>
    <row r="123">
      <c r="A123" s="6" t="n"/>
      <c r="B123" s="6" t="n"/>
      <c r="C123" s="6" t="n"/>
      <c r="D123" s="6" t="n"/>
      <c r="E123" s="6" t="n"/>
      <c r="F123" s="6" t="n"/>
      <c r="G123" s="6" t="n"/>
      <c r="H123" s="6" t="n"/>
      <c r="I123" s="6" t="n"/>
      <c r="J123" s="6" t="inlineStr">
        <is>
          <t>TOTAL OTHER COST</t>
        </is>
      </c>
      <c r="K123" s="6" t="n"/>
      <c r="L123" s="6" t="n"/>
      <c r="M123" s="6" t="n"/>
      <c r="N123" s="6" t="n"/>
      <c r="O123" s="6" t="n"/>
      <c r="P123" s="7" t="n">
        <v>0</v>
      </c>
      <c r="Q123" s="7"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row>
    <row r="124">
      <c r="A124" s="6" t="n"/>
      <c r="B124" s="6" t="n"/>
      <c r="C124" s="6" t="n"/>
      <c r="D124" s="6" t="n"/>
      <c r="E124" s="6" t="n"/>
      <c r="F124" s="6" t="n"/>
      <c r="G124" s="6" t="n"/>
      <c r="H124" s="6" t="n"/>
      <c r="I124" s="6" t="n"/>
      <c r="J124" s="6" t="inlineStr">
        <is>
          <t>TOTAL DEDUCTION</t>
        </is>
      </c>
      <c r="K124" s="6" t="n"/>
      <c r="L124" s="6" t="n"/>
      <c r="M124" s="6" t="n"/>
      <c r="N124" s="6" t="n"/>
      <c r="O124" s="6" t="n"/>
      <c r="P124" s="7" t="n">
        <v>0</v>
      </c>
      <c r="Q124" s="7"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row>
    <row r="125">
      <c r="A125" s="6" t="n"/>
      <c r="B125" s="6" t="n"/>
      <c r="C125" s="6" t="n"/>
      <c r="D125" s="6" t="n"/>
      <c r="E125" s="6" t="n"/>
      <c r="F125" s="6" t="n"/>
      <c r="G125" s="6" t="n"/>
      <c r="H125" s="6" t="n"/>
      <c r="I125" s="6" t="n"/>
      <c r="J125" s="6" t="inlineStr">
        <is>
          <t>ADJUSTMENTS</t>
        </is>
      </c>
      <c r="K125" s="6" t="n"/>
      <c r="L125" s="6" t="n"/>
      <c r="M125" s="6" t="n"/>
      <c r="N125" s="6" t="n"/>
      <c r="O125" s="6" t="n"/>
      <c r="P125" s="7">
        <f>(T115+U115+V115-W115)</f>
        <v/>
      </c>
      <c r="Q125" s="7">
        <f>(T115+U115+V115-W115)</f>
        <v/>
      </c>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row>
    <row r="126"/>
    <row r="127">
      <c r="A127" s="6" t="n"/>
      <c r="B127" s="6" t="n"/>
      <c r="C127" s="6" t="n"/>
      <c r="D127" s="6" t="n"/>
      <c r="E127" s="6" t="n"/>
      <c r="F127" s="6" t="n"/>
      <c r="G127" s="6" t="n"/>
      <c r="H127" s="6" t="n"/>
      <c r="I127" s="6" t="n"/>
      <c r="J127" s="6" t="inlineStr">
        <is>
          <t>NET TOTAL</t>
        </is>
      </c>
      <c r="K127" s="6" t="n"/>
      <c r="L127" s="6" t="n"/>
      <c r="M127" s="6" t="n"/>
      <c r="N127" s="6" t="n"/>
      <c r="O127" s="6" t="n"/>
      <c r="P127" s="7">
        <f>P117+P125</f>
        <v/>
      </c>
      <c r="Q127" s="7">
        <f>Q117+Q125</f>
        <v/>
      </c>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row>
    <row r="128">
      <c r="A128" s="6" t="n"/>
      <c r="B128" s="6" t="n"/>
      <c r="C128" s="6" t="n"/>
      <c r="D128" s="6" t="n"/>
      <c r="E128" s="6" t="n"/>
      <c r="F128" s="6" t="n"/>
      <c r="G128" s="6" t="n"/>
      <c r="H128" s="6" t="n"/>
      <c r="I128" s="6" t="n"/>
      <c r="J128" s="6" t="inlineStr">
        <is>
          <t>INVOICE TOTAL</t>
        </is>
      </c>
      <c r="K128" s="6" t="n"/>
      <c r="L128" s="6" t="n"/>
      <c r="M128" s="6" t="n"/>
      <c r="N128" s="6" t="n"/>
      <c r="O128" s="6" t="n"/>
      <c r="P128" s="7">
        <f>S115</f>
        <v/>
      </c>
      <c r="Q128" s="7"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row>
    <row r="129"/>
    <row r="130">
      <c r="A130" s="10" t="n"/>
      <c r="B130" s="10" t="n"/>
      <c r="C130" s="10" t="n"/>
      <c r="D130" s="10" t="n"/>
      <c r="E130" s="10" t="n"/>
      <c r="F130" s="10" t="n"/>
      <c r="G130" s="10" t="n"/>
      <c r="H130" s="10" t="n"/>
      <c r="I130" s="10" t="n"/>
      <c r="J130" s="10" t="inlineStr">
        <is>
          <t>VARIANCE CHECK</t>
        </is>
      </c>
      <c r="K130" s="10" t="n"/>
      <c r="L130" s="10" t="n"/>
      <c r="M130" s="10" t="n"/>
      <c r="N130" s="10" t="n"/>
      <c r="O130" s="10" t="n"/>
      <c r="P130" s="11">
        <f>S115-P127</f>
        <v/>
      </c>
      <c r="Q130" s="11">
        <f>S115-Q127</f>
        <v/>
      </c>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row>
    <row r="131"/>
    <row r="132">
      <c r="A132" s="12" t="n"/>
      <c r="B132" s="12" t="n"/>
      <c r="C132" s="12" t="n"/>
      <c r="D132" s="12" t="n"/>
      <c r="E132" s="12" t="n"/>
      <c r="F132" s="12" t="n"/>
      <c r="G132" s="12" t="n"/>
      <c r="H132" s="12" t="n"/>
      <c r="I132" s="12" t="n"/>
      <c r="J132" s="13" t="inlineStr">
        <is>
          <t>INVOICE NOTES: Invoice total uncertain</t>
        </is>
      </c>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row>
    <row r="133"/>
    <row r="134">
      <c r="A134" s="14" t="n"/>
      <c r="B134" s="14" t="n"/>
      <c r="C134" s="14" t="n"/>
      <c r="D134" s="14" t="n"/>
      <c r="E134" s="14" t="n"/>
      <c r="F134" s="14" t="n"/>
      <c r="G134" s="14" t="n"/>
      <c r="H134" s="14" t="n"/>
      <c r="I134" s="14" t="n"/>
      <c r="J134" s="14" t="inlineStr">
        <is>
          <t>DUTY ESTIMATION (Classification Cross-Check)</t>
        </is>
      </c>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row>
    <row r="135">
      <c r="A135" s="15" t="n"/>
      <c r="B135" s="15" t="n"/>
      <c r="C135" s="15" t="n"/>
      <c r="D135" s="15" t="n"/>
      <c r="E135" s="15" t="n"/>
      <c r="F135" s="15" t="n"/>
      <c r="G135" s="15" t="n"/>
      <c r="H135" s="15" t="n"/>
      <c r="I135" s="15" t="n"/>
      <c r="J135" s="16" t="inlineStr">
        <is>
          <t>CIF (USD) = InvTotal + Freight + Insurance</t>
        </is>
      </c>
      <c r="K135" s="15" t="n"/>
      <c r="L135" s="15" t="n"/>
      <c r="M135" s="15" t="n"/>
      <c r="N135" s="15" t="n"/>
      <c r="O135" s="15" t="n"/>
      <c r="P135" s="17" t="n">
        <v>2.2</v>
      </c>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row>
    <row r="136">
      <c r="A136" s="15" t="n"/>
      <c r="B136" s="15" t="n"/>
      <c r="C136" s="15" t="n"/>
      <c r="D136" s="15" t="n"/>
      <c r="E136" s="15" t="n"/>
      <c r="F136" s="15" t="n"/>
      <c r="G136" s="15" t="n"/>
      <c r="H136" s="15" t="n"/>
      <c r="I136" s="15" t="n"/>
      <c r="J136" s="16" t="inlineStr">
        <is>
          <t>CIF (XCD) = CIF × 2.7169</t>
        </is>
      </c>
      <c r="K136" s="15" t="n"/>
      <c r="L136" s="15" t="n"/>
      <c r="M136" s="15" t="n"/>
      <c r="N136" s="15" t="n"/>
      <c r="O136" s="15" t="n"/>
      <c r="P136" s="17" t="n">
        <v>5.98</v>
      </c>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row>
    <row r="137">
      <c r="A137" s="15" t="n"/>
      <c r="B137" s="15" t="n"/>
      <c r="C137" s="15" t="n"/>
      <c r="D137" s="15" t="n"/>
      <c r="E137" s="15" t="n"/>
      <c r="F137" s="15" t="n"/>
      <c r="G137" s="15" t="n"/>
      <c r="H137" s="15" t="n"/>
      <c r="I137" s="15" t="n"/>
      <c r="J137" s="16" t="inlineStr">
        <is>
          <t>CET (20%) — Tariff 61152100</t>
        </is>
      </c>
      <c r="K137" s="15" t="n"/>
      <c r="L137" s="15" t="n"/>
      <c r="M137" s="15" t="n"/>
      <c r="N137" s="15" t="n"/>
      <c r="O137" s="15" t="n"/>
      <c r="P137" s="17" t="n">
        <v>1.2</v>
      </c>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row>
    <row r="138">
      <c r="A138" s="15" t="n"/>
      <c r="B138" s="15" t="n"/>
      <c r="C138" s="15" t="n"/>
      <c r="D138" s="15" t="n"/>
      <c r="E138" s="15" t="n"/>
      <c r="F138" s="15" t="n"/>
      <c r="G138" s="15" t="n"/>
      <c r="H138" s="15" t="n"/>
      <c r="I138" s="15" t="n"/>
      <c r="J138" s="16" t="inlineStr">
        <is>
          <t>CSC (6%)</t>
        </is>
      </c>
      <c r="K138" s="15" t="n"/>
      <c r="L138" s="15" t="n"/>
      <c r="M138" s="15" t="n"/>
      <c r="N138" s="15" t="n"/>
      <c r="O138" s="15" t="n"/>
      <c r="P138" s="17" t="n">
        <v>0.36</v>
      </c>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row>
    <row r="139">
      <c r="A139" s="15" t="n"/>
      <c r="B139" s="15" t="n"/>
      <c r="C139" s="15" t="n"/>
      <c r="D139" s="15" t="n"/>
      <c r="E139" s="15" t="n"/>
      <c r="F139" s="15" t="n"/>
      <c r="G139" s="15" t="n"/>
      <c r="H139" s="15" t="n"/>
      <c r="I139" s="15" t="n"/>
      <c r="J139" s="16" t="inlineStr">
        <is>
          <t>VAT (15%) on CIF+CET+CSC</t>
        </is>
      </c>
      <c r="K139" s="15" t="n"/>
      <c r="L139" s="15" t="n"/>
      <c r="M139" s="15" t="n"/>
      <c r="N139" s="15" t="n"/>
      <c r="O139" s="15" t="n"/>
      <c r="P139" s="17" t="n">
        <v>1.13</v>
      </c>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row>
    <row r="140">
      <c r="A140" s="18" t="n"/>
      <c r="B140" s="18" t="n"/>
      <c r="C140" s="18" t="n"/>
      <c r="D140" s="18" t="n"/>
      <c r="E140" s="18" t="n"/>
      <c r="F140" s="18" t="n"/>
      <c r="G140" s="18" t="n"/>
      <c r="H140" s="18" t="n"/>
      <c r="I140" s="18" t="n"/>
      <c r="J140" s="14" t="inlineStr">
        <is>
          <t>ESTIMATED TOTAL DUTIES</t>
        </is>
      </c>
      <c r="K140" s="18" t="n"/>
      <c r="L140" s="18" t="n"/>
      <c r="M140" s="18" t="n"/>
      <c r="N140" s="18" t="n"/>
      <c r="O140" s="18" t="n"/>
      <c r="P140" s="19" t="n">
        <v>2.69</v>
      </c>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c r="AJ140" s="18" t="n"/>
      <c r="AK140" s="18" t="n"/>
    </row>
    <row r="141">
      <c r="A141" s="15" t="n"/>
      <c r="B141" s="15" t="n"/>
      <c r="C141" s="15" t="n"/>
      <c r="D141" s="15" t="n"/>
      <c r="E141" s="15" t="n"/>
      <c r="F141" s="15" t="n"/>
      <c r="G141" s="15" t="n"/>
      <c r="H141" s="15" t="n"/>
      <c r="I141" s="15" t="n"/>
      <c r="J141" s="16" t="inlineStr">
        <is>
          <t>Effective Duty Rate</t>
        </is>
      </c>
      <c r="K141" s="15" t="n"/>
      <c r="L141" s="15" t="n"/>
      <c r="M141" s="15" t="n"/>
      <c r="N141" s="15" t="n"/>
      <c r="O141" s="15" t="n"/>
      <c r="P141" s="20" t="n">
        <v>0.4498327759197324</v>
      </c>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c r="AA142" s="21" t="n"/>
      <c r="AB142" s="21" t="n"/>
      <c r="AC142" s="21" t="n"/>
      <c r="AD142" s="21" t="n"/>
      <c r="AE142" s="21" t="n"/>
      <c r="AF142" s="21" t="n"/>
      <c r="AG142" s="21" t="n"/>
      <c r="AH142" s="21" t="n"/>
      <c r="AI142" s="21" t="n"/>
      <c r="AJ142" s="21" t="n"/>
      <c r="AK142" s="21" t="n"/>
    </row>
    <row r="143">
      <c r="A143" s="2" t="inlineStr">
        <is>
          <t>4000-000</t>
        </is>
      </c>
      <c r="B143" s="2" t="n"/>
      <c r="C143" s="2" t="inlineStr">
        <is>
          <t>GSUNJY57BOONGXE_Invoice_6</t>
        </is>
      </c>
      <c r="D143" s="2" t="n"/>
      <c r="E143" s="2" t="inlineStr">
        <is>
          <t>Footwear with outer soles of leather or composition leather</t>
        </is>
      </c>
      <c r="F143" s="2" t="inlineStr">
        <is>
          <t>64041990</t>
        </is>
      </c>
      <c r="G143" s="2" t="n"/>
      <c r="H143" s="2" t="n"/>
      <c r="I143" s="2" t="inlineStr">
        <is>
          <t>64041990</t>
        </is>
      </c>
      <c r="J143" s="2" t="inlineStr">
        <is>
          <t>Slip On Sandal For Women Fully Adjustable Straps With Closure Sport Light Weight Rubber Outsole (1 items)</t>
        </is>
      </c>
      <c r="K143" s="2" t="n">
        <v>1</v>
      </c>
      <c r="L143" s="2" t="n"/>
      <c r="M143" s="2" t="n"/>
      <c r="N143" s="2" t="inlineStr">
        <is>
          <t>USD</t>
        </is>
      </c>
      <c r="O143" s="3" t="n">
        <v>11.28</v>
      </c>
      <c r="P143" s="3" t="n">
        <v>11.28</v>
      </c>
      <c r="Q143" s="3">
        <f>O143*K143</f>
        <v/>
      </c>
      <c r="R143" s="3">
        <f>P143-Q143</f>
        <v/>
      </c>
      <c r="S143" s="3" t="n">
        <v>11.28</v>
      </c>
      <c r="T143" s="3" t="n">
        <v>0</v>
      </c>
      <c r="U143" s="3" t="n">
        <v>0</v>
      </c>
      <c r="V143" s="3" t="n">
        <v>0</v>
      </c>
      <c r="W143" s="3" t="n">
        <v>0</v>
      </c>
      <c r="X143" s="2" t="n"/>
      <c r="Y143" s="2" t="n"/>
      <c r="Z143" s="2" t="inlineStr">
        <is>
          <t>SHEIN</t>
        </is>
      </c>
      <c r="AA143" s="2" t="inlineStr">
        <is>
          <t>SHEIN US Services, LLC</t>
        </is>
      </c>
      <c r="AB143" s="2" t="inlineStr">
        <is>
          <t>777 S. Alameda St., Second Floor, Los Angeles, CA 90021</t>
        </is>
      </c>
      <c r="AC143" s="2" t="inlineStr">
        <is>
          <t>US</t>
        </is>
      </c>
      <c r="AD143" s="2" t="n"/>
      <c r="AE143" s="2" t="n"/>
      <c r="AF143" s="2" t="n"/>
      <c r="AG143" s="2" t="n"/>
      <c r="AH143" s="2" t="n"/>
      <c r="AI143" s="2" t="n"/>
      <c r="AJ143" s="2" t="n"/>
      <c r="AK143" s="2" t="inlineStr">
        <is>
          <t>64041990</t>
        </is>
      </c>
    </row>
    <row r="144">
      <c r="A144" s="4" t="n"/>
      <c r="B144" s="4" t="n"/>
      <c r="C144" s="4" t="n"/>
      <c r="D144" s="4" t="n"/>
      <c r="E144" s="4" t="n"/>
      <c r="F144" s="4" t="inlineStr">
        <is>
          <t>64041990</t>
        </is>
      </c>
      <c r="G144" s="4" t="n"/>
      <c r="H144" s="4" t="n"/>
      <c r="I144" s="4" t="inlineStr">
        <is>
          <t>SHEIN-1</t>
        </is>
      </c>
      <c r="J144" s="4" t="inlineStr">
        <is>
          <t>Slip On Sandal For Women Fully Adjustable Straps With Closure Sport Light Weight Rubber Outsole</t>
        </is>
      </c>
      <c r="K144" s="4" t="n">
        <v>1</v>
      </c>
      <c r="L144" s="4" t="n"/>
      <c r="M144" s="4" t="n"/>
      <c r="N144" s="4" t="inlineStr">
        <is>
          <t>USD</t>
        </is>
      </c>
      <c r="O144" s="5" t="n">
        <v>11.28</v>
      </c>
      <c r="P144" s="5" t="n">
        <v>11.28</v>
      </c>
      <c r="Q144" s="5">
        <f>O144*K144</f>
        <v/>
      </c>
      <c r="R144" s="5">
        <f>P144-Q144</f>
        <v/>
      </c>
      <c r="S144" s="4" t="n"/>
      <c r="T144" s="4" t="n"/>
      <c r="U144" s="4" t="n"/>
      <c r="V144" s="4" t="n"/>
      <c r="W144" s="4" t="n"/>
      <c r="X144" s="4" t="n"/>
      <c r="Y144" s="4" t="n"/>
      <c r="Z144" s="4" t="n"/>
      <c r="AA144" s="4" t="n"/>
      <c r="AB144" s="4" t="n"/>
      <c r="AC144" s="4" t="n"/>
      <c r="AD144" s="4" t="n"/>
      <c r="AE144" s="4" t="n"/>
      <c r="AF144" s="4" t="n"/>
      <c r="AG144" s="4" t="n"/>
      <c r="AH144" s="4" t="n"/>
      <c r="AI144" s="4" t="n"/>
      <c r="AJ144" s="4" t="n"/>
      <c r="AK144" s="4" t="n"/>
    </row>
    <row r="145">
      <c r="A145" s="6" t="n"/>
      <c r="B145" s="6" t="n"/>
      <c r="C145" s="6" t="n"/>
      <c r="D145" s="6" t="n"/>
      <c r="E145" s="6" t="n"/>
      <c r="F145" s="6" t="n"/>
      <c r="G145" s="6" t="n"/>
      <c r="H145" s="6" t="n"/>
      <c r="I145" s="6" t="n"/>
      <c r="J145" s="6" t="inlineStr">
        <is>
          <t>SUBTOTAL (GROUPED)</t>
        </is>
      </c>
      <c r="K145" s="6" t="n"/>
      <c r="L145" s="6" t="n"/>
      <c r="M145" s="6" t="n"/>
      <c r="N145" s="6" t="n"/>
      <c r="O145" s="6" t="n"/>
      <c r="P145" s="7">
        <f>P143</f>
        <v/>
      </c>
      <c r="Q145" s="7">
        <f>Q143</f>
        <v/>
      </c>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row>
    <row r="146">
      <c r="A146" s="6" t="n"/>
      <c r="B146" s="6" t="n"/>
      <c r="C146" s="6" t="n"/>
      <c r="D146" s="6" t="n"/>
      <c r="E146" s="6" t="n"/>
      <c r="F146" s="6" t="n"/>
      <c r="G146" s="6" t="n"/>
      <c r="H146" s="6" t="n"/>
      <c r="I146" s="6" t="n"/>
      <c r="J146" s="6" t="inlineStr">
        <is>
          <t>SUBTOTAL (DETAILS)</t>
        </is>
      </c>
      <c r="K146" s="6" t="n"/>
      <c r="L146" s="6" t="n"/>
      <c r="M146" s="6" t="n"/>
      <c r="N146" s="6" t="n"/>
      <c r="O146" s="6" t="n"/>
      <c r="P146" s="7">
        <f>SUM(P143:P144)-P145</f>
        <v/>
      </c>
      <c r="Q146" s="7">
        <f>SUM(Q143:Q144)-Q145</f>
        <v/>
      </c>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row>
    <row r="147">
      <c r="A147" s="8" t="n"/>
      <c r="B147" s="8" t="n"/>
      <c r="C147" s="8" t="n"/>
      <c r="D147" s="8" t="n"/>
      <c r="E147" s="8" t="n"/>
      <c r="F147" s="8" t="n"/>
      <c r="G147" s="8" t="n"/>
      <c r="H147" s="8" t="n"/>
      <c r="I147" s="8" t="n"/>
      <c r="J147" s="8" t="inlineStr">
        <is>
          <t>GROUP VERIFICATION</t>
        </is>
      </c>
      <c r="K147" s="8" t="n"/>
      <c r="L147" s="8" t="n"/>
      <c r="M147" s="8" t="n"/>
      <c r="N147" s="8" t="n"/>
      <c r="O147" s="8" t="n"/>
      <c r="P147" s="9">
        <f>P145-P146</f>
        <v/>
      </c>
      <c r="Q147" s="9">
        <f>Q145-Q146</f>
        <v/>
      </c>
      <c r="R147" s="8" t="n"/>
      <c r="S147" s="8" t="n"/>
      <c r="T147" s="8" t="n"/>
      <c r="U147" s="8" t="n"/>
      <c r="V147" s="8" t="n"/>
      <c r="W147" s="8" t="n"/>
      <c r="X147" s="8" t="n"/>
      <c r="Y147" s="8" t="n"/>
      <c r="Z147" s="8" t="n"/>
      <c r="AA147" s="8" t="n"/>
      <c r="AB147" s="8" t="n"/>
      <c r="AC147" s="8" t="n"/>
      <c r="AD147" s="8" t="n"/>
      <c r="AE147" s="8" t="n"/>
      <c r="AF147" s="8" t="n"/>
      <c r="AG147" s="8" t="n"/>
      <c r="AH147" s="8" t="n"/>
      <c r="AI147" s="8" t="n"/>
      <c r="AJ147" s="8" t="n"/>
      <c r="AK147" s="8" t="n"/>
    </row>
    <row r="148"/>
    <row r="149">
      <c r="A149" s="6" t="n"/>
      <c r="B149" s="6" t="n"/>
      <c r="C149" s="6" t="n"/>
      <c r="D149" s="6" t="n"/>
      <c r="E149" s="6" t="n"/>
      <c r="F149" s="6" t="n"/>
      <c r="G149" s="6" t="n"/>
      <c r="H149" s="6" t="n"/>
      <c r="I149" s="6" t="n"/>
      <c r="J149" s="6" t="inlineStr">
        <is>
          <t>TOTAL INTERNAL FREIGHT</t>
        </is>
      </c>
      <c r="K149" s="6" t="n"/>
      <c r="L149" s="6" t="n"/>
      <c r="M149" s="6" t="n"/>
      <c r="N149" s="6" t="n"/>
      <c r="O149" s="6" t="n"/>
      <c r="P149" s="7" t="n">
        <v>0</v>
      </c>
      <c r="Q149" s="7"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row>
    <row r="150">
      <c r="A150" s="6" t="n"/>
      <c r="B150" s="6" t="n"/>
      <c r="C150" s="6" t="n"/>
      <c r="D150" s="6" t="n"/>
      <c r="E150" s="6" t="n"/>
      <c r="F150" s="6" t="n"/>
      <c r="G150" s="6" t="n"/>
      <c r="H150" s="6" t="n"/>
      <c r="I150" s="6" t="n"/>
      <c r="J150" s="6" t="inlineStr">
        <is>
          <t>TOTAL INSURANCE</t>
        </is>
      </c>
      <c r="K150" s="6" t="n"/>
      <c r="L150" s="6" t="n"/>
      <c r="M150" s="6" t="n"/>
      <c r="N150" s="6" t="n"/>
      <c r="O150" s="6" t="n"/>
      <c r="P150" s="7" t="n">
        <v>0</v>
      </c>
      <c r="Q150" s="7"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row>
    <row r="151">
      <c r="A151" s="6" t="n"/>
      <c r="B151" s="6" t="n"/>
      <c r="C151" s="6" t="n"/>
      <c r="D151" s="6" t="n"/>
      <c r="E151" s="6" t="n"/>
      <c r="F151" s="6" t="n"/>
      <c r="G151" s="6" t="n"/>
      <c r="H151" s="6" t="n"/>
      <c r="I151" s="6" t="n"/>
      <c r="J151" s="6" t="inlineStr">
        <is>
          <t>TOTAL OTHER COST</t>
        </is>
      </c>
      <c r="K151" s="6" t="n"/>
      <c r="L151" s="6" t="n"/>
      <c r="M151" s="6" t="n"/>
      <c r="N151" s="6" t="n"/>
      <c r="O151" s="6" t="n"/>
      <c r="P151" s="7" t="n">
        <v>0</v>
      </c>
      <c r="Q151" s="7"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row>
    <row r="152">
      <c r="A152" s="6" t="n"/>
      <c r="B152" s="6" t="n"/>
      <c r="C152" s="6" t="n"/>
      <c r="D152" s="6" t="n"/>
      <c r="E152" s="6" t="n"/>
      <c r="F152" s="6" t="n"/>
      <c r="G152" s="6" t="n"/>
      <c r="H152" s="6" t="n"/>
      <c r="I152" s="6" t="n"/>
      <c r="J152" s="6" t="inlineStr">
        <is>
          <t>TOTAL DEDUCTION</t>
        </is>
      </c>
      <c r="K152" s="6" t="n"/>
      <c r="L152" s="6" t="n"/>
      <c r="M152" s="6" t="n"/>
      <c r="N152" s="6" t="n"/>
      <c r="O152" s="6" t="n"/>
      <c r="P152" s="7" t="n">
        <v>0</v>
      </c>
      <c r="Q152" s="7"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row>
    <row r="153">
      <c r="A153" s="6" t="n"/>
      <c r="B153" s="6" t="n"/>
      <c r="C153" s="6" t="n"/>
      <c r="D153" s="6" t="n"/>
      <c r="E153" s="6" t="n"/>
      <c r="F153" s="6" t="n"/>
      <c r="G153" s="6" t="n"/>
      <c r="H153" s="6" t="n"/>
      <c r="I153" s="6" t="n"/>
      <c r="J153" s="6" t="inlineStr">
        <is>
          <t>ADJUSTMENTS</t>
        </is>
      </c>
      <c r="K153" s="6" t="n"/>
      <c r="L153" s="6" t="n"/>
      <c r="M153" s="6" t="n"/>
      <c r="N153" s="6" t="n"/>
      <c r="O153" s="6" t="n"/>
      <c r="P153" s="7">
        <f>(T143+U143+V143-W143)</f>
        <v/>
      </c>
      <c r="Q153" s="7">
        <f>(T143+U143+V143-W143)</f>
        <v/>
      </c>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row>
    <row r="154"/>
    <row r="155">
      <c r="A155" s="6" t="n"/>
      <c r="B155" s="6" t="n"/>
      <c r="C155" s="6" t="n"/>
      <c r="D155" s="6" t="n"/>
      <c r="E155" s="6" t="n"/>
      <c r="F155" s="6" t="n"/>
      <c r="G155" s="6" t="n"/>
      <c r="H155" s="6" t="n"/>
      <c r="I155" s="6" t="n"/>
      <c r="J155" s="6" t="inlineStr">
        <is>
          <t>NET TOTAL</t>
        </is>
      </c>
      <c r="K155" s="6" t="n"/>
      <c r="L155" s="6" t="n"/>
      <c r="M155" s="6" t="n"/>
      <c r="N155" s="6" t="n"/>
      <c r="O155" s="6" t="n"/>
      <c r="P155" s="7">
        <f>P145+P153</f>
        <v/>
      </c>
      <c r="Q155" s="7">
        <f>Q145+Q153</f>
        <v/>
      </c>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row>
    <row r="156">
      <c r="A156" s="6" t="n"/>
      <c r="B156" s="6" t="n"/>
      <c r="C156" s="6" t="n"/>
      <c r="D156" s="6" t="n"/>
      <c r="E156" s="6" t="n"/>
      <c r="F156" s="6" t="n"/>
      <c r="G156" s="6" t="n"/>
      <c r="H156" s="6" t="n"/>
      <c r="I156" s="6" t="n"/>
      <c r="J156" s="6" t="inlineStr">
        <is>
          <t>INVOICE TOTAL</t>
        </is>
      </c>
      <c r="K156" s="6" t="n"/>
      <c r="L156" s="6" t="n"/>
      <c r="M156" s="6" t="n"/>
      <c r="N156" s="6" t="n"/>
      <c r="O156" s="6" t="n"/>
      <c r="P156" s="7">
        <f>S143</f>
        <v/>
      </c>
      <c r="Q156" s="7"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row>
    <row r="157"/>
    <row r="158">
      <c r="A158" s="10" t="n"/>
      <c r="B158" s="10" t="n"/>
      <c r="C158" s="10" t="n"/>
      <c r="D158" s="10" t="n"/>
      <c r="E158" s="10" t="n"/>
      <c r="F158" s="10" t="n"/>
      <c r="G158" s="10" t="n"/>
      <c r="H158" s="10" t="n"/>
      <c r="I158" s="10" t="n"/>
      <c r="J158" s="10" t="inlineStr">
        <is>
          <t>VARIANCE CHECK</t>
        </is>
      </c>
      <c r="K158" s="10" t="n"/>
      <c r="L158" s="10" t="n"/>
      <c r="M158" s="10" t="n"/>
      <c r="N158" s="10" t="n"/>
      <c r="O158" s="10" t="n"/>
      <c r="P158" s="11">
        <f>S143-P155</f>
        <v/>
      </c>
      <c r="Q158" s="11">
        <f>S143-Q155</f>
        <v/>
      </c>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row>
    <row r="159"/>
    <row r="160">
      <c r="A160" s="12" t="n"/>
      <c r="B160" s="12" t="n"/>
      <c r="C160" s="12" t="n"/>
      <c r="D160" s="12" t="n"/>
      <c r="E160" s="12" t="n"/>
      <c r="F160" s="12" t="n"/>
      <c r="G160" s="12" t="n"/>
      <c r="H160" s="12" t="n"/>
      <c r="I160" s="12" t="n"/>
      <c r="J160" s="13" t="inlineStr">
        <is>
          <t>INVOICE NOTES: Invoice total uncertain</t>
        </is>
      </c>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row>
    <row r="161"/>
    <row r="162">
      <c r="A162" s="14" t="n"/>
      <c r="B162" s="14" t="n"/>
      <c r="C162" s="14" t="n"/>
      <c r="D162" s="14" t="n"/>
      <c r="E162" s="14" t="n"/>
      <c r="F162" s="14" t="n"/>
      <c r="G162" s="14" t="n"/>
      <c r="H162" s="14" t="n"/>
      <c r="I162" s="14" t="n"/>
      <c r="J162" s="14" t="inlineStr">
        <is>
          <t>DUTY ESTIMATION (Classification Cross-Check)</t>
        </is>
      </c>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row>
    <row r="163">
      <c r="A163" s="15" t="n"/>
      <c r="B163" s="15" t="n"/>
      <c r="C163" s="15" t="n"/>
      <c r="D163" s="15" t="n"/>
      <c r="E163" s="15" t="n"/>
      <c r="F163" s="15" t="n"/>
      <c r="G163" s="15" t="n"/>
      <c r="H163" s="15" t="n"/>
      <c r="I163" s="15" t="n"/>
      <c r="J163" s="16" t="inlineStr">
        <is>
          <t>CIF (USD) = InvTotal + Freight + Insurance</t>
        </is>
      </c>
      <c r="K163" s="15" t="n"/>
      <c r="L163" s="15" t="n"/>
      <c r="M163" s="15" t="n"/>
      <c r="N163" s="15" t="n"/>
      <c r="O163" s="15" t="n"/>
      <c r="P163" s="17" t="n">
        <v>11.28</v>
      </c>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row>
    <row r="164">
      <c r="A164" s="15" t="n"/>
      <c r="B164" s="15" t="n"/>
      <c r="C164" s="15" t="n"/>
      <c r="D164" s="15" t="n"/>
      <c r="E164" s="15" t="n"/>
      <c r="F164" s="15" t="n"/>
      <c r="G164" s="15" t="n"/>
      <c r="H164" s="15" t="n"/>
      <c r="I164" s="15" t="n"/>
      <c r="J164" s="16" t="inlineStr">
        <is>
          <t>CIF (XCD) = CIF × 2.7169</t>
        </is>
      </c>
      <c r="K164" s="15" t="n"/>
      <c r="L164" s="15" t="n"/>
      <c r="M164" s="15" t="n"/>
      <c r="N164" s="15" t="n"/>
      <c r="O164" s="15" t="n"/>
      <c r="P164" s="17" t="n">
        <v>30.65</v>
      </c>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row>
    <row r="165">
      <c r="A165" s="15" t="n"/>
      <c r="B165" s="15" t="n"/>
      <c r="C165" s="15" t="n"/>
      <c r="D165" s="15" t="n"/>
      <c r="E165" s="15" t="n"/>
      <c r="F165" s="15" t="n"/>
      <c r="G165" s="15" t="n"/>
      <c r="H165" s="15" t="n"/>
      <c r="I165" s="15" t="n"/>
      <c r="J165" s="16" t="inlineStr">
        <is>
          <t>CET (20%) — Tariff 64041990</t>
        </is>
      </c>
      <c r="K165" s="15" t="n"/>
      <c r="L165" s="15" t="n"/>
      <c r="M165" s="15" t="n"/>
      <c r="N165" s="15" t="n"/>
      <c r="O165" s="15" t="n"/>
      <c r="P165" s="17" t="n">
        <v>6.13</v>
      </c>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row>
    <row r="166">
      <c r="A166" s="15" t="n"/>
      <c r="B166" s="15" t="n"/>
      <c r="C166" s="15" t="n"/>
      <c r="D166" s="15" t="n"/>
      <c r="E166" s="15" t="n"/>
      <c r="F166" s="15" t="n"/>
      <c r="G166" s="15" t="n"/>
      <c r="H166" s="15" t="n"/>
      <c r="I166" s="15" t="n"/>
      <c r="J166" s="16" t="inlineStr">
        <is>
          <t>CSC (6%)</t>
        </is>
      </c>
      <c r="K166" s="15" t="n"/>
      <c r="L166" s="15" t="n"/>
      <c r="M166" s="15" t="n"/>
      <c r="N166" s="15" t="n"/>
      <c r="O166" s="15" t="n"/>
      <c r="P166" s="17" t="n">
        <v>1.84</v>
      </c>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row>
    <row r="167">
      <c r="A167" s="15" t="n"/>
      <c r="B167" s="15" t="n"/>
      <c r="C167" s="15" t="n"/>
      <c r="D167" s="15" t="n"/>
      <c r="E167" s="15" t="n"/>
      <c r="F167" s="15" t="n"/>
      <c r="G167" s="15" t="n"/>
      <c r="H167" s="15" t="n"/>
      <c r="I167" s="15" t="n"/>
      <c r="J167" s="16" t="inlineStr">
        <is>
          <t>VAT (15%) on CIF+CET+CSC</t>
        </is>
      </c>
      <c r="K167" s="15" t="n"/>
      <c r="L167" s="15" t="n"/>
      <c r="M167" s="15" t="n"/>
      <c r="N167" s="15" t="n"/>
      <c r="O167" s="15" t="n"/>
      <c r="P167" s="17" t="n">
        <v>5.79</v>
      </c>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row>
    <row r="168">
      <c r="A168" s="18" t="n"/>
      <c r="B168" s="18" t="n"/>
      <c r="C168" s="18" t="n"/>
      <c r="D168" s="18" t="n"/>
      <c r="E168" s="18" t="n"/>
      <c r="F168" s="18" t="n"/>
      <c r="G168" s="18" t="n"/>
      <c r="H168" s="18" t="n"/>
      <c r="I168" s="18" t="n"/>
      <c r="J168" s="14" t="inlineStr">
        <is>
          <t>ESTIMATED TOTAL DUTIES</t>
        </is>
      </c>
      <c r="K168" s="18" t="n"/>
      <c r="L168" s="18" t="n"/>
      <c r="M168" s="18" t="n"/>
      <c r="N168" s="18" t="n"/>
      <c r="O168" s="18" t="n"/>
      <c r="P168" s="19" t="n">
        <v>13.76</v>
      </c>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c r="AJ168" s="18" t="n"/>
      <c r="AK168" s="18" t="n"/>
    </row>
    <row r="169">
      <c r="A169" s="15" t="n"/>
      <c r="B169" s="15" t="n"/>
      <c r="C169" s="15" t="n"/>
      <c r="D169" s="15" t="n"/>
      <c r="E169" s="15" t="n"/>
      <c r="F169" s="15" t="n"/>
      <c r="G169" s="15" t="n"/>
      <c r="H169" s="15" t="n"/>
      <c r="I169" s="15" t="n"/>
      <c r="J169" s="16" t="inlineStr">
        <is>
          <t>Effective Duty Rate</t>
        </is>
      </c>
      <c r="K169" s="15" t="n"/>
      <c r="L169" s="15" t="n"/>
      <c r="M169" s="15" t="n"/>
      <c r="N169" s="15" t="n"/>
      <c r="O169" s="15" t="n"/>
      <c r="P169" s="20" t="n">
        <v>0.4489396411092986</v>
      </c>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c r="AA170" s="21" t="n"/>
      <c r="AB170" s="21" t="n"/>
      <c r="AC170" s="21" t="n"/>
      <c r="AD170" s="21" t="n"/>
      <c r="AE170" s="21" t="n"/>
      <c r="AF170" s="21" t="n"/>
      <c r="AG170" s="21" t="n"/>
      <c r="AH170" s="21" t="n"/>
      <c r="AI170" s="21" t="n"/>
      <c r="AJ170" s="21" t="n"/>
      <c r="AK170" s="21" t="n"/>
    </row>
    <row r="171">
      <c r="A171" s="2" t="inlineStr">
        <is>
          <t>4000-000</t>
        </is>
      </c>
      <c r="B171" s="2" t="n"/>
      <c r="C171" s="2" t="inlineStr">
        <is>
          <t>GSUNJY57BOONGXE_Invoice_7</t>
        </is>
      </c>
      <c r="D171" s="2" t="n"/>
      <c r="E171" s="2" t="inlineStr">
        <is>
          <t>Miscellaneous</t>
        </is>
      </c>
      <c r="F171" s="2" t="inlineStr">
        <is>
          <t>99999999</t>
        </is>
      </c>
      <c r="G171" s="2" t="n"/>
      <c r="H171" s="2" t="n"/>
      <c r="I171" s="2" t="inlineStr">
        <is>
          <t>99999999</t>
        </is>
      </c>
      <c r="J171" s="2" t="inlineStr">
        <is>
          <t>SHEIN US Services, LLC Purchase (1 items)</t>
        </is>
      </c>
      <c r="K171" s="2" t="n">
        <v>1</v>
      </c>
      <c r="L171" s="2" t="n"/>
      <c r="M171" s="2" t="n"/>
      <c r="N171" s="2" t="inlineStr">
        <is>
          <t>USD</t>
        </is>
      </c>
      <c r="O171" s="3" t="n">
        <v>0.01</v>
      </c>
      <c r="P171" s="3" t="n">
        <v>0.01</v>
      </c>
      <c r="Q171" s="3">
        <f>O171*K171</f>
        <v/>
      </c>
      <c r="R171" s="3">
        <f>P171-Q171</f>
        <v/>
      </c>
      <c r="S171" s="3" t="n">
        <v>0.01</v>
      </c>
      <c r="T171" s="3" t="n">
        <v>0</v>
      </c>
      <c r="U171" s="3" t="n">
        <v>0</v>
      </c>
      <c r="V171" s="3" t="n">
        <v>0</v>
      </c>
      <c r="W171" s="3" t="n">
        <v>0</v>
      </c>
      <c r="X171" s="2" t="n"/>
      <c r="Y171" s="2" t="n"/>
      <c r="Z171" s="2" t="inlineStr">
        <is>
          <t>SHEIN</t>
        </is>
      </c>
      <c r="AA171" s="2" t="inlineStr">
        <is>
          <t>SHEIN US Services, LLC</t>
        </is>
      </c>
      <c r="AB171" s="2" t="inlineStr">
        <is>
          <t>777 S. Alameda St., Second Floor, Los Angeles, CA 90021</t>
        </is>
      </c>
      <c r="AC171" s="2" t="inlineStr">
        <is>
          <t>US</t>
        </is>
      </c>
      <c r="AD171" s="2" t="n"/>
      <c r="AE171" s="2" t="n"/>
      <c r="AF171" s="2" t="n"/>
      <c r="AG171" s="2" t="n"/>
      <c r="AH171" s="2" t="n"/>
      <c r="AI171" s="2" t="n"/>
      <c r="AJ171" s="2" t="n"/>
      <c r="AK171" s="2" t="inlineStr">
        <is>
          <t>99999999</t>
        </is>
      </c>
    </row>
    <row r="172">
      <c r="A172" s="4" t="n"/>
      <c r="B172" s="4" t="n"/>
      <c r="C172" s="4" t="n"/>
      <c r="D172" s="4" t="n"/>
      <c r="E172" s="4" t="n"/>
      <c r="F172" s="4" t="inlineStr">
        <is>
          <t>99999999</t>
        </is>
      </c>
      <c r="G172" s="4" t="n"/>
      <c r="H172" s="4" t="n"/>
      <c r="I172" s="4" t="inlineStr">
        <is>
          <t>SHE-1</t>
        </is>
      </c>
      <c r="J172" s="4" t="inlineStr">
        <is>
          <t>SHEIN US Services, LLC Purchase</t>
        </is>
      </c>
      <c r="K172" s="4" t="n">
        <v>1</v>
      </c>
      <c r="L172" s="4" t="n"/>
      <c r="M172" s="4" t="n"/>
      <c r="N172" s="4" t="inlineStr">
        <is>
          <t>USD</t>
        </is>
      </c>
      <c r="O172" s="5" t="n">
        <v>0.01</v>
      </c>
      <c r="P172" s="5" t="n">
        <v>0.01</v>
      </c>
      <c r="Q172" s="5">
        <f>O172*K172</f>
        <v/>
      </c>
      <c r="R172" s="5">
        <f>P172-Q172</f>
        <v/>
      </c>
      <c r="S172" s="4" t="n"/>
      <c r="T172" s="4" t="n"/>
      <c r="U172" s="4" t="n"/>
      <c r="V172" s="4" t="n"/>
      <c r="W172" s="4" t="n"/>
      <c r="X172" s="4" t="n"/>
      <c r="Y172" s="4" t="n"/>
      <c r="Z172" s="4" t="n"/>
      <c r="AA172" s="4" t="n"/>
      <c r="AB172" s="4" t="n"/>
      <c r="AC172" s="4" t="n"/>
      <c r="AD172" s="4" t="n"/>
      <c r="AE172" s="4" t="n"/>
      <c r="AF172" s="4" t="n"/>
      <c r="AG172" s="4" t="n"/>
      <c r="AH172" s="4" t="n"/>
      <c r="AI172" s="4" t="n"/>
      <c r="AJ172" s="4" t="n"/>
      <c r="AK172" s="4" t="n"/>
    </row>
    <row r="173">
      <c r="A173" s="6" t="n"/>
      <c r="B173" s="6" t="n"/>
      <c r="C173" s="6" t="n"/>
      <c r="D173" s="6" t="n"/>
      <c r="E173" s="6" t="n"/>
      <c r="F173" s="6" t="n"/>
      <c r="G173" s="6" t="n"/>
      <c r="H173" s="6" t="n"/>
      <c r="I173" s="6" t="n"/>
      <c r="J173" s="6" t="inlineStr">
        <is>
          <t>SUBTOTAL (GROUPED)</t>
        </is>
      </c>
      <c r="K173" s="6" t="n"/>
      <c r="L173" s="6" t="n"/>
      <c r="M173" s="6" t="n"/>
      <c r="N173" s="6" t="n"/>
      <c r="O173" s="6" t="n"/>
      <c r="P173" s="7">
        <f>P171</f>
        <v/>
      </c>
      <c r="Q173" s="7">
        <f>Q171</f>
        <v/>
      </c>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row>
    <row r="174">
      <c r="A174" s="6" t="n"/>
      <c r="B174" s="6" t="n"/>
      <c r="C174" s="6" t="n"/>
      <c r="D174" s="6" t="n"/>
      <c r="E174" s="6" t="n"/>
      <c r="F174" s="6" t="n"/>
      <c r="G174" s="6" t="n"/>
      <c r="H174" s="6" t="n"/>
      <c r="I174" s="6" t="n"/>
      <c r="J174" s="6" t="inlineStr">
        <is>
          <t>SUBTOTAL (DETAILS)</t>
        </is>
      </c>
      <c r="K174" s="6" t="n"/>
      <c r="L174" s="6" t="n"/>
      <c r="M174" s="6" t="n"/>
      <c r="N174" s="6" t="n"/>
      <c r="O174" s="6" t="n"/>
      <c r="P174" s="7">
        <f>SUM(P171:P172)-P173</f>
        <v/>
      </c>
      <c r="Q174" s="7">
        <f>SUM(Q171:Q172)-Q173</f>
        <v/>
      </c>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row>
    <row r="175">
      <c r="A175" s="8" t="n"/>
      <c r="B175" s="8" t="n"/>
      <c r="C175" s="8" t="n"/>
      <c r="D175" s="8" t="n"/>
      <c r="E175" s="8" t="n"/>
      <c r="F175" s="8" t="n"/>
      <c r="G175" s="8" t="n"/>
      <c r="H175" s="8" t="n"/>
      <c r="I175" s="8" t="n"/>
      <c r="J175" s="8" t="inlineStr">
        <is>
          <t>GROUP VERIFICATION</t>
        </is>
      </c>
      <c r="K175" s="8" t="n"/>
      <c r="L175" s="8" t="n"/>
      <c r="M175" s="8" t="n"/>
      <c r="N175" s="8" t="n"/>
      <c r="O175" s="8" t="n"/>
      <c r="P175" s="9">
        <f>P173-P174</f>
        <v/>
      </c>
      <c r="Q175" s="9">
        <f>Q173-Q174</f>
        <v/>
      </c>
      <c r="R175" s="8" t="n"/>
      <c r="S175" s="8" t="n"/>
      <c r="T175" s="8" t="n"/>
      <c r="U175" s="8" t="n"/>
      <c r="V175" s="8" t="n"/>
      <c r="W175" s="8" t="n"/>
      <c r="X175" s="8" t="n"/>
      <c r="Y175" s="8" t="n"/>
      <c r="Z175" s="8" t="n"/>
      <c r="AA175" s="8" t="n"/>
      <c r="AB175" s="8" t="n"/>
      <c r="AC175" s="8" t="n"/>
      <c r="AD175" s="8" t="n"/>
      <c r="AE175" s="8" t="n"/>
      <c r="AF175" s="8" t="n"/>
      <c r="AG175" s="8" t="n"/>
      <c r="AH175" s="8" t="n"/>
      <c r="AI175" s="8" t="n"/>
      <c r="AJ175" s="8" t="n"/>
      <c r="AK175" s="8" t="n"/>
    </row>
    <row r="176"/>
    <row r="177">
      <c r="A177" s="6" t="n"/>
      <c r="B177" s="6" t="n"/>
      <c r="C177" s="6" t="n"/>
      <c r="D177" s="6" t="n"/>
      <c r="E177" s="6" t="n"/>
      <c r="F177" s="6" t="n"/>
      <c r="G177" s="6" t="n"/>
      <c r="H177" s="6" t="n"/>
      <c r="I177" s="6" t="n"/>
      <c r="J177" s="6" t="inlineStr">
        <is>
          <t>TOTAL INTERNAL FREIGHT</t>
        </is>
      </c>
      <c r="K177" s="6" t="n"/>
      <c r="L177" s="6" t="n"/>
      <c r="M177" s="6" t="n"/>
      <c r="N177" s="6" t="n"/>
      <c r="O177" s="6" t="n"/>
      <c r="P177" s="7" t="n">
        <v>0</v>
      </c>
      <c r="Q177" s="7"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row>
    <row r="178">
      <c r="A178" s="6" t="n"/>
      <c r="B178" s="6" t="n"/>
      <c r="C178" s="6" t="n"/>
      <c r="D178" s="6" t="n"/>
      <c r="E178" s="6" t="n"/>
      <c r="F178" s="6" t="n"/>
      <c r="G178" s="6" t="n"/>
      <c r="H178" s="6" t="n"/>
      <c r="I178" s="6" t="n"/>
      <c r="J178" s="6" t="inlineStr">
        <is>
          <t>TOTAL INSURANCE</t>
        </is>
      </c>
      <c r="K178" s="6" t="n"/>
      <c r="L178" s="6" t="n"/>
      <c r="M178" s="6" t="n"/>
      <c r="N178" s="6" t="n"/>
      <c r="O178" s="6" t="n"/>
      <c r="P178" s="7" t="n">
        <v>0</v>
      </c>
      <c r="Q178" s="7"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row>
    <row r="179">
      <c r="A179" s="6" t="n"/>
      <c r="B179" s="6" t="n"/>
      <c r="C179" s="6" t="n"/>
      <c r="D179" s="6" t="n"/>
      <c r="E179" s="6" t="n"/>
      <c r="F179" s="6" t="n"/>
      <c r="G179" s="6" t="n"/>
      <c r="H179" s="6" t="n"/>
      <c r="I179" s="6" t="n"/>
      <c r="J179" s="6" t="inlineStr">
        <is>
          <t>TOTAL OTHER COST</t>
        </is>
      </c>
      <c r="K179" s="6" t="n"/>
      <c r="L179" s="6" t="n"/>
      <c r="M179" s="6" t="n"/>
      <c r="N179" s="6" t="n"/>
      <c r="O179" s="6" t="n"/>
      <c r="P179" s="7" t="n">
        <v>0</v>
      </c>
      <c r="Q179" s="7"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row>
    <row r="180">
      <c r="A180" s="6" t="n"/>
      <c r="B180" s="6" t="n"/>
      <c r="C180" s="6" t="n"/>
      <c r="D180" s="6" t="n"/>
      <c r="E180" s="6" t="n"/>
      <c r="F180" s="6" t="n"/>
      <c r="G180" s="6" t="n"/>
      <c r="H180" s="6" t="n"/>
      <c r="I180" s="6" t="n"/>
      <c r="J180" s="6" t="inlineStr">
        <is>
          <t>TOTAL DEDUCTION</t>
        </is>
      </c>
      <c r="K180" s="6" t="n"/>
      <c r="L180" s="6" t="n"/>
      <c r="M180" s="6" t="n"/>
      <c r="N180" s="6" t="n"/>
      <c r="O180" s="6" t="n"/>
      <c r="P180" s="7" t="n">
        <v>0</v>
      </c>
      <c r="Q180" s="7"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row>
    <row r="181">
      <c r="A181" s="6" t="n"/>
      <c r="B181" s="6" t="n"/>
      <c r="C181" s="6" t="n"/>
      <c r="D181" s="6" t="n"/>
      <c r="E181" s="6" t="n"/>
      <c r="F181" s="6" t="n"/>
      <c r="G181" s="6" t="n"/>
      <c r="H181" s="6" t="n"/>
      <c r="I181" s="6" t="n"/>
      <c r="J181" s="6" t="inlineStr">
        <is>
          <t>ADJUSTMENTS</t>
        </is>
      </c>
      <c r="K181" s="6" t="n"/>
      <c r="L181" s="6" t="n"/>
      <c r="M181" s="6" t="n"/>
      <c r="N181" s="6" t="n"/>
      <c r="O181" s="6" t="n"/>
      <c r="P181" s="7">
        <f>(T171+U171+V171-W171)</f>
        <v/>
      </c>
      <c r="Q181" s="7">
        <f>(T171+U171+V171-W171)</f>
        <v/>
      </c>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row>
    <row r="182"/>
    <row r="183">
      <c r="A183" s="6" t="n"/>
      <c r="B183" s="6" t="n"/>
      <c r="C183" s="6" t="n"/>
      <c r="D183" s="6" t="n"/>
      <c r="E183" s="6" t="n"/>
      <c r="F183" s="6" t="n"/>
      <c r="G183" s="6" t="n"/>
      <c r="H183" s="6" t="n"/>
      <c r="I183" s="6" t="n"/>
      <c r="J183" s="6" t="inlineStr">
        <is>
          <t>NET TOTAL</t>
        </is>
      </c>
      <c r="K183" s="6" t="n"/>
      <c r="L183" s="6" t="n"/>
      <c r="M183" s="6" t="n"/>
      <c r="N183" s="6" t="n"/>
      <c r="O183" s="6" t="n"/>
      <c r="P183" s="7">
        <f>P173+P181</f>
        <v/>
      </c>
      <c r="Q183" s="7">
        <f>Q173+Q181</f>
        <v/>
      </c>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row>
    <row r="184">
      <c r="A184" s="6" t="n"/>
      <c r="B184" s="6" t="n"/>
      <c r="C184" s="6" t="n"/>
      <c r="D184" s="6" t="n"/>
      <c r="E184" s="6" t="n"/>
      <c r="F184" s="6" t="n"/>
      <c r="G184" s="6" t="n"/>
      <c r="H184" s="6" t="n"/>
      <c r="I184" s="6" t="n"/>
      <c r="J184" s="6" t="inlineStr">
        <is>
          <t>INVOICE TOTAL</t>
        </is>
      </c>
      <c r="K184" s="6" t="n"/>
      <c r="L184" s="6" t="n"/>
      <c r="M184" s="6" t="n"/>
      <c r="N184" s="6" t="n"/>
      <c r="O184" s="6" t="n"/>
      <c r="P184" s="7">
        <f>S171</f>
        <v/>
      </c>
      <c r="Q184" s="7"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row>
    <row r="185"/>
    <row r="186">
      <c r="A186" s="10" t="n"/>
      <c r="B186" s="10" t="n"/>
      <c r="C186" s="10" t="n"/>
      <c r="D186" s="10" t="n"/>
      <c r="E186" s="10" t="n"/>
      <c r="F186" s="10" t="n"/>
      <c r="G186" s="10" t="n"/>
      <c r="H186" s="10" t="n"/>
      <c r="I186" s="10" t="n"/>
      <c r="J186" s="10" t="inlineStr">
        <is>
          <t>VARIANCE CHECK</t>
        </is>
      </c>
      <c r="K186" s="10" t="n"/>
      <c r="L186" s="10" t="n"/>
      <c r="M186" s="10" t="n"/>
      <c r="N186" s="10" t="n"/>
      <c r="O186" s="10" t="n"/>
      <c r="P186" s="11">
        <f>S171-P183</f>
        <v/>
      </c>
      <c r="Q186" s="11">
        <f>S171-Q183</f>
        <v/>
      </c>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row>
    <row r="187"/>
    <row r="188">
      <c r="A188" s="14" t="n"/>
      <c r="B188" s="14" t="n"/>
      <c r="C188" s="14" t="n"/>
      <c r="D188" s="14" t="n"/>
      <c r="E188" s="14" t="n"/>
      <c r="F188" s="14" t="n"/>
      <c r="G188" s="14" t="n"/>
      <c r="H188" s="14" t="n"/>
      <c r="I188" s="14" t="n"/>
      <c r="J188" s="14" t="inlineStr">
        <is>
          <t>DUTY ESTIMATION (Classification Cross-Check)</t>
        </is>
      </c>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row>
    <row r="189">
      <c r="A189" s="15" t="n"/>
      <c r="B189" s="15" t="n"/>
      <c r="C189" s="15" t="n"/>
      <c r="D189" s="15" t="n"/>
      <c r="E189" s="15" t="n"/>
      <c r="F189" s="15" t="n"/>
      <c r="G189" s="15" t="n"/>
      <c r="H189" s="15" t="n"/>
      <c r="I189" s="15" t="n"/>
      <c r="J189" s="16" t="inlineStr">
        <is>
          <t>CIF (USD) = InvTotal + Freight + Insurance</t>
        </is>
      </c>
      <c r="K189" s="15" t="n"/>
      <c r="L189" s="15" t="n"/>
      <c r="M189" s="15" t="n"/>
      <c r="N189" s="15" t="n"/>
      <c r="O189" s="15" t="n"/>
      <c r="P189" s="17" t="n">
        <v>0.01</v>
      </c>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row>
    <row r="190">
      <c r="A190" s="15" t="n"/>
      <c r="B190" s="15" t="n"/>
      <c r="C190" s="15" t="n"/>
      <c r="D190" s="15" t="n"/>
      <c r="E190" s="15" t="n"/>
      <c r="F190" s="15" t="n"/>
      <c r="G190" s="15" t="n"/>
      <c r="H190" s="15" t="n"/>
      <c r="I190" s="15" t="n"/>
      <c r="J190" s="16" t="inlineStr">
        <is>
          <t>CIF (XCD) = CIF × 2.7169</t>
        </is>
      </c>
      <c r="K190" s="15" t="n"/>
      <c r="L190" s="15" t="n"/>
      <c r="M190" s="15" t="n"/>
      <c r="N190" s="15" t="n"/>
      <c r="O190" s="15" t="n"/>
      <c r="P190" s="17" t="n">
        <v>0.03</v>
      </c>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row>
    <row r="191">
      <c r="A191" s="15" t="n"/>
      <c r="B191" s="15" t="n"/>
      <c r="C191" s="15" t="n"/>
      <c r="D191" s="15" t="n"/>
      <c r="E191" s="15" t="n"/>
      <c r="F191" s="15" t="n"/>
      <c r="G191" s="15" t="n"/>
      <c r="H191" s="15" t="n"/>
      <c r="I191" s="15" t="n"/>
      <c r="J191" s="16" t="inlineStr">
        <is>
          <t>CET (20%) — Tariff 99999999</t>
        </is>
      </c>
      <c r="K191" s="15" t="n"/>
      <c r="L191" s="15" t="n"/>
      <c r="M191" s="15" t="n"/>
      <c r="N191" s="15" t="n"/>
      <c r="O191" s="15" t="n"/>
      <c r="P191" s="17" t="n">
        <v>0.01</v>
      </c>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row>
    <row r="192">
      <c r="A192" s="15" t="n"/>
      <c r="B192" s="15" t="n"/>
      <c r="C192" s="15" t="n"/>
      <c r="D192" s="15" t="n"/>
      <c r="E192" s="15" t="n"/>
      <c r="F192" s="15" t="n"/>
      <c r="G192" s="15" t="n"/>
      <c r="H192" s="15" t="n"/>
      <c r="I192" s="15" t="n"/>
      <c r="J192" s="16" t="inlineStr">
        <is>
          <t>CSC (6%)</t>
        </is>
      </c>
      <c r="K192" s="15" t="n"/>
      <c r="L192" s="15" t="n"/>
      <c r="M192" s="15" t="n"/>
      <c r="N192" s="15" t="n"/>
      <c r="O192" s="15" t="n"/>
      <c r="P192" s="17" t="n">
        <v>0</v>
      </c>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row>
    <row r="193">
      <c r="A193" s="15" t="n"/>
      <c r="B193" s="15" t="n"/>
      <c r="C193" s="15" t="n"/>
      <c r="D193" s="15" t="n"/>
      <c r="E193" s="15" t="n"/>
      <c r="F193" s="15" t="n"/>
      <c r="G193" s="15" t="n"/>
      <c r="H193" s="15" t="n"/>
      <c r="I193" s="15" t="n"/>
      <c r="J193" s="16" t="inlineStr">
        <is>
          <t>VAT (15%) on CIF+CET+CSC</t>
        </is>
      </c>
      <c r="K193" s="15" t="n"/>
      <c r="L193" s="15" t="n"/>
      <c r="M193" s="15" t="n"/>
      <c r="N193" s="15" t="n"/>
      <c r="O193" s="15" t="n"/>
      <c r="P193" s="17" t="n">
        <v>0.01</v>
      </c>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row>
    <row r="194">
      <c r="A194" s="18" t="n"/>
      <c r="B194" s="18" t="n"/>
      <c r="C194" s="18" t="n"/>
      <c r="D194" s="18" t="n"/>
      <c r="E194" s="18" t="n"/>
      <c r="F194" s="18" t="n"/>
      <c r="G194" s="18" t="n"/>
      <c r="H194" s="18" t="n"/>
      <c r="I194" s="18" t="n"/>
      <c r="J194" s="14" t="inlineStr">
        <is>
          <t>ESTIMATED TOTAL DUTIES</t>
        </is>
      </c>
      <c r="K194" s="18" t="n"/>
      <c r="L194" s="18" t="n"/>
      <c r="M194" s="18" t="n"/>
      <c r="N194" s="18" t="n"/>
      <c r="O194" s="18" t="n"/>
      <c r="P194" s="19" t="n">
        <v>0.02</v>
      </c>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c r="AJ194" s="18" t="n"/>
      <c r="AK194" s="18" t="n"/>
    </row>
    <row r="195">
      <c r="A195" s="15" t="n"/>
      <c r="B195" s="15" t="n"/>
      <c r="C195" s="15" t="n"/>
      <c r="D195" s="15" t="n"/>
      <c r="E195" s="15" t="n"/>
      <c r="F195" s="15" t="n"/>
      <c r="G195" s="15" t="n"/>
      <c r="H195" s="15" t="n"/>
      <c r="I195" s="15" t="n"/>
      <c r="J195" s="16" t="inlineStr">
        <is>
          <t>Effective Duty Rate</t>
        </is>
      </c>
      <c r="K195" s="15" t="n"/>
      <c r="L195" s="15" t="n"/>
      <c r="M195" s="15" t="n"/>
      <c r="N195" s="15" t="n"/>
      <c r="O195" s="15" t="n"/>
      <c r="P195" s="20" t="n">
        <v>0.6666666666666667</v>
      </c>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c r="AA196" s="21" t="n"/>
      <c r="AB196" s="21" t="n"/>
      <c r="AC196" s="21" t="n"/>
      <c r="AD196" s="21" t="n"/>
      <c r="AE196" s="21" t="n"/>
      <c r="AF196" s="21" t="n"/>
      <c r="AG196" s="21" t="n"/>
      <c r="AH196" s="21" t="n"/>
      <c r="AI196" s="21" t="n"/>
      <c r="AJ196" s="21" t="n"/>
      <c r="AK196" s="21" t="n"/>
    </row>
    <row r="197">
      <c r="A197" s="2" t="inlineStr">
        <is>
          <t>4000-000</t>
        </is>
      </c>
      <c r="B197" s="2" t="n"/>
      <c r="C197" s="2" t="inlineStr">
        <is>
          <t>GSUNJY57BOONGXE_Invoice_8</t>
        </is>
      </c>
      <c r="D197" s="2" t="n"/>
      <c r="E197" s="2" t="inlineStr">
        <is>
          <t>Trousers and shorts</t>
        </is>
      </c>
      <c r="F197" s="2" t="inlineStr">
        <is>
          <t>62046290</t>
        </is>
      </c>
      <c r="G197" s="2" t="n"/>
      <c r="H197" s="2" t="n"/>
      <c r="I197" s="2" t="inlineStr">
        <is>
          <t>62046290</t>
        </is>
      </c>
      <c r="J197" s="2" t="inlineStr">
        <is>
          <t>SFEIN ICON Flap Pocket Buckle Detail Denim Shorts (+1 more) (2 items)</t>
        </is>
      </c>
      <c r="K197" s="2" t="n">
        <v>2</v>
      </c>
      <c r="L197" s="2" t="n"/>
      <c r="M197" s="2" t="n"/>
      <c r="N197" s="2" t="inlineStr">
        <is>
          <t>USD</t>
        </is>
      </c>
      <c r="O197" s="3" t="n">
        <v>11.035</v>
      </c>
      <c r="P197" s="3" t="n">
        <v>22.07</v>
      </c>
      <c r="Q197" s="3">
        <f>O197*K197</f>
        <v/>
      </c>
      <c r="R197" s="3">
        <f>P197-Q197</f>
        <v/>
      </c>
      <c r="S197" s="3" t="n">
        <v>29.59</v>
      </c>
      <c r="T197" s="3" t="n">
        <v>0</v>
      </c>
      <c r="U197" s="3" t="n">
        <v>0</v>
      </c>
      <c r="V197" s="3" t="n">
        <v>0</v>
      </c>
      <c r="W197" s="3" t="n">
        <v>0</v>
      </c>
      <c r="X197" s="2" t="n"/>
      <c r="Y197" s="2" t="n"/>
      <c r="Z197" s="2" t="inlineStr">
        <is>
          <t>SHEIN</t>
        </is>
      </c>
      <c r="AA197" s="2" t="inlineStr">
        <is>
          <t>SHEIN US Services, LLC</t>
        </is>
      </c>
      <c r="AB197" s="2" t="inlineStr">
        <is>
          <t>777 S. Alameda St., Second Floor, Los Angeles, CA 90021</t>
        </is>
      </c>
      <c r="AC197" s="2" t="inlineStr">
        <is>
          <t>US</t>
        </is>
      </c>
      <c r="AD197" s="2" t="n"/>
      <c r="AE197" s="2" t="n"/>
      <c r="AF197" s="2" t="n"/>
      <c r="AG197" s="2" t="n"/>
      <c r="AH197" s="2" t="n"/>
      <c r="AI197" s="2" t="n"/>
      <c r="AJ197" s="2" t="n"/>
      <c r="AK197" s="2" t="inlineStr">
        <is>
          <t>62046290</t>
        </is>
      </c>
    </row>
    <row r="198">
      <c r="A198" s="4" t="n"/>
      <c r="B198" s="4" t="n"/>
      <c r="C198" s="4" t="n"/>
      <c r="D198" s="4" t="n"/>
      <c r="E198" s="4" t="n"/>
      <c r="F198" s="4" t="inlineStr">
        <is>
          <t>62046290</t>
        </is>
      </c>
      <c r="G198" s="4" t="n"/>
      <c r="H198" s="4" t="n"/>
      <c r="I198" s="4" t="inlineStr">
        <is>
          <t>SHEIN-1</t>
        </is>
      </c>
      <c r="J198" s="4" t="inlineStr">
        <is>
          <t>SFEIN ICON Flap Pocket Buckle Detail Denim Shorts</t>
        </is>
      </c>
      <c r="K198" s="4" t="n">
        <v>1</v>
      </c>
      <c r="L198" s="4" t="n"/>
      <c r="M198" s="4" t="n"/>
      <c r="N198" s="4" t="inlineStr">
        <is>
          <t>USD</t>
        </is>
      </c>
      <c r="O198" s="5" t="n">
        <v>12.69</v>
      </c>
      <c r="P198" s="5" t="n">
        <v>12.69</v>
      </c>
      <c r="Q198" s="5">
        <f>O198*K198</f>
        <v/>
      </c>
      <c r="R198" s="5">
        <f>P198-Q198</f>
        <v/>
      </c>
      <c r="S198" s="4" t="n"/>
      <c r="T198" s="4" t="n"/>
      <c r="U198" s="4" t="n"/>
      <c r="V198" s="4" t="n"/>
      <c r="W198" s="4" t="n"/>
      <c r="X198" s="4" t="n"/>
      <c r="Y198" s="4" t="n"/>
      <c r="Z198" s="4" t="n"/>
      <c r="AA198" s="4" t="n"/>
      <c r="AB198" s="4" t="n"/>
      <c r="AC198" s="4" t="n"/>
      <c r="AD198" s="4" t="n"/>
      <c r="AE198" s="4" t="n"/>
      <c r="AF198" s="4" t="n"/>
      <c r="AG198" s="4" t="n"/>
      <c r="AH198" s="4" t="n"/>
      <c r="AI198" s="4" t="n"/>
      <c r="AJ198" s="4" t="n"/>
      <c r="AK198" s="4" t="n"/>
    </row>
    <row r="199">
      <c r="A199" s="4" t="n"/>
      <c r="B199" s="4" t="n"/>
      <c r="C199" s="4" t="n"/>
      <c r="D199" s="4" t="n"/>
      <c r="E199" s="4" t="n"/>
      <c r="F199" s="4" t="inlineStr">
        <is>
          <t>62046290</t>
        </is>
      </c>
      <c r="G199" s="4" t="n"/>
      <c r="H199" s="4" t="n"/>
      <c r="I199" s="4" t="inlineStr">
        <is>
          <t>SHEIN-2</t>
        </is>
      </c>
      <c r="J199" s="4" t="inlineStr">
        <is>
          <t>pre ICON Solid PU Leather Pleated Skirt</t>
        </is>
      </c>
      <c r="K199" s="4" t="n">
        <v>1</v>
      </c>
      <c r="L199" s="4" t="n"/>
      <c r="M199" s="4" t="n"/>
      <c r="N199" s="4" t="inlineStr">
        <is>
          <t>USD</t>
        </is>
      </c>
      <c r="O199" s="5" t="n">
        <v>9.380000000000001</v>
      </c>
      <c r="P199" s="5" t="n">
        <v>9.380000000000001</v>
      </c>
      <c r="Q199" s="5">
        <f>O199*K199</f>
        <v/>
      </c>
      <c r="R199" s="5">
        <f>P199-Q199</f>
        <v/>
      </c>
      <c r="S199" s="4" t="n"/>
      <c r="T199" s="4" t="n"/>
      <c r="U199" s="4" t="n"/>
      <c r="V199" s="4" t="n"/>
      <c r="W199" s="4" t="n"/>
      <c r="X199" s="4" t="n"/>
      <c r="Y199" s="4" t="n"/>
      <c r="Z199" s="4" t="n"/>
      <c r="AA199" s="4" t="n"/>
      <c r="AB199" s="4" t="n"/>
      <c r="AC199" s="4" t="n"/>
      <c r="AD199" s="4" t="n"/>
      <c r="AE199" s="4" t="n"/>
      <c r="AF199" s="4" t="n"/>
      <c r="AG199" s="4" t="n"/>
      <c r="AH199" s="4" t="n"/>
      <c r="AI199" s="4" t="n"/>
      <c r="AJ199" s="4" t="n"/>
      <c r="AK199" s="4" t="n"/>
    </row>
    <row r="200">
      <c r="A200" s="2" t="n"/>
      <c r="B200" s="2" t="n"/>
      <c r="C200" s="2" t="inlineStr">
        <is>
          <t>GSUNJY57BOONGXE_Invoice_8</t>
        </is>
      </c>
      <c r="D200" s="2" t="n"/>
      <c r="E200" s="2" t="inlineStr">
        <is>
          <t>T-shirts</t>
        </is>
      </c>
      <c r="F200" s="2" t="inlineStr">
        <is>
          <t>61099010</t>
        </is>
      </c>
      <c r="G200" s="2" t="n"/>
      <c r="H200" s="2" t="n"/>
      <c r="I200" s="2" t="inlineStr">
        <is>
          <t>61099010</t>
        </is>
      </c>
      <c r="J200" s="2" t="inlineStr">
        <is>
          <t>syEth ICON Hollow Out Ultra Short Camisole Top (1 items)</t>
        </is>
      </c>
      <c r="K200" s="2" t="n">
        <v>1</v>
      </c>
      <c r="L200" s="2" t="n"/>
      <c r="M200" s="2" t="n"/>
      <c r="N200" s="2" t="inlineStr">
        <is>
          <t>USD</t>
        </is>
      </c>
      <c r="O200" s="3" t="n">
        <v>7.52</v>
      </c>
      <c r="P200" s="3" t="n">
        <v>7.52</v>
      </c>
      <c r="Q200" s="3">
        <f>O200*K200</f>
        <v/>
      </c>
      <c r="R200" s="3">
        <f>P200-Q200</f>
        <v/>
      </c>
      <c r="S200" s="3" t="n"/>
      <c r="T200" s="3" t="n"/>
      <c r="U200" s="3" t="n"/>
      <c r="V200" s="3" t="n"/>
      <c r="W200" s="3" t="n"/>
      <c r="X200" s="2" t="n"/>
      <c r="Y200" s="2" t="n"/>
      <c r="Z200" s="2" t="n"/>
      <c r="AA200" s="2" t="n"/>
      <c r="AB200" s="2" t="n"/>
      <c r="AC200" s="2" t="n"/>
      <c r="AD200" s="2" t="n"/>
      <c r="AE200" s="2" t="n"/>
      <c r="AF200" s="2" t="n"/>
      <c r="AG200" s="2" t="n"/>
      <c r="AH200" s="2" t="n"/>
      <c r="AI200" s="2" t="n"/>
      <c r="AJ200" s="2" t="n"/>
      <c r="AK200" s="2" t="inlineStr">
        <is>
          <t>61099010</t>
        </is>
      </c>
    </row>
    <row r="201">
      <c r="A201" s="4" t="n"/>
      <c r="B201" s="4" t="n"/>
      <c r="C201" s="4" t="n"/>
      <c r="D201" s="4" t="n"/>
      <c r="E201" s="4" t="n"/>
      <c r="F201" s="4" t="inlineStr">
        <is>
          <t>61099010</t>
        </is>
      </c>
      <c r="G201" s="4" t="n"/>
      <c r="H201" s="4" t="n"/>
      <c r="I201" s="4" t="inlineStr">
        <is>
          <t>SHEIN-3</t>
        </is>
      </c>
      <c r="J201" s="4" t="inlineStr">
        <is>
          <t>syEth ICON Hollow Out Ultra Short Camisole Top</t>
        </is>
      </c>
      <c r="K201" s="4" t="n">
        <v>1</v>
      </c>
      <c r="L201" s="4" t="n"/>
      <c r="M201" s="4" t="n"/>
      <c r="N201" s="4" t="inlineStr">
        <is>
          <t>USD</t>
        </is>
      </c>
      <c r="O201" s="5" t="n">
        <v>7.52</v>
      </c>
      <c r="P201" s="5" t="n">
        <v>7.52</v>
      </c>
      <c r="Q201" s="5">
        <f>O201*K201</f>
        <v/>
      </c>
      <c r="R201" s="5">
        <f>P201-Q201</f>
        <v/>
      </c>
      <c r="S201" s="4" t="n"/>
      <c r="T201" s="4" t="n"/>
      <c r="U201" s="4" t="n"/>
      <c r="V201" s="4" t="n"/>
      <c r="W201" s="4" t="n"/>
      <c r="X201" s="4" t="n"/>
      <c r="Y201" s="4" t="n"/>
      <c r="Z201" s="4" t="n"/>
      <c r="AA201" s="4" t="n"/>
      <c r="AB201" s="4" t="n"/>
      <c r="AC201" s="4" t="n"/>
      <c r="AD201" s="4" t="n"/>
      <c r="AE201" s="4" t="n"/>
      <c r="AF201" s="4" t="n"/>
      <c r="AG201" s="4" t="n"/>
      <c r="AH201" s="4" t="n"/>
      <c r="AI201" s="4" t="n"/>
      <c r="AJ201" s="4" t="n"/>
      <c r="AK201" s="4" t="n"/>
    </row>
    <row r="202">
      <c r="A202" s="6" t="n"/>
      <c r="B202" s="6" t="n"/>
      <c r="C202" s="6" t="n"/>
      <c r="D202" s="6" t="n"/>
      <c r="E202" s="6" t="n"/>
      <c r="F202" s="6" t="n"/>
      <c r="G202" s="6" t="n"/>
      <c r="H202" s="6" t="n"/>
      <c r="I202" s="6" t="n"/>
      <c r="J202" s="6" t="inlineStr">
        <is>
          <t>SUBTOTAL (GROUPED)</t>
        </is>
      </c>
      <c r="K202" s="6" t="n"/>
      <c r="L202" s="6" t="n"/>
      <c r="M202" s="6" t="n"/>
      <c r="N202" s="6" t="n"/>
      <c r="O202" s="6" t="n"/>
      <c r="P202" s="7">
        <f>P197+P200</f>
        <v/>
      </c>
      <c r="Q202" s="7">
        <f>Q197+Q200</f>
        <v/>
      </c>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row>
    <row r="203">
      <c r="A203" s="6" t="n"/>
      <c r="B203" s="6" t="n"/>
      <c r="C203" s="6" t="n"/>
      <c r="D203" s="6" t="n"/>
      <c r="E203" s="6" t="n"/>
      <c r="F203" s="6" t="n"/>
      <c r="G203" s="6" t="n"/>
      <c r="H203" s="6" t="n"/>
      <c r="I203" s="6" t="n"/>
      <c r="J203" s="6" t="inlineStr">
        <is>
          <t>SUBTOTAL (DETAILS)</t>
        </is>
      </c>
      <c r="K203" s="6" t="n"/>
      <c r="L203" s="6" t="n"/>
      <c r="M203" s="6" t="n"/>
      <c r="N203" s="6" t="n"/>
      <c r="O203" s="6" t="n"/>
      <c r="P203" s="7">
        <f>SUM(P197:P201)-P202</f>
        <v/>
      </c>
      <c r="Q203" s="7">
        <f>SUM(Q197:Q201)-Q202</f>
        <v/>
      </c>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row>
    <row r="204">
      <c r="A204" s="8" t="n"/>
      <c r="B204" s="8" t="n"/>
      <c r="C204" s="8" t="n"/>
      <c r="D204" s="8" t="n"/>
      <c r="E204" s="8" t="n"/>
      <c r="F204" s="8" t="n"/>
      <c r="G204" s="8" t="n"/>
      <c r="H204" s="8" t="n"/>
      <c r="I204" s="8" t="n"/>
      <c r="J204" s="8" t="inlineStr">
        <is>
          <t>GROUP VERIFICATION</t>
        </is>
      </c>
      <c r="K204" s="8" t="n"/>
      <c r="L204" s="8" t="n"/>
      <c r="M204" s="8" t="n"/>
      <c r="N204" s="8" t="n"/>
      <c r="O204" s="8" t="n"/>
      <c r="P204" s="9">
        <f>P202-P203</f>
        <v/>
      </c>
      <c r="Q204" s="9">
        <f>Q202-Q203</f>
        <v/>
      </c>
      <c r="R204" s="8" t="n"/>
      <c r="S204" s="8" t="n"/>
      <c r="T204" s="8" t="n"/>
      <c r="U204" s="8" t="n"/>
      <c r="V204" s="8" t="n"/>
      <c r="W204" s="8" t="n"/>
      <c r="X204" s="8" t="n"/>
      <c r="Y204" s="8" t="n"/>
      <c r="Z204" s="8" t="n"/>
      <c r="AA204" s="8" t="n"/>
      <c r="AB204" s="8" t="n"/>
      <c r="AC204" s="8" t="n"/>
      <c r="AD204" s="8" t="n"/>
      <c r="AE204" s="8" t="n"/>
      <c r="AF204" s="8" t="n"/>
      <c r="AG204" s="8" t="n"/>
      <c r="AH204" s="8" t="n"/>
      <c r="AI204" s="8" t="n"/>
      <c r="AJ204" s="8" t="n"/>
      <c r="AK204" s="8" t="n"/>
    </row>
    <row r="205"/>
    <row r="206">
      <c r="A206" s="6" t="n"/>
      <c r="B206" s="6" t="n"/>
      <c r="C206" s="6" t="n"/>
      <c r="D206" s="6" t="n"/>
      <c r="E206" s="6" t="n"/>
      <c r="F206" s="6" t="n"/>
      <c r="G206" s="6" t="n"/>
      <c r="H206" s="6" t="n"/>
      <c r="I206" s="6" t="n"/>
      <c r="J206" s="6" t="inlineStr">
        <is>
          <t>TOTAL INTERNAL FREIGHT</t>
        </is>
      </c>
      <c r="K206" s="6" t="n"/>
      <c r="L206" s="6" t="n"/>
      <c r="M206" s="6" t="n"/>
      <c r="N206" s="6" t="n"/>
      <c r="O206" s="6" t="n"/>
      <c r="P206" s="7" t="n">
        <v>0</v>
      </c>
      <c r="Q206" s="7"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row>
    <row r="207">
      <c r="A207" s="6" t="n"/>
      <c r="B207" s="6" t="n"/>
      <c r="C207" s="6" t="n"/>
      <c r="D207" s="6" t="n"/>
      <c r="E207" s="6" t="n"/>
      <c r="F207" s="6" t="n"/>
      <c r="G207" s="6" t="n"/>
      <c r="H207" s="6" t="n"/>
      <c r="I207" s="6" t="n"/>
      <c r="J207" s="6" t="inlineStr">
        <is>
          <t>TOTAL INSURANCE</t>
        </is>
      </c>
      <c r="K207" s="6" t="n"/>
      <c r="L207" s="6" t="n"/>
      <c r="M207" s="6" t="n"/>
      <c r="N207" s="6" t="n"/>
      <c r="O207" s="6" t="n"/>
      <c r="P207" s="7" t="n">
        <v>0</v>
      </c>
      <c r="Q207" s="7"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row>
    <row r="208">
      <c r="A208" s="6" t="n"/>
      <c r="B208" s="6" t="n"/>
      <c r="C208" s="6" t="n"/>
      <c r="D208" s="6" t="n"/>
      <c r="E208" s="6" t="n"/>
      <c r="F208" s="6" t="n"/>
      <c r="G208" s="6" t="n"/>
      <c r="H208" s="6" t="n"/>
      <c r="I208" s="6" t="n"/>
      <c r="J208" s="6" t="inlineStr">
        <is>
          <t>TOTAL OTHER COST</t>
        </is>
      </c>
      <c r="K208" s="6" t="n"/>
      <c r="L208" s="6" t="n"/>
      <c r="M208" s="6" t="n"/>
      <c r="N208" s="6" t="n"/>
      <c r="O208" s="6" t="n"/>
      <c r="P208" s="7" t="n">
        <v>0</v>
      </c>
      <c r="Q208" s="7"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row>
    <row r="209">
      <c r="A209" s="6" t="n"/>
      <c r="B209" s="6" t="n"/>
      <c r="C209" s="6" t="n"/>
      <c r="D209" s="6" t="n"/>
      <c r="E209" s="6" t="n"/>
      <c r="F209" s="6" t="n"/>
      <c r="G209" s="6" t="n"/>
      <c r="H209" s="6" t="n"/>
      <c r="I209" s="6" t="n"/>
      <c r="J209" s="6" t="inlineStr">
        <is>
          <t>TOTAL DEDUCTION</t>
        </is>
      </c>
      <c r="K209" s="6" t="n"/>
      <c r="L209" s="6" t="n"/>
      <c r="M209" s="6" t="n"/>
      <c r="N209" s="6" t="n"/>
      <c r="O209" s="6" t="n"/>
      <c r="P209" s="7" t="n">
        <v>0</v>
      </c>
      <c r="Q209" s="7"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row>
    <row r="210">
      <c r="A210" s="6" t="n"/>
      <c r="B210" s="6" t="n"/>
      <c r="C210" s="6" t="n"/>
      <c r="D210" s="6" t="n"/>
      <c r="E210" s="6" t="n"/>
      <c r="F210" s="6" t="n"/>
      <c r="G210" s="6" t="n"/>
      <c r="H210" s="6" t="n"/>
      <c r="I210" s="6" t="n"/>
      <c r="J210" s="6" t="inlineStr">
        <is>
          <t>ADJUSTMENTS</t>
        </is>
      </c>
      <c r="K210" s="6" t="n"/>
      <c r="L210" s="6" t="n"/>
      <c r="M210" s="6" t="n"/>
      <c r="N210" s="6" t="n"/>
      <c r="O210" s="6" t="n"/>
      <c r="P210" s="7">
        <f>(T197+U197+V197-W197)</f>
        <v/>
      </c>
      <c r="Q210" s="7">
        <f>(T197+U197+V197-W197)</f>
        <v/>
      </c>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row>
    <row r="211"/>
    <row r="212">
      <c r="A212" s="6" t="n"/>
      <c r="B212" s="6" t="n"/>
      <c r="C212" s="6" t="n"/>
      <c r="D212" s="6" t="n"/>
      <c r="E212" s="6" t="n"/>
      <c r="F212" s="6" t="n"/>
      <c r="G212" s="6" t="n"/>
      <c r="H212" s="6" t="n"/>
      <c r="I212" s="6" t="n"/>
      <c r="J212" s="6" t="inlineStr">
        <is>
          <t>NET TOTAL</t>
        </is>
      </c>
      <c r="K212" s="6" t="n"/>
      <c r="L212" s="6" t="n"/>
      <c r="M212" s="6" t="n"/>
      <c r="N212" s="6" t="n"/>
      <c r="O212" s="6" t="n"/>
      <c r="P212" s="7">
        <f>P202+P210</f>
        <v/>
      </c>
      <c r="Q212" s="7">
        <f>Q202+Q210</f>
        <v/>
      </c>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row>
    <row r="213">
      <c r="A213" s="6" t="n"/>
      <c r="B213" s="6" t="n"/>
      <c r="C213" s="6" t="n"/>
      <c r="D213" s="6" t="n"/>
      <c r="E213" s="6" t="n"/>
      <c r="F213" s="6" t="n"/>
      <c r="G213" s="6" t="n"/>
      <c r="H213" s="6" t="n"/>
      <c r="I213" s="6" t="n"/>
      <c r="J213" s="6" t="inlineStr">
        <is>
          <t>INVOICE TOTAL</t>
        </is>
      </c>
      <c r="K213" s="6" t="n"/>
      <c r="L213" s="6" t="n"/>
      <c r="M213" s="6" t="n"/>
      <c r="N213" s="6" t="n"/>
      <c r="O213" s="6" t="n"/>
      <c r="P213" s="7">
        <f>S197</f>
        <v/>
      </c>
      <c r="Q213" s="7"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row>
    <row r="214"/>
    <row r="215">
      <c r="A215" s="10" t="n"/>
      <c r="B215" s="10" t="n"/>
      <c r="C215" s="10" t="n"/>
      <c r="D215" s="10" t="n"/>
      <c r="E215" s="10" t="n"/>
      <c r="F215" s="10" t="n"/>
      <c r="G215" s="10" t="n"/>
      <c r="H215" s="10" t="n"/>
      <c r="I215" s="10" t="n"/>
      <c r="J215" s="10" t="inlineStr">
        <is>
          <t>VARIANCE CHECK</t>
        </is>
      </c>
      <c r="K215" s="10" t="n"/>
      <c r="L215" s="10" t="n"/>
      <c r="M215" s="10" t="n"/>
      <c r="N215" s="10" t="n"/>
      <c r="O215" s="10" t="n"/>
      <c r="P215" s="11">
        <f>S197-P212</f>
        <v/>
      </c>
      <c r="Q215" s="11">
        <f>S197-Q212</f>
        <v/>
      </c>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c r="AJ215" s="10" t="n"/>
      <c r="AK215" s="10" t="n"/>
    </row>
    <row r="216"/>
    <row r="217">
      <c r="A217" s="12" t="n"/>
      <c r="B217" s="12" t="n"/>
      <c r="C217" s="12" t="n"/>
      <c r="D217" s="12" t="n"/>
      <c r="E217" s="12" t="n"/>
      <c r="F217" s="12" t="n"/>
      <c r="G217" s="12" t="n"/>
      <c r="H217" s="12" t="n"/>
      <c r="I217" s="12" t="n"/>
      <c r="J217" s="13" t="inlineStr">
        <is>
          <t>INVOICE NOTES: Invoice total uncertain</t>
        </is>
      </c>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row>
    <row r="218"/>
    <row r="219">
      <c r="A219" s="14" t="n"/>
      <c r="B219" s="14" t="n"/>
      <c r="C219" s="14" t="n"/>
      <c r="D219" s="14" t="n"/>
      <c r="E219" s="14" t="n"/>
      <c r="F219" s="14" t="n"/>
      <c r="G219" s="14" t="n"/>
      <c r="H219" s="14" t="n"/>
      <c r="I219" s="14" t="n"/>
      <c r="J219" s="14" t="inlineStr">
        <is>
          <t>DUTY ESTIMATION (Classification Cross-Check)</t>
        </is>
      </c>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row>
    <row r="220">
      <c r="A220" s="15" t="n"/>
      <c r="B220" s="15" t="n"/>
      <c r="C220" s="15" t="n"/>
      <c r="D220" s="15" t="n"/>
      <c r="E220" s="15" t="n"/>
      <c r="F220" s="15" t="n"/>
      <c r="G220" s="15" t="n"/>
      <c r="H220" s="15" t="n"/>
      <c r="I220" s="15" t="n"/>
      <c r="J220" s="16" t="inlineStr">
        <is>
          <t>CIF (USD) = InvTotal + Freight + Insurance</t>
        </is>
      </c>
      <c r="K220" s="15" t="n"/>
      <c r="L220" s="15" t="n"/>
      <c r="M220" s="15" t="n"/>
      <c r="N220" s="15" t="n"/>
      <c r="O220" s="15" t="n"/>
      <c r="P220" s="17" t="n">
        <v>29.59</v>
      </c>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row>
    <row r="221">
      <c r="A221" s="15" t="n"/>
      <c r="B221" s="15" t="n"/>
      <c r="C221" s="15" t="n"/>
      <c r="D221" s="15" t="n"/>
      <c r="E221" s="15" t="n"/>
      <c r="F221" s="15" t="n"/>
      <c r="G221" s="15" t="n"/>
      <c r="H221" s="15" t="n"/>
      <c r="I221" s="15" t="n"/>
      <c r="J221" s="16" t="inlineStr">
        <is>
          <t>CIF (XCD) = CIF × 2.7169</t>
        </is>
      </c>
      <c r="K221" s="15" t="n"/>
      <c r="L221" s="15" t="n"/>
      <c r="M221" s="15" t="n"/>
      <c r="N221" s="15" t="n"/>
      <c r="O221" s="15" t="n"/>
      <c r="P221" s="17" t="n">
        <v>80.39</v>
      </c>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row>
    <row r="222">
      <c r="A222" s="15" t="n"/>
      <c r="B222" s="15" t="n"/>
      <c r="C222" s="15" t="n"/>
      <c r="D222" s="15" t="n"/>
      <c r="E222" s="15" t="n"/>
      <c r="F222" s="15" t="n"/>
      <c r="G222" s="15" t="n"/>
      <c r="H222" s="15" t="n"/>
      <c r="I222" s="15" t="n"/>
      <c r="J222" s="16" t="inlineStr">
        <is>
          <t>CET (weighted avg 20.0%)</t>
        </is>
      </c>
      <c r="K222" s="15" t="n"/>
      <c r="L222" s="15" t="n"/>
      <c r="M222" s="15" t="n"/>
      <c r="N222" s="15" t="n"/>
      <c r="O222" s="15" t="n"/>
      <c r="P222" s="17" t="n">
        <v>16.08</v>
      </c>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row>
    <row r="223">
      <c r="A223" s="15" t="n"/>
      <c r="B223" s="15" t="n"/>
      <c r="C223" s="15" t="n"/>
      <c r="D223" s="15" t="n"/>
      <c r="E223" s="15" t="n"/>
      <c r="F223" s="15" t="inlineStr">
        <is>
          <t>61099010</t>
        </is>
      </c>
      <c r="G223" s="15" t="n"/>
      <c r="H223" s="15" t="n"/>
      <c r="I223" s="15" t="n"/>
      <c r="J223" s="16" t="inlineStr">
        <is>
          <t xml:space="preserve">  └ 61099010: 20% CET (25% of value)</t>
        </is>
      </c>
      <c r="K223" s="15" t="n"/>
      <c r="L223" s="15" t="n"/>
      <c r="M223" s="15" t="n"/>
      <c r="N223" s="15" t="n"/>
      <c r="O223" s="15" t="n"/>
      <c r="P223" s="17" t="n">
        <v>4.09</v>
      </c>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inlineStr">
        <is>
          <t>61099010</t>
        </is>
      </c>
    </row>
    <row r="224">
      <c r="A224" s="15" t="n"/>
      <c r="B224" s="15" t="n"/>
      <c r="C224" s="15" t="n"/>
      <c r="D224" s="15" t="n"/>
      <c r="E224" s="15" t="n"/>
      <c r="F224" s="15" t="inlineStr">
        <is>
          <t>62046290</t>
        </is>
      </c>
      <c r="G224" s="15" t="n"/>
      <c r="H224" s="15" t="n"/>
      <c r="I224" s="15" t="n"/>
      <c r="J224" s="16" t="inlineStr">
        <is>
          <t xml:space="preserve">  └ 62046290: 20% CET (75% of value)</t>
        </is>
      </c>
      <c r="K224" s="15" t="n"/>
      <c r="L224" s="15" t="n"/>
      <c r="M224" s="15" t="n"/>
      <c r="N224" s="15" t="n"/>
      <c r="O224" s="15" t="n"/>
      <c r="P224" s="17" t="n">
        <v>11.99</v>
      </c>
      <c r="Q224" s="15" t="n"/>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inlineStr">
        <is>
          <t>62046290</t>
        </is>
      </c>
    </row>
    <row r="225">
      <c r="A225" s="15" t="n"/>
      <c r="B225" s="15" t="n"/>
      <c r="C225" s="15" t="n"/>
      <c r="D225" s="15" t="n"/>
      <c r="E225" s="15" t="n"/>
      <c r="F225" s="15" t="n"/>
      <c r="G225" s="15" t="n"/>
      <c r="H225" s="15" t="n"/>
      <c r="I225" s="15" t="n"/>
      <c r="J225" s="16" t="inlineStr">
        <is>
          <t>CSC (6%)</t>
        </is>
      </c>
      <c r="K225" s="15" t="n"/>
      <c r="L225" s="15" t="n"/>
      <c r="M225" s="15" t="n"/>
      <c r="N225" s="15" t="n"/>
      <c r="O225" s="15" t="n"/>
      <c r="P225" s="17" t="n">
        <v>4.82</v>
      </c>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row>
    <row r="226">
      <c r="A226" s="15" t="n"/>
      <c r="B226" s="15" t="n"/>
      <c r="C226" s="15" t="n"/>
      <c r="D226" s="15" t="n"/>
      <c r="E226" s="15" t="n"/>
      <c r="F226" s="15" t="n"/>
      <c r="G226" s="15" t="n"/>
      <c r="H226" s="15" t="n"/>
      <c r="I226" s="15" t="n"/>
      <c r="J226" s="16" t="inlineStr">
        <is>
          <t>VAT (15%) on CIF+CET+CSC</t>
        </is>
      </c>
      <c r="K226" s="15" t="n"/>
      <c r="L226" s="15" t="n"/>
      <c r="M226" s="15" t="n"/>
      <c r="N226" s="15" t="n"/>
      <c r="O226" s="15" t="n"/>
      <c r="P226" s="17" t="n">
        <v>15.19</v>
      </c>
      <c r="Q226" s="15" t="n"/>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row>
    <row r="227">
      <c r="A227" s="18" t="n"/>
      <c r="B227" s="18" t="n"/>
      <c r="C227" s="18" t="n"/>
      <c r="D227" s="18" t="n"/>
      <c r="E227" s="18" t="n"/>
      <c r="F227" s="18" t="n"/>
      <c r="G227" s="18" t="n"/>
      <c r="H227" s="18" t="n"/>
      <c r="I227" s="18" t="n"/>
      <c r="J227" s="14" t="inlineStr">
        <is>
          <t>ESTIMATED TOTAL DUTIES</t>
        </is>
      </c>
      <c r="K227" s="18" t="n"/>
      <c r="L227" s="18" t="n"/>
      <c r="M227" s="18" t="n"/>
      <c r="N227" s="18" t="n"/>
      <c r="O227" s="18" t="n"/>
      <c r="P227" s="19" t="n">
        <v>36.09</v>
      </c>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c r="AJ227" s="18" t="n"/>
      <c r="AK227" s="18" t="n"/>
    </row>
    <row r="228">
      <c r="A228" s="15" t="n"/>
      <c r="B228" s="15" t="n"/>
      <c r="C228" s="15" t="n"/>
      <c r="D228" s="15" t="n"/>
      <c r="E228" s="15" t="n"/>
      <c r="F228" s="15" t="n"/>
      <c r="G228" s="15" t="n"/>
      <c r="H228" s="15" t="n"/>
      <c r="I228" s="15" t="n"/>
      <c r="J228" s="16" t="inlineStr">
        <is>
          <t>Effective Duty Rate</t>
        </is>
      </c>
      <c r="K228" s="15" t="n"/>
      <c r="L228" s="15" t="n"/>
      <c r="M228" s="15" t="n"/>
      <c r="N228" s="15" t="n"/>
      <c r="O228" s="15" t="n"/>
      <c r="P228" s="20" t="n">
        <v>0.4489364348799602</v>
      </c>
      <c r="Q228" s="15" t="n"/>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c r="AJ228" s="15" t="n"/>
      <c r="AK228" s="15"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c r="AA229" s="21" t="n"/>
      <c r="AB229" s="21" t="n"/>
      <c r="AC229" s="21" t="n"/>
      <c r="AD229" s="21" t="n"/>
      <c r="AE229" s="21" t="n"/>
      <c r="AF229" s="21" t="n"/>
      <c r="AG229" s="21" t="n"/>
      <c r="AH229" s="21" t="n"/>
      <c r="AI229" s="21" t="n"/>
      <c r="AJ229" s="21" t="n"/>
      <c r="AK229" s="21" t="n"/>
    </row>
    <row r="230">
      <c r="A230" s="2" t="inlineStr">
        <is>
          <t>4000-000</t>
        </is>
      </c>
      <c r="B230" s="2" t="n"/>
      <c r="C230" s="2" t="inlineStr">
        <is>
          <t>GSUNJY57BOONGXE_Invoice_9</t>
        </is>
      </c>
      <c r="D230" s="2" t="n"/>
      <c r="E230" s="2" t="inlineStr">
        <is>
          <t>T-shirts</t>
        </is>
      </c>
      <c r="F230" s="2" t="inlineStr">
        <is>
          <t>61099010</t>
        </is>
      </c>
      <c r="G230" s="2" t="n"/>
      <c r="H230" s="2" t="n"/>
      <c r="I230" s="2" t="inlineStr">
        <is>
          <t>61099010</t>
        </is>
      </c>
      <c r="J230" s="2" t="inlineStr">
        <is>
          <t>EIN Slayr Casual Money Letter Printed Women Sexy Crop Top Top Suitable For Summer (1 items)</t>
        </is>
      </c>
      <c r="K230" s="2" t="n">
        <v>1</v>
      </c>
      <c r="L230" s="2" t="n"/>
      <c r="M230" s="2" t="n"/>
      <c r="N230" s="2" t="inlineStr">
        <is>
          <t>USD</t>
        </is>
      </c>
      <c r="O230" s="3" t="n">
        <v>2.82</v>
      </c>
      <c r="P230" s="3" t="n">
        <v>2.82</v>
      </c>
      <c r="Q230" s="3">
        <f>O230*K230</f>
        <v/>
      </c>
      <c r="R230" s="3">
        <f>P230-Q230</f>
        <v/>
      </c>
      <c r="S230" s="3" t="n">
        <v>9.550000000000001</v>
      </c>
      <c r="T230" s="3" t="n">
        <v>0</v>
      </c>
      <c r="U230" s="3" t="n">
        <v>0</v>
      </c>
      <c r="V230" s="3" t="n">
        <v>0</v>
      </c>
      <c r="W230" s="3" t="n">
        <v>0</v>
      </c>
      <c r="X230" s="2" t="n"/>
      <c r="Y230" s="2" t="n"/>
      <c r="Z230" s="2" t="inlineStr">
        <is>
          <t>SHEIN</t>
        </is>
      </c>
      <c r="AA230" s="2" t="inlineStr">
        <is>
          <t>SHEIN US Services, LLC</t>
        </is>
      </c>
      <c r="AB230" s="2" t="inlineStr">
        <is>
          <t>777 S. Alameda St., Second Floor, Los Angeles, CA 90021</t>
        </is>
      </c>
      <c r="AC230" s="2" t="inlineStr">
        <is>
          <t>US</t>
        </is>
      </c>
      <c r="AD230" s="2" t="n"/>
      <c r="AE230" s="2" t="n"/>
      <c r="AF230" s="2" t="n"/>
      <c r="AG230" s="2" t="n"/>
      <c r="AH230" s="2" t="n"/>
      <c r="AI230" s="2" t="n"/>
      <c r="AJ230" s="2" t="n"/>
      <c r="AK230" s="2" t="inlineStr">
        <is>
          <t>61099010</t>
        </is>
      </c>
    </row>
    <row r="231">
      <c r="A231" s="4" t="n"/>
      <c r="B231" s="4" t="n"/>
      <c r="C231" s="4" t="n"/>
      <c r="D231" s="4" t="n"/>
      <c r="E231" s="4" t="n"/>
      <c r="F231" s="4" t="inlineStr">
        <is>
          <t>61099010</t>
        </is>
      </c>
      <c r="G231" s="4" t="n"/>
      <c r="H231" s="4" t="n"/>
      <c r="I231" s="4" t="inlineStr">
        <is>
          <t>SHEIN-1</t>
        </is>
      </c>
      <c r="J231" s="4" t="inlineStr">
        <is>
          <t>EIN Slayr Casual Money Letter Printed Women Sexy Crop Top Top Suitable For Summer</t>
        </is>
      </c>
      <c r="K231" s="4" t="n">
        <v>1</v>
      </c>
      <c r="L231" s="4" t="n"/>
      <c r="M231" s="4" t="n"/>
      <c r="N231" s="4" t="inlineStr">
        <is>
          <t>USD</t>
        </is>
      </c>
      <c r="O231" s="5" t="n">
        <v>2.82</v>
      </c>
      <c r="P231" s="5" t="n">
        <v>2.82</v>
      </c>
      <c r="Q231" s="5">
        <f>O231*K231</f>
        <v/>
      </c>
      <c r="R231" s="5">
        <f>P231-Q231</f>
        <v/>
      </c>
      <c r="S231" s="4" t="n"/>
      <c r="T231" s="4" t="n"/>
      <c r="U231" s="4" t="n"/>
      <c r="V231" s="4" t="n"/>
      <c r="W231" s="4" t="n"/>
      <c r="X231" s="4" t="n"/>
      <c r="Y231" s="4" t="n"/>
      <c r="Z231" s="4" t="n"/>
      <c r="AA231" s="4" t="n"/>
      <c r="AB231" s="4" t="n"/>
      <c r="AC231" s="4" t="n"/>
      <c r="AD231" s="4" t="n"/>
      <c r="AE231" s="4" t="n"/>
      <c r="AF231" s="4" t="n"/>
      <c r="AG231" s="4" t="n"/>
      <c r="AH231" s="4" t="n"/>
      <c r="AI231" s="4" t="n"/>
      <c r="AJ231" s="4" t="n"/>
      <c r="AK231" s="4" t="n"/>
    </row>
    <row r="232">
      <c r="A232" s="2" t="n"/>
      <c r="B232" s="2" t="n"/>
      <c r="C232" s="2" t="inlineStr">
        <is>
          <t>GSUNJY57BOONGXE_Invoice_9</t>
        </is>
      </c>
      <c r="D232" s="2" t="n"/>
      <c r="E232" s="2" t="inlineStr">
        <is>
          <t>Of other textile materials</t>
        </is>
      </c>
      <c r="F232" s="2" t="inlineStr">
        <is>
          <t>62052000</t>
        </is>
      </c>
      <c r="G232" s="2" t="n"/>
      <c r="H232" s="2" t="n"/>
      <c r="I232" s="2" t="inlineStr">
        <is>
          <t>62052000</t>
        </is>
      </c>
      <c r="J232" s="2" t="inlineStr">
        <is>
          <t>pe Slayr Women Summer Short Sleeve Casual Shirt With Angel Print And Slogan Round Neck (1 items)</t>
        </is>
      </c>
      <c r="K232" s="2" t="n">
        <v>1</v>
      </c>
      <c r="L232" s="2" t="n"/>
      <c r="M232" s="2" t="n"/>
      <c r="N232" s="2" t="inlineStr">
        <is>
          <t>USD</t>
        </is>
      </c>
      <c r="O232" s="3" t="n">
        <v>3.3</v>
      </c>
      <c r="P232" s="3" t="n">
        <v>3.3</v>
      </c>
      <c r="Q232" s="3">
        <f>O232*K232</f>
        <v/>
      </c>
      <c r="R232" s="3">
        <f>P232-Q232</f>
        <v/>
      </c>
      <c r="S232" s="3" t="n"/>
      <c r="T232" s="3" t="n"/>
      <c r="U232" s="3" t="n"/>
      <c r="V232" s="3" t="n"/>
      <c r="W232" s="3" t="n"/>
      <c r="X232" s="2" t="n"/>
      <c r="Y232" s="2" t="n"/>
      <c r="Z232" s="2" t="n"/>
      <c r="AA232" s="2" t="n"/>
      <c r="AB232" s="2" t="n"/>
      <c r="AC232" s="2" t="n"/>
      <c r="AD232" s="2" t="n"/>
      <c r="AE232" s="2" t="n"/>
      <c r="AF232" s="2" t="n"/>
      <c r="AG232" s="2" t="n"/>
      <c r="AH232" s="2" t="n"/>
      <c r="AI232" s="2" t="n"/>
      <c r="AJ232" s="2" t="n"/>
      <c r="AK232" s="2" t="inlineStr">
        <is>
          <t>62052000</t>
        </is>
      </c>
    </row>
    <row r="233">
      <c r="A233" s="4" t="n"/>
      <c r="B233" s="4" t="n"/>
      <c r="C233" s="4" t="n"/>
      <c r="D233" s="4" t="n"/>
      <c r="E233" s="4" t="n"/>
      <c r="F233" s="4" t="inlineStr">
        <is>
          <t>62052000</t>
        </is>
      </c>
      <c r="G233" s="4" t="n"/>
      <c r="H233" s="4" t="n"/>
      <c r="I233" s="4" t="inlineStr">
        <is>
          <t>SHEIN-2</t>
        </is>
      </c>
      <c r="J233" s="4" t="inlineStr">
        <is>
          <t>pe Slayr Women Summer Short Sleeve Casual Shirt With Angel Print And Slogan Round Neck</t>
        </is>
      </c>
      <c r="K233" s="4" t="n">
        <v>1</v>
      </c>
      <c r="L233" s="4" t="n"/>
      <c r="M233" s="4" t="n"/>
      <c r="N233" s="4" t="inlineStr">
        <is>
          <t>USD</t>
        </is>
      </c>
      <c r="O233" s="5" t="n">
        <v>3.3</v>
      </c>
      <c r="P233" s="5" t="n">
        <v>3.3</v>
      </c>
      <c r="Q233" s="5">
        <f>O233*K233</f>
        <v/>
      </c>
      <c r="R233" s="5">
        <f>P233-Q233</f>
        <v/>
      </c>
      <c r="S233" s="4" t="n"/>
      <c r="T233" s="4" t="n"/>
      <c r="U233" s="4" t="n"/>
      <c r="V233" s="4" t="n"/>
      <c r="W233" s="4" t="n"/>
      <c r="X233" s="4" t="n"/>
      <c r="Y233" s="4" t="n"/>
      <c r="Z233" s="4" t="n"/>
      <c r="AA233" s="4" t="n"/>
      <c r="AB233" s="4" t="n"/>
      <c r="AC233" s="4" t="n"/>
      <c r="AD233" s="4" t="n"/>
      <c r="AE233" s="4" t="n"/>
      <c r="AF233" s="4" t="n"/>
      <c r="AG233" s="4" t="n"/>
      <c r="AH233" s="4" t="n"/>
      <c r="AI233" s="4" t="n"/>
      <c r="AJ233" s="4" t="n"/>
      <c r="AK233" s="4" t="n"/>
    </row>
    <row r="234">
      <c r="A234" s="2" t="n"/>
      <c r="B234" s="2" t="n"/>
      <c r="C234" s="2" t="inlineStr">
        <is>
          <t>GSUNJY57BOONGXE_Invoice_9</t>
        </is>
      </c>
      <c r="D234" s="2" t="n"/>
      <c r="E234" s="2" t="inlineStr">
        <is>
          <t>Singlets and other vests</t>
        </is>
      </c>
      <c r="F234" s="2" t="inlineStr">
        <is>
          <t>61091020</t>
        </is>
      </c>
      <c r="G234" s="2" t="n"/>
      <c r="H234" s="2" t="n"/>
      <c r="I234" s="2" t="inlineStr">
        <is>
          <t>61091020</t>
        </is>
      </c>
      <c r="J234" s="2" t="inlineStr">
        <is>
          <t>SHEIN Slayr Angel And Letter Graphic Printed Crop Top For Summer Casual (1 items)</t>
        </is>
      </c>
      <c r="K234" s="2" t="n">
        <v>1</v>
      </c>
      <c r="L234" s="2" t="n"/>
      <c r="M234" s="2" t="n"/>
      <c r="N234" s="2" t="inlineStr">
        <is>
          <t>USD</t>
        </is>
      </c>
      <c r="O234" s="3" t="n">
        <v>3.43</v>
      </c>
      <c r="P234" s="3" t="n">
        <v>3.43</v>
      </c>
      <c r="Q234" s="3">
        <f>O234*K234</f>
        <v/>
      </c>
      <c r="R234" s="3">
        <f>P234-Q234</f>
        <v/>
      </c>
      <c r="S234" s="3" t="n"/>
      <c r="T234" s="3" t="n"/>
      <c r="U234" s="3" t="n"/>
      <c r="V234" s="3" t="n"/>
      <c r="W234" s="3" t="n"/>
      <c r="X234" s="2" t="n"/>
      <c r="Y234" s="2" t="n"/>
      <c r="Z234" s="2" t="n"/>
      <c r="AA234" s="2" t="n"/>
      <c r="AB234" s="2" t="n"/>
      <c r="AC234" s="2" t="n"/>
      <c r="AD234" s="2" t="n"/>
      <c r="AE234" s="2" t="n"/>
      <c r="AF234" s="2" t="n"/>
      <c r="AG234" s="2" t="n"/>
      <c r="AH234" s="2" t="n"/>
      <c r="AI234" s="2" t="n"/>
      <c r="AJ234" s="2" t="n"/>
      <c r="AK234" s="2" t="inlineStr">
        <is>
          <t>61091020</t>
        </is>
      </c>
    </row>
    <row r="235">
      <c r="A235" s="4" t="n"/>
      <c r="B235" s="4" t="n"/>
      <c r="C235" s="4" t="n"/>
      <c r="D235" s="4" t="n"/>
      <c r="E235" s="4" t="n"/>
      <c r="F235" s="4" t="inlineStr">
        <is>
          <t>61091020</t>
        </is>
      </c>
      <c r="G235" s="4" t="n"/>
      <c r="H235" s="4" t="n"/>
      <c r="I235" s="4" t="inlineStr">
        <is>
          <t>SHEIN-3</t>
        </is>
      </c>
      <c r="J235" s="4" t="inlineStr">
        <is>
          <t>SHEIN Slayr Angel And Letter Graphic Printed Crop Top For Summer Casual</t>
        </is>
      </c>
      <c r="K235" s="4" t="n">
        <v>1</v>
      </c>
      <c r="L235" s="4" t="n"/>
      <c r="M235" s="4" t="n"/>
      <c r="N235" s="4" t="inlineStr">
        <is>
          <t>USD</t>
        </is>
      </c>
      <c r="O235" s="5" t="n">
        <v>3.43</v>
      </c>
      <c r="P235" s="5" t="n">
        <v>3.43</v>
      </c>
      <c r="Q235" s="5">
        <f>O235*K235</f>
        <v/>
      </c>
      <c r="R235" s="5">
        <f>P235-Q235</f>
        <v/>
      </c>
      <c r="S235" s="4" t="n"/>
      <c r="T235" s="4" t="n"/>
      <c r="U235" s="4" t="n"/>
      <c r="V235" s="4" t="n"/>
      <c r="W235" s="4" t="n"/>
      <c r="X235" s="4" t="n"/>
      <c r="Y235" s="4" t="n"/>
      <c r="Z235" s="4" t="n"/>
      <c r="AA235" s="4" t="n"/>
      <c r="AB235" s="4" t="n"/>
      <c r="AC235" s="4" t="n"/>
      <c r="AD235" s="4" t="n"/>
      <c r="AE235" s="4" t="n"/>
      <c r="AF235" s="4" t="n"/>
      <c r="AG235" s="4" t="n"/>
      <c r="AH235" s="4" t="n"/>
      <c r="AI235" s="4" t="n"/>
      <c r="AJ235" s="4" t="n"/>
      <c r="AK235" s="4" t="n"/>
    </row>
    <row r="236">
      <c r="A236" s="6" t="n"/>
      <c r="B236" s="6" t="n"/>
      <c r="C236" s="6" t="n"/>
      <c r="D236" s="6" t="n"/>
      <c r="E236" s="6" t="n"/>
      <c r="F236" s="6" t="n"/>
      <c r="G236" s="6" t="n"/>
      <c r="H236" s="6" t="n"/>
      <c r="I236" s="6" t="n"/>
      <c r="J236" s="6" t="inlineStr">
        <is>
          <t>SUBTOTAL (GROUPED)</t>
        </is>
      </c>
      <c r="K236" s="6" t="n"/>
      <c r="L236" s="6" t="n"/>
      <c r="M236" s="6" t="n"/>
      <c r="N236" s="6" t="n"/>
      <c r="O236" s="6" t="n"/>
      <c r="P236" s="7">
        <f>P230+P232+P234</f>
        <v/>
      </c>
      <c r="Q236" s="7">
        <f>Q230+Q232+Q234</f>
        <v/>
      </c>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row>
    <row r="237">
      <c r="A237" s="6" t="n"/>
      <c r="B237" s="6" t="n"/>
      <c r="C237" s="6" t="n"/>
      <c r="D237" s="6" t="n"/>
      <c r="E237" s="6" t="n"/>
      <c r="F237" s="6" t="n"/>
      <c r="G237" s="6" t="n"/>
      <c r="H237" s="6" t="n"/>
      <c r="I237" s="6" t="n"/>
      <c r="J237" s="6" t="inlineStr">
        <is>
          <t>SUBTOTAL (DETAILS)</t>
        </is>
      </c>
      <c r="K237" s="6" t="n"/>
      <c r="L237" s="6" t="n"/>
      <c r="M237" s="6" t="n"/>
      <c r="N237" s="6" t="n"/>
      <c r="O237" s="6" t="n"/>
      <c r="P237" s="7">
        <f>SUM(P230:P235)-P236</f>
        <v/>
      </c>
      <c r="Q237" s="7">
        <f>SUM(Q230:Q235)-Q236</f>
        <v/>
      </c>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row>
    <row r="238">
      <c r="A238" s="8" t="n"/>
      <c r="B238" s="8" t="n"/>
      <c r="C238" s="8" t="n"/>
      <c r="D238" s="8" t="n"/>
      <c r="E238" s="8" t="n"/>
      <c r="F238" s="8" t="n"/>
      <c r="G238" s="8" t="n"/>
      <c r="H238" s="8" t="n"/>
      <c r="I238" s="8" t="n"/>
      <c r="J238" s="8" t="inlineStr">
        <is>
          <t>GROUP VERIFICATION</t>
        </is>
      </c>
      <c r="K238" s="8" t="n"/>
      <c r="L238" s="8" t="n"/>
      <c r="M238" s="8" t="n"/>
      <c r="N238" s="8" t="n"/>
      <c r="O238" s="8" t="n"/>
      <c r="P238" s="9">
        <f>P236-P237</f>
        <v/>
      </c>
      <c r="Q238" s="9">
        <f>Q236-Q237</f>
        <v/>
      </c>
      <c r="R238" s="8" t="n"/>
      <c r="S238" s="8" t="n"/>
      <c r="T238" s="8" t="n"/>
      <c r="U238" s="8" t="n"/>
      <c r="V238" s="8" t="n"/>
      <c r="W238" s="8" t="n"/>
      <c r="X238" s="8" t="n"/>
      <c r="Y238" s="8" t="n"/>
      <c r="Z238" s="8" t="n"/>
      <c r="AA238" s="8" t="n"/>
      <c r="AB238" s="8" t="n"/>
      <c r="AC238" s="8" t="n"/>
      <c r="AD238" s="8" t="n"/>
      <c r="AE238" s="8" t="n"/>
      <c r="AF238" s="8" t="n"/>
      <c r="AG238" s="8" t="n"/>
      <c r="AH238" s="8" t="n"/>
      <c r="AI238" s="8" t="n"/>
      <c r="AJ238" s="8" t="n"/>
      <c r="AK238" s="8" t="n"/>
    </row>
    <row r="239"/>
    <row r="240">
      <c r="A240" s="6" t="n"/>
      <c r="B240" s="6" t="n"/>
      <c r="C240" s="6" t="n"/>
      <c r="D240" s="6" t="n"/>
      <c r="E240" s="6" t="n"/>
      <c r="F240" s="6" t="n"/>
      <c r="G240" s="6" t="n"/>
      <c r="H240" s="6" t="n"/>
      <c r="I240" s="6" t="n"/>
      <c r="J240" s="6" t="inlineStr">
        <is>
          <t>TOTAL INTERNAL FREIGHT</t>
        </is>
      </c>
      <c r="K240" s="6" t="n"/>
      <c r="L240" s="6" t="n"/>
      <c r="M240" s="6" t="n"/>
      <c r="N240" s="6" t="n"/>
      <c r="O240" s="6" t="n"/>
      <c r="P240" s="7" t="n">
        <v>0</v>
      </c>
      <c r="Q240" s="7"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row>
    <row r="241">
      <c r="A241" s="6" t="n"/>
      <c r="B241" s="6" t="n"/>
      <c r="C241" s="6" t="n"/>
      <c r="D241" s="6" t="n"/>
      <c r="E241" s="6" t="n"/>
      <c r="F241" s="6" t="n"/>
      <c r="G241" s="6" t="n"/>
      <c r="H241" s="6" t="n"/>
      <c r="I241" s="6" t="n"/>
      <c r="J241" s="6" t="inlineStr">
        <is>
          <t>TOTAL INSURANCE</t>
        </is>
      </c>
      <c r="K241" s="6" t="n"/>
      <c r="L241" s="6" t="n"/>
      <c r="M241" s="6" t="n"/>
      <c r="N241" s="6" t="n"/>
      <c r="O241" s="6" t="n"/>
      <c r="P241" s="7" t="n">
        <v>0</v>
      </c>
      <c r="Q241" s="7"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row>
    <row r="242">
      <c r="A242" s="6" t="n"/>
      <c r="B242" s="6" t="n"/>
      <c r="C242" s="6" t="n"/>
      <c r="D242" s="6" t="n"/>
      <c r="E242" s="6" t="n"/>
      <c r="F242" s="6" t="n"/>
      <c r="G242" s="6" t="n"/>
      <c r="H242" s="6" t="n"/>
      <c r="I242" s="6" t="n"/>
      <c r="J242" s="6" t="inlineStr">
        <is>
          <t>TOTAL OTHER COST</t>
        </is>
      </c>
      <c r="K242" s="6" t="n"/>
      <c r="L242" s="6" t="n"/>
      <c r="M242" s="6" t="n"/>
      <c r="N242" s="6" t="n"/>
      <c r="O242" s="6" t="n"/>
      <c r="P242" s="7" t="n">
        <v>0</v>
      </c>
      <c r="Q242" s="7"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row>
    <row r="243">
      <c r="A243" s="6" t="n"/>
      <c r="B243" s="6" t="n"/>
      <c r="C243" s="6" t="n"/>
      <c r="D243" s="6" t="n"/>
      <c r="E243" s="6" t="n"/>
      <c r="F243" s="6" t="n"/>
      <c r="G243" s="6" t="n"/>
      <c r="H243" s="6" t="n"/>
      <c r="I243" s="6" t="n"/>
      <c r="J243" s="6" t="inlineStr">
        <is>
          <t>TOTAL DEDUCTION</t>
        </is>
      </c>
      <c r="K243" s="6" t="n"/>
      <c r="L243" s="6" t="n"/>
      <c r="M243" s="6" t="n"/>
      <c r="N243" s="6" t="n"/>
      <c r="O243" s="6" t="n"/>
      <c r="P243" s="7" t="n">
        <v>0</v>
      </c>
      <c r="Q243" s="7"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row>
    <row r="244">
      <c r="A244" s="6" t="n"/>
      <c r="B244" s="6" t="n"/>
      <c r="C244" s="6" t="n"/>
      <c r="D244" s="6" t="n"/>
      <c r="E244" s="6" t="n"/>
      <c r="F244" s="6" t="n"/>
      <c r="G244" s="6" t="n"/>
      <c r="H244" s="6" t="n"/>
      <c r="I244" s="6" t="n"/>
      <c r="J244" s="6" t="inlineStr">
        <is>
          <t>ADJUSTMENTS</t>
        </is>
      </c>
      <c r="K244" s="6" t="n"/>
      <c r="L244" s="6" t="n"/>
      <c r="M244" s="6" t="n"/>
      <c r="N244" s="6" t="n"/>
      <c r="O244" s="6" t="n"/>
      <c r="P244" s="7">
        <f>(T230+U230+V230-W230)</f>
        <v/>
      </c>
      <c r="Q244" s="7">
        <f>(T230+U230+V230-W230)</f>
        <v/>
      </c>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row>
    <row r="245"/>
    <row r="246">
      <c r="A246" s="6" t="n"/>
      <c r="B246" s="6" t="n"/>
      <c r="C246" s="6" t="n"/>
      <c r="D246" s="6" t="n"/>
      <c r="E246" s="6" t="n"/>
      <c r="F246" s="6" t="n"/>
      <c r="G246" s="6" t="n"/>
      <c r="H246" s="6" t="n"/>
      <c r="I246" s="6" t="n"/>
      <c r="J246" s="6" t="inlineStr">
        <is>
          <t>NET TOTAL</t>
        </is>
      </c>
      <c r="K246" s="6" t="n"/>
      <c r="L246" s="6" t="n"/>
      <c r="M246" s="6" t="n"/>
      <c r="N246" s="6" t="n"/>
      <c r="O246" s="6" t="n"/>
      <c r="P246" s="7">
        <f>P236+P244</f>
        <v/>
      </c>
      <c r="Q246" s="7">
        <f>Q236+Q244</f>
        <v/>
      </c>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row>
    <row r="247">
      <c r="A247" s="6" t="n"/>
      <c r="B247" s="6" t="n"/>
      <c r="C247" s="6" t="n"/>
      <c r="D247" s="6" t="n"/>
      <c r="E247" s="6" t="n"/>
      <c r="F247" s="6" t="n"/>
      <c r="G247" s="6" t="n"/>
      <c r="H247" s="6" t="n"/>
      <c r="I247" s="6" t="n"/>
      <c r="J247" s="6" t="inlineStr">
        <is>
          <t>INVOICE TOTAL</t>
        </is>
      </c>
      <c r="K247" s="6" t="n"/>
      <c r="L247" s="6" t="n"/>
      <c r="M247" s="6" t="n"/>
      <c r="N247" s="6" t="n"/>
      <c r="O247" s="6" t="n"/>
      <c r="P247" s="7">
        <f>S230</f>
        <v/>
      </c>
      <c r="Q247" s="7"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row>
    <row r="248"/>
    <row r="249">
      <c r="A249" s="10" t="n"/>
      <c r="B249" s="10" t="n"/>
      <c r="C249" s="10" t="n"/>
      <c r="D249" s="10" t="n"/>
      <c r="E249" s="10" t="n"/>
      <c r="F249" s="10" t="n"/>
      <c r="G249" s="10" t="n"/>
      <c r="H249" s="10" t="n"/>
      <c r="I249" s="10" t="n"/>
      <c r="J249" s="10" t="inlineStr">
        <is>
          <t>VARIANCE CHECK</t>
        </is>
      </c>
      <c r="K249" s="10" t="n"/>
      <c r="L249" s="10" t="n"/>
      <c r="M249" s="10" t="n"/>
      <c r="N249" s="10" t="n"/>
      <c r="O249" s="10" t="n"/>
      <c r="P249" s="11">
        <f>S230-P246</f>
        <v/>
      </c>
      <c r="Q249" s="11">
        <f>S230-Q246</f>
        <v/>
      </c>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row>
    <row r="250"/>
    <row r="251">
      <c r="A251" s="12" t="n"/>
      <c r="B251" s="12" t="n"/>
      <c r="C251" s="12" t="n"/>
      <c r="D251" s="12" t="n"/>
      <c r="E251" s="12" t="n"/>
      <c r="F251" s="12" t="n"/>
      <c r="G251" s="12" t="n"/>
      <c r="H251" s="12" t="n"/>
      <c r="I251" s="12" t="n"/>
      <c r="J251" s="13" t="inlineStr">
        <is>
          <t>INVOICE NOTES: Invoice total uncertain</t>
        </is>
      </c>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row>
    <row r="252"/>
    <row r="253">
      <c r="A253" s="14" t="n"/>
      <c r="B253" s="14" t="n"/>
      <c r="C253" s="14" t="n"/>
      <c r="D253" s="14" t="n"/>
      <c r="E253" s="14" t="n"/>
      <c r="F253" s="14" t="n"/>
      <c r="G253" s="14" t="n"/>
      <c r="H253" s="14" t="n"/>
      <c r="I253" s="14" t="n"/>
      <c r="J253" s="14" t="inlineStr">
        <is>
          <t>DUTY ESTIMATION (Classification Cross-Check)</t>
        </is>
      </c>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row>
    <row r="254">
      <c r="A254" s="15" t="n"/>
      <c r="B254" s="15" t="n"/>
      <c r="C254" s="15" t="n"/>
      <c r="D254" s="15" t="n"/>
      <c r="E254" s="15" t="n"/>
      <c r="F254" s="15" t="n"/>
      <c r="G254" s="15" t="n"/>
      <c r="H254" s="15" t="n"/>
      <c r="I254" s="15" t="n"/>
      <c r="J254" s="16" t="inlineStr">
        <is>
          <t>CIF (USD) = InvTotal + Freight + Insurance</t>
        </is>
      </c>
      <c r="K254" s="15" t="n"/>
      <c r="L254" s="15" t="n"/>
      <c r="M254" s="15" t="n"/>
      <c r="N254" s="15" t="n"/>
      <c r="O254" s="15" t="n"/>
      <c r="P254" s="17" t="n">
        <v>9.550000000000001</v>
      </c>
      <c r="Q254" s="15" t="n"/>
      <c r="R254" s="15" t="n"/>
      <c r="S254" s="15" t="n"/>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row>
    <row r="255">
      <c r="A255" s="15" t="n"/>
      <c r="B255" s="15" t="n"/>
      <c r="C255" s="15" t="n"/>
      <c r="D255" s="15" t="n"/>
      <c r="E255" s="15" t="n"/>
      <c r="F255" s="15" t="n"/>
      <c r="G255" s="15" t="n"/>
      <c r="H255" s="15" t="n"/>
      <c r="I255" s="15" t="n"/>
      <c r="J255" s="16" t="inlineStr">
        <is>
          <t>CIF (XCD) = CIF × 2.7169</t>
        </is>
      </c>
      <c r="K255" s="15" t="n"/>
      <c r="L255" s="15" t="n"/>
      <c r="M255" s="15" t="n"/>
      <c r="N255" s="15" t="n"/>
      <c r="O255" s="15" t="n"/>
      <c r="P255" s="17" t="n">
        <v>25.95</v>
      </c>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row>
    <row r="256">
      <c r="A256" s="15" t="n"/>
      <c r="B256" s="15" t="n"/>
      <c r="C256" s="15" t="n"/>
      <c r="D256" s="15" t="n"/>
      <c r="E256" s="15" t="n"/>
      <c r="F256" s="15" t="n"/>
      <c r="G256" s="15" t="n"/>
      <c r="H256" s="15" t="n"/>
      <c r="I256" s="15" t="n"/>
      <c r="J256" s="16" t="inlineStr">
        <is>
          <t>CET (weighted avg 20.0%)</t>
        </is>
      </c>
      <c r="K256" s="15" t="n"/>
      <c r="L256" s="15" t="n"/>
      <c r="M256" s="15" t="n"/>
      <c r="N256" s="15" t="n"/>
      <c r="O256" s="15" t="n"/>
      <c r="P256" s="17" t="n">
        <v>5.19</v>
      </c>
      <c r="Q256" s="15" t="n"/>
      <c r="R256" s="15" t="n"/>
      <c r="S256" s="15" t="n"/>
      <c r="T256" s="15" t="n"/>
      <c r="U256" s="15" t="n"/>
      <c r="V256" s="15" t="n"/>
      <c r="W256" s="15" t="n"/>
      <c r="X256" s="15" t="n"/>
      <c r="Y256" s="15" t="n"/>
      <c r="Z256" s="15" t="n"/>
      <c r="AA256" s="15" t="n"/>
      <c r="AB256" s="15" t="n"/>
      <c r="AC256" s="15" t="n"/>
      <c r="AD256" s="15" t="n"/>
      <c r="AE256" s="15" t="n"/>
      <c r="AF256" s="15" t="n"/>
      <c r="AG256" s="15" t="n"/>
      <c r="AH256" s="15" t="n"/>
      <c r="AI256" s="15" t="n"/>
      <c r="AJ256" s="15" t="n"/>
      <c r="AK256" s="15" t="n"/>
    </row>
    <row r="257">
      <c r="A257" s="15" t="n"/>
      <c r="B257" s="15" t="n"/>
      <c r="C257" s="15" t="n"/>
      <c r="D257" s="15" t="n"/>
      <c r="E257" s="15" t="n"/>
      <c r="F257" s="15" t="inlineStr">
        <is>
          <t>61091020</t>
        </is>
      </c>
      <c r="G257" s="15" t="n"/>
      <c r="H257" s="15" t="n"/>
      <c r="I257" s="15" t="n"/>
      <c r="J257" s="16" t="inlineStr">
        <is>
          <t xml:space="preserve">  └ 61091020: 20% CET (36% of value)</t>
        </is>
      </c>
      <c r="K257" s="15" t="n"/>
      <c r="L257" s="15" t="n"/>
      <c r="M257" s="15" t="n"/>
      <c r="N257" s="15" t="n"/>
      <c r="O257" s="15" t="n"/>
      <c r="P257" s="17" t="n">
        <v>1.86</v>
      </c>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inlineStr">
        <is>
          <t>61091020</t>
        </is>
      </c>
    </row>
    <row r="258">
      <c r="A258" s="15" t="n"/>
      <c r="B258" s="15" t="n"/>
      <c r="C258" s="15" t="n"/>
      <c r="D258" s="15" t="n"/>
      <c r="E258" s="15" t="n"/>
      <c r="F258" s="15" t="inlineStr">
        <is>
          <t>61099010</t>
        </is>
      </c>
      <c r="G258" s="15" t="n"/>
      <c r="H258" s="15" t="n"/>
      <c r="I258" s="15" t="n"/>
      <c r="J258" s="16" t="inlineStr">
        <is>
          <t xml:space="preserve">  └ 61099010: 20% CET (30% of value)</t>
        </is>
      </c>
      <c r="K258" s="15" t="n"/>
      <c r="L258" s="15" t="n"/>
      <c r="M258" s="15" t="n"/>
      <c r="N258" s="15" t="n"/>
      <c r="O258" s="15" t="n"/>
      <c r="P258" s="17" t="n">
        <v>1.53</v>
      </c>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inlineStr">
        <is>
          <t>61099010</t>
        </is>
      </c>
    </row>
    <row r="259">
      <c r="A259" s="15" t="n"/>
      <c r="B259" s="15" t="n"/>
      <c r="C259" s="15" t="n"/>
      <c r="D259" s="15" t="n"/>
      <c r="E259" s="15" t="n"/>
      <c r="F259" s="15" t="inlineStr">
        <is>
          <t>62052000</t>
        </is>
      </c>
      <c r="G259" s="15" t="n"/>
      <c r="H259" s="15" t="n"/>
      <c r="I259" s="15" t="n"/>
      <c r="J259" s="16" t="inlineStr">
        <is>
          <t xml:space="preserve">  └ 62052000: 20% CET (35% of value)</t>
        </is>
      </c>
      <c r="K259" s="15" t="n"/>
      <c r="L259" s="15" t="n"/>
      <c r="M259" s="15" t="n"/>
      <c r="N259" s="15" t="n"/>
      <c r="O259" s="15" t="n"/>
      <c r="P259" s="17" t="n">
        <v>1.79</v>
      </c>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inlineStr">
        <is>
          <t>62052000</t>
        </is>
      </c>
    </row>
    <row r="260">
      <c r="A260" s="15" t="n"/>
      <c r="B260" s="15" t="n"/>
      <c r="C260" s="15" t="n"/>
      <c r="D260" s="15" t="n"/>
      <c r="E260" s="15" t="n"/>
      <c r="F260" s="15" t="n"/>
      <c r="G260" s="15" t="n"/>
      <c r="H260" s="15" t="n"/>
      <c r="I260" s="15" t="n"/>
      <c r="J260" s="16" t="inlineStr">
        <is>
          <t>CSC (6%)</t>
        </is>
      </c>
      <c r="K260" s="15" t="n"/>
      <c r="L260" s="15" t="n"/>
      <c r="M260" s="15" t="n"/>
      <c r="N260" s="15" t="n"/>
      <c r="O260" s="15" t="n"/>
      <c r="P260" s="17" t="n">
        <v>1.56</v>
      </c>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row>
    <row r="261">
      <c r="A261" s="15" t="n"/>
      <c r="B261" s="15" t="n"/>
      <c r="C261" s="15" t="n"/>
      <c r="D261" s="15" t="n"/>
      <c r="E261" s="15" t="n"/>
      <c r="F261" s="15" t="n"/>
      <c r="G261" s="15" t="n"/>
      <c r="H261" s="15" t="n"/>
      <c r="I261" s="15" t="n"/>
      <c r="J261" s="16" t="inlineStr">
        <is>
          <t>VAT (15%) on CIF+CET+CSC</t>
        </is>
      </c>
      <c r="K261" s="15" t="n"/>
      <c r="L261" s="15" t="n"/>
      <c r="M261" s="15" t="n"/>
      <c r="N261" s="15" t="n"/>
      <c r="O261" s="15" t="n"/>
      <c r="P261" s="17" t="n">
        <v>4.91</v>
      </c>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row>
    <row r="262">
      <c r="A262" s="18" t="n"/>
      <c r="B262" s="18" t="n"/>
      <c r="C262" s="18" t="n"/>
      <c r="D262" s="18" t="n"/>
      <c r="E262" s="18" t="n"/>
      <c r="F262" s="18" t="n"/>
      <c r="G262" s="18" t="n"/>
      <c r="H262" s="18" t="n"/>
      <c r="I262" s="18" t="n"/>
      <c r="J262" s="14" t="inlineStr">
        <is>
          <t>ESTIMATED TOTAL DUTIES</t>
        </is>
      </c>
      <c r="K262" s="18" t="n"/>
      <c r="L262" s="18" t="n"/>
      <c r="M262" s="18" t="n"/>
      <c r="N262" s="18" t="n"/>
      <c r="O262" s="18" t="n"/>
      <c r="P262" s="19" t="n">
        <v>11.66</v>
      </c>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c r="AJ262" s="18" t="n"/>
      <c r="AK262" s="18" t="n"/>
    </row>
    <row r="263">
      <c r="A263" s="15" t="n"/>
      <c r="B263" s="15" t="n"/>
      <c r="C263" s="15" t="n"/>
      <c r="D263" s="15" t="n"/>
      <c r="E263" s="15" t="n"/>
      <c r="F263" s="15" t="n"/>
      <c r="G263" s="15" t="n"/>
      <c r="H263" s="15" t="n"/>
      <c r="I263" s="15" t="n"/>
      <c r="J263" s="16" t="inlineStr">
        <is>
          <t>Effective Duty Rate</t>
        </is>
      </c>
      <c r="K263" s="15" t="n"/>
      <c r="L263" s="15" t="n"/>
      <c r="M263" s="15" t="n"/>
      <c r="N263" s="15" t="n"/>
      <c r="O263" s="15" t="n"/>
      <c r="P263" s="20" t="n">
        <v>0.4493256262042389</v>
      </c>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c r="AA264" s="21" t="n"/>
      <c r="AB264" s="21" t="n"/>
      <c r="AC264" s="21" t="n"/>
      <c r="AD264" s="21" t="n"/>
      <c r="AE264" s="21" t="n"/>
      <c r="AF264" s="21" t="n"/>
      <c r="AG264" s="21" t="n"/>
      <c r="AH264" s="21" t="n"/>
      <c r="AI264" s="21" t="n"/>
      <c r="AJ264" s="21" t="n"/>
      <c r="AK264" s="21" t="n"/>
    </row>
    <row r="265">
      <c r="A265" s="2" t="inlineStr">
        <is>
          <t>4000-000</t>
        </is>
      </c>
      <c r="B265" s="2" t="n"/>
      <c r="C265" s="2" t="inlineStr">
        <is>
          <t>GSUNJY57BOONGXE_Invoice_10</t>
        </is>
      </c>
      <c r="D265" s="2" t="n"/>
      <c r="E265" s="2" t="inlineStr">
        <is>
          <t>Miscellaneous</t>
        </is>
      </c>
      <c r="F265" s="2" t="inlineStr">
        <is>
          <t>99999999</t>
        </is>
      </c>
      <c r="G265" s="2" t="n"/>
      <c r="H265" s="2" t="n"/>
      <c r="I265" s="2" t="inlineStr">
        <is>
          <t>99999999</t>
        </is>
      </c>
      <c r="J265" s="2" t="inlineStr">
        <is>
          <t>SHEIN US Services, LLC Purchase (1 items)</t>
        </is>
      </c>
      <c r="K265" s="2" t="n">
        <v>1</v>
      </c>
      <c r="L265" s="2" t="n"/>
      <c r="M265" s="2" t="n"/>
      <c r="N265" s="2" t="inlineStr">
        <is>
          <t>USD</t>
        </is>
      </c>
      <c r="O265" s="3" t="n">
        <v>0.01</v>
      </c>
      <c r="P265" s="3" t="n">
        <v>0.01</v>
      </c>
      <c r="Q265" s="3">
        <f>O265*K265</f>
        <v/>
      </c>
      <c r="R265" s="3">
        <f>P265-Q265</f>
        <v/>
      </c>
      <c r="S265" s="3" t="n">
        <v>0.01</v>
      </c>
      <c r="T265" s="3" t="n">
        <v>0</v>
      </c>
      <c r="U265" s="3" t="n">
        <v>0</v>
      </c>
      <c r="V265" s="3" t="n">
        <v>0</v>
      </c>
      <c r="W265" s="3" t="n">
        <v>0</v>
      </c>
      <c r="X265" s="2" t="n"/>
      <c r="Y265" s="2" t="n"/>
      <c r="Z265" s="2" t="inlineStr">
        <is>
          <t>SHEIN</t>
        </is>
      </c>
      <c r="AA265" s="2" t="inlineStr">
        <is>
          <t>SHEIN US Services, LLC</t>
        </is>
      </c>
      <c r="AB265" s="2" t="inlineStr">
        <is>
          <t>777 S. Alameda St., Second Floor, Los Angeles, CA 90021</t>
        </is>
      </c>
      <c r="AC265" s="2" t="inlineStr">
        <is>
          <t>US</t>
        </is>
      </c>
      <c r="AD265" s="2" t="n"/>
      <c r="AE265" s="2" t="n"/>
      <c r="AF265" s="2" t="n"/>
      <c r="AG265" s="2" t="n"/>
      <c r="AH265" s="2" t="n"/>
      <c r="AI265" s="2" t="n"/>
      <c r="AJ265" s="2" t="n"/>
      <c r="AK265" s="2" t="inlineStr">
        <is>
          <t>99999999</t>
        </is>
      </c>
    </row>
    <row r="266">
      <c r="A266" s="4" t="n"/>
      <c r="B266" s="4" t="n"/>
      <c r="C266" s="4" t="n"/>
      <c r="D266" s="4" t="n"/>
      <c r="E266" s="4" t="n"/>
      <c r="F266" s="4" t="inlineStr">
        <is>
          <t>99999999</t>
        </is>
      </c>
      <c r="G266" s="4" t="n"/>
      <c r="H266" s="4" t="n"/>
      <c r="I266" s="4" t="inlineStr">
        <is>
          <t>SHE-1</t>
        </is>
      </c>
      <c r="J266" s="4" t="inlineStr">
        <is>
          <t>SHEIN US Services, LLC Purchase</t>
        </is>
      </c>
      <c r="K266" s="4" t="n">
        <v>1</v>
      </c>
      <c r="L266" s="4" t="n"/>
      <c r="M266" s="4" t="n"/>
      <c r="N266" s="4" t="inlineStr">
        <is>
          <t>USD</t>
        </is>
      </c>
      <c r="O266" s="5" t="n">
        <v>0.01</v>
      </c>
      <c r="P266" s="5" t="n">
        <v>0.01</v>
      </c>
      <c r="Q266" s="5">
        <f>O266*K266</f>
        <v/>
      </c>
      <c r="R266" s="5">
        <f>P266-Q266</f>
        <v/>
      </c>
      <c r="S266" s="4" t="n"/>
      <c r="T266" s="4" t="n"/>
      <c r="U266" s="4" t="n"/>
      <c r="V266" s="4" t="n"/>
      <c r="W266" s="4" t="n"/>
      <c r="X266" s="4" t="n"/>
      <c r="Y266" s="4" t="n"/>
      <c r="Z266" s="4" t="n"/>
      <c r="AA266" s="4" t="n"/>
      <c r="AB266" s="4" t="n"/>
      <c r="AC266" s="4" t="n"/>
      <c r="AD266" s="4" t="n"/>
      <c r="AE266" s="4" t="n"/>
      <c r="AF266" s="4" t="n"/>
      <c r="AG266" s="4" t="n"/>
      <c r="AH266" s="4" t="n"/>
      <c r="AI266" s="4" t="n"/>
      <c r="AJ266" s="4" t="n"/>
      <c r="AK266" s="4" t="n"/>
    </row>
    <row r="267">
      <c r="A267" s="6" t="n"/>
      <c r="B267" s="6" t="n"/>
      <c r="C267" s="6" t="n"/>
      <c r="D267" s="6" t="n"/>
      <c r="E267" s="6" t="n"/>
      <c r="F267" s="6" t="n"/>
      <c r="G267" s="6" t="n"/>
      <c r="H267" s="6" t="n"/>
      <c r="I267" s="6" t="n"/>
      <c r="J267" s="6" t="inlineStr">
        <is>
          <t>SUBTOTAL (GROUPED)</t>
        </is>
      </c>
      <c r="K267" s="6" t="n"/>
      <c r="L267" s="6" t="n"/>
      <c r="M267" s="6" t="n"/>
      <c r="N267" s="6" t="n"/>
      <c r="O267" s="6" t="n"/>
      <c r="P267" s="7">
        <f>P265</f>
        <v/>
      </c>
      <c r="Q267" s="7">
        <f>Q265</f>
        <v/>
      </c>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row>
    <row r="268">
      <c r="A268" s="6" t="n"/>
      <c r="B268" s="6" t="n"/>
      <c r="C268" s="6" t="n"/>
      <c r="D268" s="6" t="n"/>
      <c r="E268" s="6" t="n"/>
      <c r="F268" s="6" t="n"/>
      <c r="G268" s="6" t="n"/>
      <c r="H268" s="6" t="n"/>
      <c r="I268" s="6" t="n"/>
      <c r="J268" s="6" t="inlineStr">
        <is>
          <t>SUBTOTAL (DETAILS)</t>
        </is>
      </c>
      <c r="K268" s="6" t="n"/>
      <c r="L268" s="6" t="n"/>
      <c r="M268" s="6" t="n"/>
      <c r="N268" s="6" t="n"/>
      <c r="O268" s="6" t="n"/>
      <c r="P268" s="7">
        <f>SUM(P265:P266)-P267</f>
        <v/>
      </c>
      <c r="Q268" s="7">
        <f>SUM(Q265:Q266)-Q267</f>
        <v/>
      </c>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row>
    <row r="269">
      <c r="A269" s="8" t="n"/>
      <c r="B269" s="8" t="n"/>
      <c r="C269" s="8" t="n"/>
      <c r="D269" s="8" t="n"/>
      <c r="E269" s="8" t="n"/>
      <c r="F269" s="8" t="n"/>
      <c r="G269" s="8" t="n"/>
      <c r="H269" s="8" t="n"/>
      <c r="I269" s="8" t="n"/>
      <c r="J269" s="8" t="inlineStr">
        <is>
          <t>GROUP VERIFICATION</t>
        </is>
      </c>
      <c r="K269" s="8" t="n"/>
      <c r="L269" s="8" t="n"/>
      <c r="M269" s="8" t="n"/>
      <c r="N269" s="8" t="n"/>
      <c r="O269" s="8" t="n"/>
      <c r="P269" s="9">
        <f>P267-P268</f>
        <v/>
      </c>
      <c r="Q269" s="9">
        <f>Q267-Q268</f>
        <v/>
      </c>
      <c r="R269" s="8" t="n"/>
      <c r="S269" s="8" t="n"/>
      <c r="T269" s="8" t="n"/>
      <c r="U269" s="8" t="n"/>
      <c r="V269" s="8" t="n"/>
      <c r="W269" s="8" t="n"/>
      <c r="X269" s="8" t="n"/>
      <c r="Y269" s="8" t="n"/>
      <c r="Z269" s="8" t="n"/>
      <c r="AA269" s="8" t="n"/>
      <c r="AB269" s="8" t="n"/>
      <c r="AC269" s="8" t="n"/>
      <c r="AD269" s="8" t="n"/>
      <c r="AE269" s="8" t="n"/>
      <c r="AF269" s="8" t="n"/>
      <c r="AG269" s="8" t="n"/>
      <c r="AH269" s="8" t="n"/>
      <c r="AI269" s="8" t="n"/>
      <c r="AJ269" s="8" t="n"/>
      <c r="AK269" s="8" t="n"/>
    </row>
    <row r="270"/>
    <row r="271">
      <c r="A271" s="6" t="n"/>
      <c r="B271" s="6" t="n"/>
      <c r="C271" s="6" t="n"/>
      <c r="D271" s="6" t="n"/>
      <c r="E271" s="6" t="n"/>
      <c r="F271" s="6" t="n"/>
      <c r="G271" s="6" t="n"/>
      <c r="H271" s="6" t="n"/>
      <c r="I271" s="6" t="n"/>
      <c r="J271" s="6" t="inlineStr">
        <is>
          <t>TOTAL INTERNAL FREIGHT</t>
        </is>
      </c>
      <c r="K271" s="6" t="n"/>
      <c r="L271" s="6" t="n"/>
      <c r="M271" s="6" t="n"/>
      <c r="N271" s="6" t="n"/>
      <c r="O271" s="6" t="n"/>
      <c r="P271" s="7" t="n">
        <v>0</v>
      </c>
      <c r="Q271" s="7"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row>
    <row r="272">
      <c r="A272" s="6" t="n"/>
      <c r="B272" s="6" t="n"/>
      <c r="C272" s="6" t="n"/>
      <c r="D272" s="6" t="n"/>
      <c r="E272" s="6" t="n"/>
      <c r="F272" s="6" t="n"/>
      <c r="G272" s="6" t="n"/>
      <c r="H272" s="6" t="n"/>
      <c r="I272" s="6" t="n"/>
      <c r="J272" s="6" t="inlineStr">
        <is>
          <t>TOTAL INSURANCE</t>
        </is>
      </c>
      <c r="K272" s="6" t="n"/>
      <c r="L272" s="6" t="n"/>
      <c r="M272" s="6" t="n"/>
      <c r="N272" s="6" t="n"/>
      <c r="O272" s="6" t="n"/>
      <c r="P272" s="7" t="n">
        <v>0</v>
      </c>
      <c r="Q272" s="7"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row>
    <row r="273">
      <c r="A273" s="6" t="n"/>
      <c r="B273" s="6" t="n"/>
      <c r="C273" s="6" t="n"/>
      <c r="D273" s="6" t="n"/>
      <c r="E273" s="6" t="n"/>
      <c r="F273" s="6" t="n"/>
      <c r="G273" s="6" t="n"/>
      <c r="H273" s="6" t="n"/>
      <c r="I273" s="6" t="n"/>
      <c r="J273" s="6" t="inlineStr">
        <is>
          <t>TOTAL OTHER COST</t>
        </is>
      </c>
      <c r="K273" s="6" t="n"/>
      <c r="L273" s="6" t="n"/>
      <c r="M273" s="6" t="n"/>
      <c r="N273" s="6" t="n"/>
      <c r="O273" s="6" t="n"/>
      <c r="P273" s="7" t="n">
        <v>0</v>
      </c>
      <c r="Q273" s="7"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row>
    <row r="274">
      <c r="A274" s="6" t="n"/>
      <c r="B274" s="6" t="n"/>
      <c r="C274" s="6" t="n"/>
      <c r="D274" s="6" t="n"/>
      <c r="E274" s="6" t="n"/>
      <c r="F274" s="6" t="n"/>
      <c r="G274" s="6" t="n"/>
      <c r="H274" s="6" t="n"/>
      <c r="I274" s="6" t="n"/>
      <c r="J274" s="6" t="inlineStr">
        <is>
          <t>TOTAL DEDUCTION</t>
        </is>
      </c>
      <c r="K274" s="6" t="n"/>
      <c r="L274" s="6" t="n"/>
      <c r="M274" s="6" t="n"/>
      <c r="N274" s="6" t="n"/>
      <c r="O274" s="6" t="n"/>
      <c r="P274" s="7" t="n">
        <v>0</v>
      </c>
      <c r="Q274" s="7"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row>
    <row r="275">
      <c r="A275" s="6" t="n"/>
      <c r="B275" s="6" t="n"/>
      <c r="C275" s="6" t="n"/>
      <c r="D275" s="6" t="n"/>
      <c r="E275" s="6" t="n"/>
      <c r="F275" s="6" t="n"/>
      <c r="G275" s="6" t="n"/>
      <c r="H275" s="6" t="n"/>
      <c r="I275" s="6" t="n"/>
      <c r="J275" s="6" t="inlineStr">
        <is>
          <t>ADJUSTMENTS</t>
        </is>
      </c>
      <c r="K275" s="6" t="n"/>
      <c r="L275" s="6" t="n"/>
      <c r="M275" s="6" t="n"/>
      <c r="N275" s="6" t="n"/>
      <c r="O275" s="6" t="n"/>
      <c r="P275" s="7">
        <f>(T265+U265+V265-W265)</f>
        <v/>
      </c>
      <c r="Q275" s="7">
        <f>(T265+U265+V265-W265)</f>
        <v/>
      </c>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row>
    <row r="276"/>
    <row r="277">
      <c r="A277" s="6" t="n"/>
      <c r="B277" s="6" t="n"/>
      <c r="C277" s="6" t="n"/>
      <c r="D277" s="6" t="n"/>
      <c r="E277" s="6" t="n"/>
      <c r="F277" s="6" t="n"/>
      <c r="G277" s="6" t="n"/>
      <c r="H277" s="6" t="n"/>
      <c r="I277" s="6" t="n"/>
      <c r="J277" s="6" t="inlineStr">
        <is>
          <t>NET TOTAL</t>
        </is>
      </c>
      <c r="K277" s="6" t="n"/>
      <c r="L277" s="6" t="n"/>
      <c r="M277" s="6" t="n"/>
      <c r="N277" s="6" t="n"/>
      <c r="O277" s="6" t="n"/>
      <c r="P277" s="7">
        <f>P267+P275</f>
        <v/>
      </c>
      <c r="Q277" s="7">
        <f>Q267+Q275</f>
        <v/>
      </c>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row>
    <row r="278">
      <c r="A278" s="6" t="n"/>
      <c r="B278" s="6" t="n"/>
      <c r="C278" s="6" t="n"/>
      <c r="D278" s="6" t="n"/>
      <c r="E278" s="6" t="n"/>
      <c r="F278" s="6" t="n"/>
      <c r="G278" s="6" t="n"/>
      <c r="H278" s="6" t="n"/>
      <c r="I278" s="6" t="n"/>
      <c r="J278" s="6" t="inlineStr">
        <is>
          <t>INVOICE TOTAL</t>
        </is>
      </c>
      <c r="K278" s="6" t="n"/>
      <c r="L278" s="6" t="n"/>
      <c r="M278" s="6" t="n"/>
      <c r="N278" s="6" t="n"/>
      <c r="O278" s="6" t="n"/>
      <c r="P278" s="7">
        <f>S265</f>
        <v/>
      </c>
      <c r="Q278" s="7"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row>
    <row r="279"/>
    <row r="280">
      <c r="A280" s="10" t="n"/>
      <c r="B280" s="10" t="n"/>
      <c r="C280" s="10" t="n"/>
      <c r="D280" s="10" t="n"/>
      <c r="E280" s="10" t="n"/>
      <c r="F280" s="10" t="n"/>
      <c r="G280" s="10" t="n"/>
      <c r="H280" s="10" t="n"/>
      <c r="I280" s="10" t="n"/>
      <c r="J280" s="10" t="inlineStr">
        <is>
          <t>VARIANCE CHECK</t>
        </is>
      </c>
      <c r="K280" s="10" t="n"/>
      <c r="L280" s="10" t="n"/>
      <c r="M280" s="10" t="n"/>
      <c r="N280" s="10" t="n"/>
      <c r="O280" s="10" t="n"/>
      <c r="P280" s="11">
        <f>S265-P277</f>
        <v/>
      </c>
      <c r="Q280" s="11">
        <f>S265-Q277</f>
        <v/>
      </c>
      <c r="R280" s="10" t="n"/>
      <c r="S280" s="10" t="n"/>
      <c r="T280" s="10" t="n"/>
      <c r="U280" s="10" t="n"/>
      <c r="V280" s="10" t="n"/>
      <c r="W280" s="10" t="n"/>
      <c r="X280" s="10" t="n"/>
      <c r="Y280" s="10" t="n"/>
      <c r="Z280" s="10" t="n"/>
      <c r="AA280" s="10" t="n"/>
      <c r="AB280" s="10" t="n"/>
      <c r="AC280" s="10" t="n"/>
      <c r="AD280" s="10" t="n"/>
      <c r="AE280" s="10" t="n"/>
      <c r="AF280" s="10" t="n"/>
      <c r="AG280" s="10" t="n"/>
      <c r="AH280" s="10" t="n"/>
      <c r="AI280" s="10" t="n"/>
      <c r="AJ280" s="10" t="n"/>
      <c r="AK280" s="10" t="n"/>
    </row>
    <row r="281"/>
    <row r="282">
      <c r="A282" s="14" t="n"/>
      <c r="B282" s="14" t="n"/>
      <c r="C282" s="14" t="n"/>
      <c r="D282" s="14" t="n"/>
      <c r="E282" s="14" t="n"/>
      <c r="F282" s="14" t="n"/>
      <c r="G282" s="14" t="n"/>
      <c r="H282" s="14" t="n"/>
      <c r="I282" s="14" t="n"/>
      <c r="J282" s="14" t="inlineStr">
        <is>
          <t>DUTY ESTIMATION (Classification Cross-Check)</t>
        </is>
      </c>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row>
    <row r="283">
      <c r="A283" s="15" t="n"/>
      <c r="B283" s="15" t="n"/>
      <c r="C283" s="15" t="n"/>
      <c r="D283" s="15" t="n"/>
      <c r="E283" s="15" t="n"/>
      <c r="F283" s="15" t="n"/>
      <c r="G283" s="15" t="n"/>
      <c r="H283" s="15" t="n"/>
      <c r="I283" s="15" t="n"/>
      <c r="J283" s="16" t="inlineStr">
        <is>
          <t>CIF (USD) = InvTotal + Freight + Insurance</t>
        </is>
      </c>
      <c r="K283" s="15" t="n"/>
      <c r="L283" s="15" t="n"/>
      <c r="M283" s="15" t="n"/>
      <c r="N283" s="15" t="n"/>
      <c r="O283" s="15" t="n"/>
      <c r="P283" s="17" t="n">
        <v>0.01</v>
      </c>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row>
    <row r="284">
      <c r="A284" s="15" t="n"/>
      <c r="B284" s="15" t="n"/>
      <c r="C284" s="15" t="n"/>
      <c r="D284" s="15" t="n"/>
      <c r="E284" s="15" t="n"/>
      <c r="F284" s="15" t="n"/>
      <c r="G284" s="15" t="n"/>
      <c r="H284" s="15" t="n"/>
      <c r="I284" s="15" t="n"/>
      <c r="J284" s="16" t="inlineStr">
        <is>
          <t>CIF (XCD) = CIF × 2.7169</t>
        </is>
      </c>
      <c r="K284" s="15" t="n"/>
      <c r="L284" s="15" t="n"/>
      <c r="M284" s="15" t="n"/>
      <c r="N284" s="15" t="n"/>
      <c r="O284" s="15" t="n"/>
      <c r="P284" s="17" t="n">
        <v>0.03</v>
      </c>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row>
    <row r="285">
      <c r="A285" s="15" t="n"/>
      <c r="B285" s="15" t="n"/>
      <c r="C285" s="15" t="n"/>
      <c r="D285" s="15" t="n"/>
      <c r="E285" s="15" t="n"/>
      <c r="F285" s="15" t="n"/>
      <c r="G285" s="15" t="n"/>
      <c r="H285" s="15" t="n"/>
      <c r="I285" s="15" t="n"/>
      <c r="J285" s="16" t="inlineStr">
        <is>
          <t>CET (20%) — Tariff 99999999</t>
        </is>
      </c>
      <c r="K285" s="15" t="n"/>
      <c r="L285" s="15" t="n"/>
      <c r="M285" s="15" t="n"/>
      <c r="N285" s="15" t="n"/>
      <c r="O285" s="15" t="n"/>
      <c r="P285" s="17" t="n">
        <v>0.01</v>
      </c>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row>
    <row r="286">
      <c r="A286" s="15" t="n"/>
      <c r="B286" s="15" t="n"/>
      <c r="C286" s="15" t="n"/>
      <c r="D286" s="15" t="n"/>
      <c r="E286" s="15" t="n"/>
      <c r="F286" s="15" t="n"/>
      <c r="G286" s="15" t="n"/>
      <c r="H286" s="15" t="n"/>
      <c r="I286" s="15" t="n"/>
      <c r="J286" s="16" t="inlineStr">
        <is>
          <t>CSC (6%)</t>
        </is>
      </c>
      <c r="K286" s="15" t="n"/>
      <c r="L286" s="15" t="n"/>
      <c r="M286" s="15" t="n"/>
      <c r="N286" s="15" t="n"/>
      <c r="O286" s="15" t="n"/>
      <c r="P286" s="17" t="n">
        <v>0</v>
      </c>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row>
    <row r="287">
      <c r="A287" s="15" t="n"/>
      <c r="B287" s="15" t="n"/>
      <c r="C287" s="15" t="n"/>
      <c r="D287" s="15" t="n"/>
      <c r="E287" s="15" t="n"/>
      <c r="F287" s="15" t="n"/>
      <c r="G287" s="15" t="n"/>
      <c r="H287" s="15" t="n"/>
      <c r="I287" s="15" t="n"/>
      <c r="J287" s="16" t="inlineStr">
        <is>
          <t>VAT (15%) on CIF+CET+CSC</t>
        </is>
      </c>
      <c r="K287" s="15" t="n"/>
      <c r="L287" s="15" t="n"/>
      <c r="M287" s="15" t="n"/>
      <c r="N287" s="15" t="n"/>
      <c r="O287" s="15" t="n"/>
      <c r="P287" s="17" t="n">
        <v>0.01</v>
      </c>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row>
    <row r="288">
      <c r="A288" s="18" t="n"/>
      <c r="B288" s="18" t="n"/>
      <c r="C288" s="18" t="n"/>
      <c r="D288" s="18" t="n"/>
      <c r="E288" s="18" t="n"/>
      <c r="F288" s="18" t="n"/>
      <c r="G288" s="18" t="n"/>
      <c r="H288" s="18" t="n"/>
      <c r="I288" s="18" t="n"/>
      <c r="J288" s="14" t="inlineStr">
        <is>
          <t>ESTIMATED TOTAL DUTIES</t>
        </is>
      </c>
      <c r="K288" s="18" t="n"/>
      <c r="L288" s="18" t="n"/>
      <c r="M288" s="18" t="n"/>
      <c r="N288" s="18" t="n"/>
      <c r="O288" s="18" t="n"/>
      <c r="P288" s="19" t="n">
        <v>0.02</v>
      </c>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row>
    <row r="289">
      <c r="A289" s="15" t="n"/>
      <c r="B289" s="15" t="n"/>
      <c r="C289" s="15" t="n"/>
      <c r="D289" s="15" t="n"/>
      <c r="E289" s="15" t="n"/>
      <c r="F289" s="15" t="n"/>
      <c r="G289" s="15" t="n"/>
      <c r="H289" s="15" t="n"/>
      <c r="I289" s="15" t="n"/>
      <c r="J289" s="16" t="inlineStr">
        <is>
          <t>Effective Duty Rate</t>
        </is>
      </c>
      <c r="K289" s="15" t="n"/>
      <c r="L289" s="15" t="n"/>
      <c r="M289" s="15" t="n"/>
      <c r="N289" s="15" t="n"/>
      <c r="O289" s="15" t="n"/>
      <c r="P289" s="20" t="n">
        <v>0.6666666666666667</v>
      </c>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c r="AA290" s="21" t="n"/>
      <c r="AB290" s="21" t="n"/>
      <c r="AC290" s="21" t="n"/>
      <c r="AD290" s="21" t="n"/>
      <c r="AE290" s="21" t="n"/>
      <c r="AF290" s="21" t="n"/>
      <c r="AG290" s="21" t="n"/>
      <c r="AH290" s="21" t="n"/>
      <c r="AI290" s="21" t="n"/>
      <c r="AJ290" s="21" t="n"/>
      <c r="AK290" s="21" t="n"/>
    </row>
    <row r="291">
      <c r="A291" s="2" t="inlineStr">
        <is>
          <t>4000-000</t>
        </is>
      </c>
      <c r="B291" s="2" t="n"/>
      <c r="C291" s="2" t="inlineStr">
        <is>
          <t>GSUNJY57BOONGXE_Invoice_11</t>
        </is>
      </c>
      <c r="D291" s="2" t="n"/>
      <c r="E291" s="2" t="inlineStr">
        <is>
          <t>Miscellaneous</t>
        </is>
      </c>
      <c r="F291" s="2" t="inlineStr">
        <is>
          <t>99999999</t>
        </is>
      </c>
      <c r="G291" s="2" t="n"/>
      <c r="H291" s="2" t="n"/>
      <c r="I291" s="2" t="inlineStr">
        <is>
          <t>99999999</t>
        </is>
      </c>
      <c r="J291" s="2" t="inlineStr">
        <is>
          <t>SHEIN US Services, LLC Purchase (1 items)</t>
        </is>
      </c>
      <c r="K291" s="2" t="n">
        <v>1</v>
      </c>
      <c r="L291" s="2" t="n"/>
      <c r="M291" s="2" t="n"/>
      <c r="N291" s="2" t="inlineStr">
        <is>
          <t>USD</t>
        </is>
      </c>
      <c r="O291" s="3" t="n">
        <v>0.01</v>
      </c>
      <c r="P291" s="3" t="n">
        <v>0.01</v>
      </c>
      <c r="Q291" s="3">
        <f>O291*K291</f>
        <v/>
      </c>
      <c r="R291" s="3">
        <f>P291-Q291</f>
        <v/>
      </c>
      <c r="S291" s="3" t="n">
        <v>0.01</v>
      </c>
      <c r="T291" s="3" t="n">
        <v>0</v>
      </c>
      <c r="U291" s="3" t="n">
        <v>0</v>
      </c>
      <c r="V291" s="3" t="n">
        <v>0</v>
      </c>
      <c r="W291" s="3" t="n">
        <v>0</v>
      </c>
      <c r="X291" s="2" t="n"/>
      <c r="Y291" s="2" t="n"/>
      <c r="Z291" s="2" t="inlineStr">
        <is>
          <t>SHEIN</t>
        </is>
      </c>
      <c r="AA291" s="2" t="inlineStr">
        <is>
          <t>SHEIN US Services, LLC</t>
        </is>
      </c>
      <c r="AB291" s="2" t="inlineStr">
        <is>
          <t>777 S. Alameda St., Second Floor, Los Angeles, CA 90021</t>
        </is>
      </c>
      <c r="AC291" s="2" t="inlineStr">
        <is>
          <t>US</t>
        </is>
      </c>
      <c r="AD291" s="2" t="n"/>
      <c r="AE291" s="2" t="n"/>
      <c r="AF291" s="2" t="n"/>
      <c r="AG291" s="2" t="n"/>
      <c r="AH291" s="2" t="n"/>
      <c r="AI291" s="2" t="n"/>
      <c r="AJ291" s="2" t="n"/>
      <c r="AK291" s="2" t="inlineStr">
        <is>
          <t>99999999</t>
        </is>
      </c>
    </row>
    <row r="292">
      <c r="A292" s="4" t="n"/>
      <c r="B292" s="4" t="n"/>
      <c r="C292" s="4" t="n"/>
      <c r="D292" s="4" t="n"/>
      <c r="E292" s="4" t="n"/>
      <c r="F292" s="4" t="inlineStr">
        <is>
          <t>99999999</t>
        </is>
      </c>
      <c r="G292" s="4" t="n"/>
      <c r="H292" s="4" t="n"/>
      <c r="I292" s="4" t="inlineStr">
        <is>
          <t>SHE-1</t>
        </is>
      </c>
      <c r="J292" s="4" t="inlineStr">
        <is>
          <t>SHEIN US Services, LLC Purchase</t>
        </is>
      </c>
      <c r="K292" s="4" t="n">
        <v>1</v>
      </c>
      <c r="L292" s="4" t="n"/>
      <c r="M292" s="4" t="n"/>
      <c r="N292" s="4" t="inlineStr">
        <is>
          <t>USD</t>
        </is>
      </c>
      <c r="O292" s="5" t="n">
        <v>0.01</v>
      </c>
      <c r="P292" s="5" t="n">
        <v>0.01</v>
      </c>
      <c r="Q292" s="5">
        <f>O292*K292</f>
        <v/>
      </c>
      <c r="R292" s="5">
        <f>P292-Q292</f>
        <v/>
      </c>
      <c r="S292" s="4" t="n"/>
      <c r="T292" s="4" t="n"/>
      <c r="U292" s="4" t="n"/>
      <c r="V292" s="4" t="n"/>
      <c r="W292" s="4" t="n"/>
      <c r="X292" s="4" t="n"/>
      <c r="Y292" s="4" t="n"/>
      <c r="Z292" s="4" t="n"/>
      <c r="AA292" s="4" t="n"/>
      <c r="AB292" s="4" t="n"/>
      <c r="AC292" s="4" t="n"/>
      <c r="AD292" s="4" t="n"/>
      <c r="AE292" s="4" t="n"/>
      <c r="AF292" s="4" t="n"/>
      <c r="AG292" s="4" t="n"/>
      <c r="AH292" s="4" t="n"/>
      <c r="AI292" s="4" t="n"/>
      <c r="AJ292" s="4" t="n"/>
      <c r="AK292" s="4" t="n"/>
    </row>
    <row r="293">
      <c r="A293" s="6" t="n"/>
      <c r="B293" s="6" t="n"/>
      <c r="C293" s="6" t="n"/>
      <c r="D293" s="6" t="n"/>
      <c r="E293" s="6" t="n"/>
      <c r="F293" s="6" t="n"/>
      <c r="G293" s="6" t="n"/>
      <c r="H293" s="6" t="n"/>
      <c r="I293" s="6" t="n"/>
      <c r="J293" s="6" t="inlineStr">
        <is>
          <t>SUBTOTAL (GROUPED)</t>
        </is>
      </c>
      <c r="K293" s="6" t="n"/>
      <c r="L293" s="6" t="n"/>
      <c r="M293" s="6" t="n"/>
      <c r="N293" s="6" t="n"/>
      <c r="O293" s="6" t="n"/>
      <c r="P293" s="7">
        <f>P291</f>
        <v/>
      </c>
      <c r="Q293" s="7">
        <f>Q291</f>
        <v/>
      </c>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row>
    <row r="294">
      <c r="A294" s="6" t="n"/>
      <c r="B294" s="6" t="n"/>
      <c r="C294" s="6" t="n"/>
      <c r="D294" s="6" t="n"/>
      <c r="E294" s="6" t="n"/>
      <c r="F294" s="6" t="n"/>
      <c r="G294" s="6" t="n"/>
      <c r="H294" s="6" t="n"/>
      <c r="I294" s="6" t="n"/>
      <c r="J294" s="6" t="inlineStr">
        <is>
          <t>SUBTOTAL (DETAILS)</t>
        </is>
      </c>
      <c r="K294" s="6" t="n"/>
      <c r="L294" s="6" t="n"/>
      <c r="M294" s="6" t="n"/>
      <c r="N294" s="6" t="n"/>
      <c r="O294" s="6" t="n"/>
      <c r="P294" s="7">
        <f>SUM(P291:P292)-P293</f>
        <v/>
      </c>
      <c r="Q294" s="7">
        <f>SUM(Q291:Q292)-Q293</f>
        <v/>
      </c>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row>
    <row r="295">
      <c r="A295" s="8" t="n"/>
      <c r="B295" s="8" t="n"/>
      <c r="C295" s="8" t="n"/>
      <c r="D295" s="8" t="n"/>
      <c r="E295" s="8" t="n"/>
      <c r="F295" s="8" t="n"/>
      <c r="G295" s="8" t="n"/>
      <c r="H295" s="8" t="n"/>
      <c r="I295" s="8" t="n"/>
      <c r="J295" s="8" t="inlineStr">
        <is>
          <t>GROUP VERIFICATION</t>
        </is>
      </c>
      <c r="K295" s="8" t="n"/>
      <c r="L295" s="8" t="n"/>
      <c r="M295" s="8" t="n"/>
      <c r="N295" s="8" t="n"/>
      <c r="O295" s="8" t="n"/>
      <c r="P295" s="9">
        <f>P293-P294</f>
        <v/>
      </c>
      <c r="Q295" s="9">
        <f>Q293-Q294</f>
        <v/>
      </c>
      <c r="R295" s="8" t="n"/>
      <c r="S295" s="8" t="n"/>
      <c r="T295" s="8" t="n"/>
      <c r="U295" s="8" t="n"/>
      <c r="V295" s="8" t="n"/>
      <c r="W295" s="8" t="n"/>
      <c r="X295" s="8" t="n"/>
      <c r="Y295" s="8" t="n"/>
      <c r="Z295" s="8" t="n"/>
      <c r="AA295" s="8" t="n"/>
      <c r="AB295" s="8" t="n"/>
      <c r="AC295" s="8" t="n"/>
      <c r="AD295" s="8" t="n"/>
      <c r="AE295" s="8" t="n"/>
      <c r="AF295" s="8" t="n"/>
      <c r="AG295" s="8" t="n"/>
      <c r="AH295" s="8" t="n"/>
      <c r="AI295" s="8" t="n"/>
      <c r="AJ295" s="8" t="n"/>
      <c r="AK295" s="8" t="n"/>
    </row>
    <row r="296"/>
    <row r="297">
      <c r="A297" s="6" t="n"/>
      <c r="B297" s="6" t="n"/>
      <c r="C297" s="6" t="n"/>
      <c r="D297" s="6" t="n"/>
      <c r="E297" s="6" t="n"/>
      <c r="F297" s="6" t="n"/>
      <c r="G297" s="6" t="n"/>
      <c r="H297" s="6" t="n"/>
      <c r="I297" s="6" t="n"/>
      <c r="J297" s="6" t="inlineStr">
        <is>
          <t>TOTAL INTERNAL FREIGHT</t>
        </is>
      </c>
      <c r="K297" s="6" t="n"/>
      <c r="L297" s="6" t="n"/>
      <c r="M297" s="6" t="n"/>
      <c r="N297" s="6" t="n"/>
      <c r="O297" s="6" t="n"/>
      <c r="P297" s="7" t="n">
        <v>0</v>
      </c>
      <c r="Q297" s="7"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row>
    <row r="298">
      <c r="A298" s="6" t="n"/>
      <c r="B298" s="6" t="n"/>
      <c r="C298" s="6" t="n"/>
      <c r="D298" s="6" t="n"/>
      <c r="E298" s="6" t="n"/>
      <c r="F298" s="6" t="n"/>
      <c r="G298" s="6" t="n"/>
      <c r="H298" s="6" t="n"/>
      <c r="I298" s="6" t="n"/>
      <c r="J298" s="6" t="inlineStr">
        <is>
          <t>TOTAL INSURANCE</t>
        </is>
      </c>
      <c r="K298" s="6" t="n"/>
      <c r="L298" s="6" t="n"/>
      <c r="M298" s="6" t="n"/>
      <c r="N298" s="6" t="n"/>
      <c r="O298" s="6" t="n"/>
      <c r="P298" s="7" t="n">
        <v>0</v>
      </c>
      <c r="Q298" s="7"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row>
    <row r="299">
      <c r="A299" s="6" t="n"/>
      <c r="B299" s="6" t="n"/>
      <c r="C299" s="6" t="n"/>
      <c r="D299" s="6" t="n"/>
      <c r="E299" s="6" t="n"/>
      <c r="F299" s="6" t="n"/>
      <c r="G299" s="6" t="n"/>
      <c r="H299" s="6" t="n"/>
      <c r="I299" s="6" t="n"/>
      <c r="J299" s="6" t="inlineStr">
        <is>
          <t>TOTAL OTHER COST</t>
        </is>
      </c>
      <c r="K299" s="6" t="n"/>
      <c r="L299" s="6" t="n"/>
      <c r="M299" s="6" t="n"/>
      <c r="N299" s="6" t="n"/>
      <c r="O299" s="6" t="n"/>
      <c r="P299" s="7" t="n">
        <v>0</v>
      </c>
      <c r="Q299" s="7"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row>
    <row r="300">
      <c r="A300" s="6" t="n"/>
      <c r="B300" s="6" t="n"/>
      <c r="C300" s="6" t="n"/>
      <c r="D300" s="6" t="n"/>
      <c r="E300" s="6" t="n"/>
      <c r="F300" s="6" t="n"/>
      <c r="G300" s="6" t="n"/>
      <c r="H300" s="6" t="n"/>
      <c r="I300" s="6" t="n"/>
      <c r="J300" s="6" t="inlineStr">
        <is>
          <t>TOTAL DEDUCTION</t>
        </is>
      </c>
      <c r="K300" s="6" t="n"/>
      <c r="L300" s="6" t="n"/>
      <c r="M300" s="6" t="n"/>
      <c r="N300" s="6" t="n"/>
      <c r="O300" s="6" t="n"/>
      <c r="P300" s="7" t="n">
        <v>0</v>
      </c>
      <c r="Q300" s="7"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row>
    <row r="301">
      <c r="A301" s="6" t="n"/>
      <c r="B301" s="6" t="n"/>
      <c r="C301" s="6" t="n"/>
      <c r="D301" s="6" t="n"/>
      <c r="E301" s="6" t="n"/>
      <c r="F301" s="6" t="n"/>
      <c r="G301" s="6" t="n"/>
      <c r="H301" s="6" t="n"/>
      <c r="I301" s="6" t="n"/>
      <c r="J301" s="6" t="inlineStr">
        <is>
          <t>ADJUSTMENTS</t>
        </is>
      </c>
      <c r="K301" s="6" t="n"/>
      <c r="L301" s="6" t="n"/>
      <c r="M301" s="6" t="n"/>
      <c r="N301" s="6" t="n"/>
      <c r="O301" s="6" t="n"/>
      <c r="P301" s="7">
        <f>(T291+U291+V291-W291)</f>
        <v/>
      </c>
      <c r="Q301" s="7">
        <f>(T291+U291+V291-W291)</f>
        <v/>
      </c>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row>
    <row r="302"/>
    <row r="303">
      <c r="A303" s="6" t="n"/>
      <c r="B303" s="6" t="n"/>
      <c r="C303" s="6" t="n"/>
      <c r="D303" s="6" t="n"/>
      <c r="E303" s="6" t="n"/>
      <c r="F303" s="6" t="n"/>
      <c r="G303" s="6" t="n"/>
      <c r="H303" s="6" t="n"/>
      <c r="I303" s="6" t="n"/>
      <c r="J303" s="6" t="inlineStr">
        <is>
          <t>NET TOTAL</t>
        </is>
      </c>
      <c r="K303" s="6" t="n"/>
      <c r="L303" s="6" t="n"/>
      <c r="M303" s="6" t="n"/>
      <c r="N303" s="6" t="n"/>
      <c r="O303" s="6" t="n"/>
      <c r="P303" s="7">
        <f>P293+P301</f>
        <v/>
      </c>
      <c r="Q303" s="7">
        <f>Q293+Q301</f>
        <v/>
      </c>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row>
    <row r="304">
      <c r="A304" s="6" t="n"/>
      <c r="B304" s="6" t="n"/>
      <c r="C304" s="6" t="n"/>
      <c r="D304" s="6" t="n"/>
      <c r="E304" s="6" t="n"/>
      <c r="F304" s="6" t="n"/>
      <c r="G304" s="6" t="n"/>
      <c r="H304" s="6" t="n"/>
      <c r="I304" s="6" t="n"/>
      <c r="J304" s="6" t="inlineStr">
        <is>
          <t>INVOICE TOTAL</t>
        </is>
      </c>
      <c r="K304" s="6" t="n"/>
      <c r="L304" s="6" t="n"/>
      <c r="M304" s="6" t="n"/>
      <c r="N304" s="6" t="n"/>
      <c r="O304" s="6" t="n"/>
      <c r="P304" s="7">
        <f>S291</f>
        <v/>
      </c>
      <c r="Q304" s="7" t="n"/>
      <c r="R304" s="6" t="n"/>
      <c r="S304" s="6" t="n"/>
      <c r="T304" s="6" t="n"/>
      <c r="U304" s="6" t="n"/>
      <c r="V304" s="6" t="n"/>
      <c r="W304" s="6" t="n"/>
      <c r="X304" s="6" t="n"/>
      <c r="Y304" s="6" t="n"/>
      <c r="Z304" s="6" t="n"/>
      <c r="AA304" s="6" t="n"/>
      <c r="AB304" s="6" t="n"/>
      <c r="AC304" s="6" t="n"/>
      <c r="AD304" s="6" t="n"/>
      <c r="AE304" s="6" t="n"/>
      <c r="AF304" s="6" t="n"/>
      <c r="AG304" s="6" t="n"/>
      <c r="AH304" s="6" t="n"/>
      <c r="AI304" s="6" t="n"/>
      <c r="AJ304" s="6" t="n"/>
      <c r="AK304" s="6" t="n"/>
    </row>
    <row r="305"/>
    <row r="306">
      <c r="A306" s="10" t="n"/>
      <c r="B306" s="10" t="n"/>
      <c r="C306" s="10" t="n"/>
      <c r="D306" s="10" t="n"/>
      <c r="E306" s="10" t="n"/>
      <c r="F306" s="10" t="n"/>
      <c r="G306" s="10" t="n"/>
      <c r="H306" s="10" t="n"/>
      <c r="I306" s="10" t="n"/>
      <c r="J306" s="10" t="inlineStr">
        <is>
          <t>VARIANCE CHECK</t>
        </is>
      </c>
      <c r="K306" s="10" t="n"/>
      <c r="L306" s="10" t="n"/>
      <c r="M306" s="10" t="n"/>
      <c r="N306" s="10" t="n"/>
      <c r="O306" s="10" t="n"/>
      <c r="P306" s="11">
        <f>S291-P303</f>
        <v/>
      </c>
      <c r="Q306" s="11">
        <f>S291-Q303</f>
        <v/>
      </c>
      <c r="R306" s="10" t="n"/>
      <c r="S306" s="10" t="n"/>
      <c r="T306" s="10" t="n"/>
      <c r="U306" s="10" t="n"/>
      <c r="V306" s="10" t="n"/>
      <c r="W306" s="10" t="n"/>
      <c r="X306" s="10" t="n"/>
      <c r="Y306" s="10" t="n"/>
      <c r="Z306" s="10" t="n"/>
      <c r="AA306" s="10" t="n"/>
      <c r="AB306" s="10" t="n"/>
      <c r="AC306" s="10" t="n"/>
      <c r="AD306" s="10" t="n"/>
      <c r="AE306" s="10" t="n"/>
      <c r="AF306" s="10" t="n"/>
      <c r="AG306" s="10" t="n"/>
      <c r="AH306" s="10" t="n"/>
      <c r="AI306" s="10" t="n"/>
      <c r="AJ306" s="10" t="n"/>
      <c r="AK306" s="10" t="n"/>
    </row>
    <row r="307"/>
    <row r="308">
      <c r="A308" s="14" t="n"/>
      <c r="B308" s="14" t="n"/>
      <c r="C308" s="14" t="n"/>
      <c r="D308" s="14" t="n"/>
      <c r="E308" s="14" t="n"/>
      <c r="F308" s="14" t="n"/>
      <c r="G308" s="14" t="n"/>
      <c r="H308" s="14" t="n"/>
      <c r="I308" s="14" t="n"/>
      <c r="J308" s="14" t="inlineStr">
        <is>
          <t>DUTY ESTIMATION (Classification Cross-Check)</t>
        </is>
      </c>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row>
    <row r="309">
      <c r="A309" s="15" t="n"/>
      <c r="B309" s="15" t="n"/>
      <c r="C309" s="15" t="n"/>
      <c r="D309" s="15" t="n"/>
      <c r="E309" s="15" t="n"/>
      <c r="F309" s="15" t="n"/>
      <c r="G309" s="15" t="n"/>
      <c r="H309" s="15" t="n"/>
      <c r="I309" s="15" t="n"/>
      <c r="J309" s="16" t="inlineStr">
        <is>
          <t>CIF (USD) = InvTotal + Freight + Insurance</t>
        </is>
      </c>
      <c r="K309" s="15" t="n"/>
      <c r="L309" s="15" t="n"/>
      <c r="M309" s="15" t="n"/>
      <c r="N309" s="15" t="n"/>
      <c r="O309" s="15" t="n"/>
      <c r="P309" s="17" t="n">
        <v>0.01</v>
      </c>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row>
    <row r="310">
      <c r="A310" s="15" t="n"/>
      <c r="B310" s="15" t="n"/>
      <c r="C310" s="15" t="n"/>
      <c r="D310" s="15" t="n"/>
      <c r="E310" s="15" t="n"/>
      <c r="F310" s="15" t="n"/>
      <c r="G310" s="15" t="n"/>
      <c r="H310" s="15" t="n"/>
      <c r="I310" s="15" t="n"/>
      <c r="J310" s="16" t="inlineStr">
        <is>
          <t>CIF (XCD) = CIF × 2.7169</t>
        </is>
      </c>
      <c r="K310" s="15" t="n"/>
      <c r="L310" s="15" t="n"/>
      <c r="M310" s="15" t="n"/>
      <c r="N310" s="15" t="n"/>
      <c r="O310" s="15" t="n"/>
      <c r="P310" s="17" t="n">
        <v>0.03</v>
      </c>
      <c r="Q310" s="15" t="n"/>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row>
    <row r="311">
      <c r="A311" s="15" t="n"/>
      <c r="B311" s="15" t="n"/>
      <c r="C311" s="15" t="n"/>
      <c r="D311" s="15" t="n"/>
      <c r="E311" s="15" t="n"/>
      <c r="F311" s="15" t="n"/>
      <c r="G311" s="15" t="n"/>
      <c r="H311" s="15" t="n"/>
      <c r="I311" s="15" t="n"/>
      <c r="J311" s="16" t="inlineStr">
        <is>
          <t>CET (20%) — Tariff 99999999</t>
        </is>
      </c>
      <c r="K311" s="15" t="n"/>
      <c r="L311" s="15" t="n"/>
      <c r="M311" s="15" t="n"/>
      <c r="N311" s="15" t="n"/>
      <c r="O311" s="15" t="n"/>
      <c r="P311" s="17" t="n">
        <v>0.01</v>
      </c>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row>
    <row r="312">
      <c r="A312" s="15" t="n"/>
      <c r="B312" s="15" t="n"/>
      <c r="C312" s="15" t="n"/>
      <c r="D312" s="15" t="n"/>
      <c r="E312" s="15" t="n"/>
      <c r="F312" s="15" t="n"/>
      <c r="G312" s="15" t="n"/>
      <c r="H312" s="15" t="n"/>
      <c r="I312" s="15" t="n"/>
      <c r="J312" s="16" t="inlineStr">
        <is>
          <t>CSC (6%)</t>
        </is>
      </c>
      <c r="K312" s="15" t="n"/>
      <c r="L312" s="15" t="n"/>
      <c r="M312" s="15" t="n"/>
      <c r="N312" s="15" t="n"/>
      <c r="O312" s="15" t="n"/>
      <c r="P312" s="17" t="n">
        <v>0</v>
      </c>
      <c r="Q312" s="15" t="n"/>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row>
    <row r="313">
      <c r="A313" s="15" t="n"/>
      <c r="B313" s="15" t="n"/>
      <c r="C313" s="15" t="n"/>
      <c r="D313" s="15" t="n"/>
      <c r="E313" s="15" t="n"/>
      <c r="F313" s="15" t="n"/>
      <c r="G313" s="15" t="n"/>
      <c r="H313" s="15" t="n"/>
      <c r="I313" s="15" t="n"/>
      <c r="J313" s="16" t="inlineStr">
        <is>
          <t>VAT (15%) on CIF+CET+CSC</t>
        </is>
      </c>
      <c r="K313" s="15" t="n"/>
      <c r="L313" s="15" t="n"/>
      <c r="M313" s="15" t="n"/>
      <c r="N313" s="15" t="n"/>
      <c r="O313" s="15" t="n"/>
      <c r="P313" s="17" t="n">
        <v>0.01</v>
      </c>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row>
    <row r="314">
      <c r="A314" s="18" t="n"/>
      <c r="B314" s="18" t="n"/>
      <c r="C314" s="18" t="n"/>
      <c r="D314" s="18" t="n"/>
      <c r="E314" s="18" t="n"/>
      <c r="F314" s="18" t="n"/>
      <c r="G314" s="18" t="n"/>
      <c r="H314" s="18" t="n"/>
      <c r="I314" s="18" t="n"/>
      <c r="J314" s="14" t="inlineStr">
        <is>
          <t>ESTIMATED TOTAL DUTIES</t>
        </is>
      </c>
      <c r="K314" s="18" t="n"/>
      <c r="L314" s="18" t="n"/>
      <c r="M314" s="18" t="n"/>
      <c r="N314" s="18" t="n"/>
      <c r="O314" s="18" t="n"/>
      <c r="P314" s="19" t="n">
        <v>0.02</v>
      </c>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row>
    <row r="315">
      <c r="A315" s="15" t="n"/>
      <c r="B315" s="15" t="n"/>
      <c r="C315" s="15" t="n"/>
      <c r="D315" s="15" t="n"/>
      <c r="E315" s="15" t="n"/>
      <c r="F315" s="15" t="n"/>
      <c r="G315" s="15" t="n"/>
      <c r="H315" s="15" t="n"/>
      <c r="I315" s="15" t="n"/>
      <c r="J315" s="16" t="inlineStr">
        <is>
          <t>Effective Duty Rate</t>
        </is>
      </c>
      <c r="K315" s="15" t="n"/>
      <c r="L315" s="15" t="n"/>
      <c r="M315" s="15" t="n"/>
      <c r="N315" s="15" t="n"/>
      <c r="O315" s="15" t="n"/>
      <c r="P315" s="20" t="n">
        <v>0.6666666666666667</v>
      </c>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c r="AA316" s="21" t="n"/>
      <c r="AB316" s="21" t="n"/>
      <c r="AC316" s="21" t="n"/>
      <c r="AD316" s="21" t="n"/>
      <c r="AE316" s="21" t="n"/>
      <c r="AF316" s="21" t="n"/>
      <c r="AG316" s="21" t="n"/>
      <c r="AH316" s="21" t="n"/>
      <c r="AI316" s="21" t="n"/>
      <c r="AJ316" s="21" t="n"/>
      <c r="AK316" s="21" t="n"/>
    </row>
    <row r="317">
      <c r="A317" s="2" t="inlineStr">
        <is>
          <t>4000-000</t>
        </is>
      </c>
      <c r="B317" s="2" t="n"/>
      <c r="C317" s="2" t="inlineStr">
        <is>
          <t>GSUNJY57BOONGXE_Invoice_12</t>
        </is>
      </c>
      <c r="D317" s="2" t="n"/>
      <c r="E317" s="2" t="inlineStr">
        <is>
          <t>IMITATION JEWELRY</t>
        </is>
      </c>
      <c r="F317" s="2" t="inlineStr">
        <is>
          <t>71171900</t>
        </is>
      </c>
      <c r="G317" s="2" t="n"/>
      <c r="H317" s="2" t="n"/>
      <c r="I317" s="2" t="inlineStr">
        <is>
          <t>71171900</t>
        </is>
      </c>
      <c r="J317" s="2" t="inlineStr">
        <is>
          <t>1 pair Elegant And Stylish Rural Style Pink Edge Camellia Stud Earrings For Women Suitable For Festivals re Parties Weddings Business Occasions Holidays Shopping Daily Wear And Commuting (1 items)</t>
        </is>
      </c>
      <c r="K317" s="2" t="n">
        <v>1</v>
      </c>
      <c r="L317" s="2" t="n"/>
      <c r="M317" s="2" t="n"/>
      <c r="N317" s="2" t="inlineStr">
        <is>
          <t>USD</t>
        </is>
      </c>
      <c r="O317" s="3" t="n">
        <v>1.52</v>
      </c>
      <c r="P317" s="3" t="n">
        <v>1.52</v>
      </c>
      <c r="Q317" s="3">
        <f>O317*K317</f>
        <v/>
      </c>
      <c r="R317" s="3">
        <f>P317-Q317</f>
        <v/>
      </c>
      <c r="S317" s="3" t="n">
        <v>1.52</v>
      </c>
      <c r="T317" s="3" t="n">
        <v>0</v>
      </c>
      <c r="U317" s="3" t="n">
        <v>0</v>
      </c>
      <c r="V317" s="3" t="n">
        <v>0</v>
      </c>
      <c r="W317" s="3" t="n">
        <v>0</v>
      </c>
      <c r="X317" s="2" t="n"/>
      <c r="Y317" s="2" t="n"/>
      <c r="Z317" s="2" t="inlineStr">
        <is>
          <t>SHEIN</t>
        </is>
      </c>
      <c r="AA317" s="2" t="inlineStr">
        <is>
          <t>SHEIN US Services, LLC</t>
        </is>
      </c>
      <c r="AB317" s="2" t="inlineStr">
        <is>
          <t>777 S. Alameda St., Second Floor, Los Angeles, CA 90021</t>
        </is>
      </c>
      <c r="AC317" s="2" t="inlineStr">
        <is>
          <t>US</t>
        </is>
      </c>
      <c r="AD317" s="2" t="n"/>
      <c r="AE317" s="2" t="n"/>
      <c r="AF317" s="2" t="n"/>
      <c r="AG317" s="2" t="n"/>
      <c r="AH317" s="2" t="n"/>
      <c r="AI317" s="2" t="n"/>
      <c r="AJ317" s="2" t="n"/>
      <c r="AK317" s="2" t="inlineStr">
        <is>
          <t>71171900</t>
        </is>
      </c>
    </row>
    <row r="318">
      <c r="A318" s="4" t="n"/>
      <c r="B318" s="4" t="n"/>
      <c r="C318" s="4" t="n"/>
      <c r="D318" s="4" t="n"/>
      <c r="E318" s="4" t="n"/>
      <c r="F318" s="4" t="inlineStr">
        <is>
          <t>71171900</t>
        </is>
      </c>
      <c r="G318" s="4" t="n"/>
      <c r="H318" s="4" t="n"/>
      <c r="I318" s="4" t="inlineStr">
        <is>
          <t>SHEIN-1</t>
        </is>
      </c>
      <c r="J318" s="4" t="inlineStr">
        <is>
          <t>1 pair Elegant And Stylish Rural Style Pink Edge Camellia Stud Earrings For Women Suitable For Festivals re Parties Weddings Business Occasions Holidays Shopping Daily Wear And Commuting</t>
        </is>
      </c>
      <c r="K318" s="4" t="n">
        <v>1</v>
      </c>
      <c r="L318" s="4" t="n"/>
      <c r="M318" s="4" t="n"/>
      <c r="N318" s="4" t="inlineStr">
        <is>
          <t>USD</t>
        </is>
      </c>
      <c r="O318" s="5" t="n">
        <v>1.52</v>
      </c>
      <c r="P318" s="5" t="n">
        <v>1.52</v>
      </c>
      <c r="Q318" s="5">
        <f>O318*K318</f>
        <v/>
      </c>
      <c r="R318" s="5">
        <f>P318-Q318</f>
        <v/>
      </c>
      <c r="S318" s="4" t="n"/>
      <c r="T318" s="4" t="n"/>
      <c r="U318" s="4" t="n"/>
      <c r="V318" s="4" t="n"/>
      <c r="W318" s="4" t="n"/>
      <c r="X318" s="4" t="n"/>
      <c r="Y318" s="4" t="n"/>
      <c r="Z318" s="4" t="n"/>
      <c r="AA318" s="4" t="n"/>
      <c r="AB318" s="4" t="n"/>
      <c r="AC318" s="4" t="n"/>
      <c r="AD318" s="4" t="n"/>
      <c r="AE318" s="4" t="n"/>
      <c r="AF318" s="4" t="n"/>
      <c r="AG318" s="4" t="n"/>
      <c r="AH318" s="4" t="n"/>
      <c r="AI318" s="4" t="n"/>
      <c r="AJ318" s="4" t="n"/>
      <c r="AK318" s="4" t="n"/>
    </row>
    <row r="319">
      <c r="A319" s="6" t="n"/>
      <c r="B319" s="6" t="n"/>
      <c r="C319" s="6" t="n"/>
      <c r="D319" s="6" t="n"/>
      <c r="E319" s="6" t="n"/>
      <c r="F319" s="6" t="n"/>
      <c r="G319" s="6" t="n"/>
      <c r="H319" s="6" t="n"/>
      <c r="I319" s="6" t="n"/>
      <c r="J319" s="6" t="inlineStr">
        <is>
          <t>SUBTOTAL (GROUPED)</t>
        </is>
      </c>
      <c r="K319" s="6" t="n"/>
      <c r="L319" s="6" t="n"/>
      <c r="M319" s="6" t="n"/>
      <c r="N319" s="6" t="n"/>
      <c r="O319" s="6" t="n"/>
      <c r="P319" s="7">
        <f>P317</f>
        <v/>
      </c>
      <c r="Q319" s="7">
        <f>Q317</f>
        <v/>
      </c>
      <c r="R319" s="6" t="n"/>
      <c r="S319" s="6" t="n"/>
      <c r="T319" s="6" t="n"/>
      <c r="U319" s="6" t="n"/>
      <c r="V319" s="6" t="n"/>
      <c r="W319" s="6" t="n"/>
      <c r="X319" s="6" t="n"/>
      <c r="Y319" s="6" t="n"/>
      <c r="Z319" s="6" t="n"/>
      <c r="AA319" s="6" t="n"/>
      <c r="AB319" s="6" t="n"/>
      <c r="AC319" s="6" t="n"/>
      <c r="AD319" s="6" t="n"/>
      <c r="AE319" s="6" t="n"/>
      <c r="AF319" s="6" t="n"/>
      <c r="AG319" s="6" t="n"/>
      <c r="AH319" s="6" t="n"/>
      <c r="AI319" s="6" t="n"/>
      <c r="AJ319" s="6" t="n"/>
      <c r="AK319" s="6" t="n"/>
    </row>
    <row r="320">
      <c r="A320" s="6" t="n"/>
      <c r="B320" s="6" t="n"/>
      <c r="C320" s="6" t="n"/>
      <c r="D320" s="6" t="n"/>
      <c r="E320" s="6" t="n"/>
      <c r="F320" s="6" t="n"/>
      <c r="G320" s="6" t="n"/>
      <c r="H320" s="6" t="n"/>
      <c r="I320" s="6" t="n"/>
      <c r="J320" s="6" t="inlineStr">
        <is>
          <t>SUBTOTAL (DETAILS)</t>
        </is>
      </c>
      <c r="K320" s="6" t="n"/>
      <c r="L320" s="6" t="n"/>
      <c r="M320" s="6" t="n"/>
      <c r="N320" s="6" t="n"/>
      <c r="O320" s="6" t="n"/>
      <c r="P320" s="7">
        <f>SUM(P317:P318)-P319</f>
        <v/>
      </c>
      <c r="Q320" s="7">
        <f>SUM(Q317:Q318)-Q319</f>
        <v/>
      </c>
      <c r="R320" s="6" t="n"/>
      <c r="S320" s="6" t="n"/>
      <c r="T320" s="6" t="n"/>
      <c r="U320" s="6" t="n"/>
      <c r="V320" s="6" t="n"/>
      <c r="W320" s="6" t="n"/>
      <c r="X320" s="6" t="n"/>
      <c r="Y320" s="6" t="n"/>
      <c r="Z320" s="6" t="n"/>
      <c r="AA320" s="6" t="n"/>
      <c r="AB320" s="6" t="n"/>
      <c r="AC320" s="6" t="n"/>
      <c r="AD320" s="6" t="n"/>
      <c r="AE320" s="6" t="n"/>
      <c r="AF320" s="6" t="n"/>
      <c r="AG320" s="6" t="n"/>
      <c r="AH320" s="6" t="n"/>
      <c r="AI320" s="6" t="n"/>
      <c r="AJ320" s="6" t="n"/>
      <c r="AK320" s="6" t="n"/>
    </row>
    <row r="321">
      <c r="A321" s="8" t="n"/>
      <c r="B321" s="8" t="n"/>
      <c r="C321" s="8" t="n"/>
      <c r="D321" s="8" t="n"/>
      <c r="E321" s="8" t="n"/>
      <c r="F321" s="8" t="n"/>
      <c r="G321" s="8" t="n"/>
      <c r="H321" s="8" t="n"/>
      <c r="I321" s="8" t="n"/>
      <c r="J321" s="8" t="inlineStr">
        <is>
          <t>GROUP VERIFICATION</t>
        </is>
      </c>
      <c r="K321" s="8" t="n"/>
      <c r="L321" s="8" t="n"/>
      <c r="M321" s="8" t="n"/>
      <c r="N321" s="8" t="n"/>
      <c r="O321" s="8" t="n"/>
      <c r="P321" s="9">
        <f>P319-P320</f>
        <v/>
      </c>
      <c r="Q321" s="9">
        <f>Q319-Q320</f>
        <v/>
      </c>
      <c r="R321" s="8" t="n"/>
      <c r="S321" s="8" t="n"/>
      <c r="T321" s="8" t="n"/>
      <c r="U321" s="8" t="n"/>
      <c r="V321" s="8" t="n"/>
      <c r="W321" s="8" t="n"/>
      <c r="X321" s="8" t="n"/>
      <c r="Y321" s="8" t="n"/>
      <c r="Z321" s="8" t="n"/>
      <c r="AA321" s="8" t="n"/>
      <c r="AB321" s="8" t="n"/>
      <c r="AC321" s="8" t="n"/>
      <c r="AD321" s="8" t="n"/>
      <c r="AE321" s="8" t="n"/>
      <c r="AF321" s="8" t="n"/>
      <c r="AG321" s="8" t="n"/>
      <c r="AH321" s="8" t="n"/>
      <c r="AI321" s="8" t="n"/>
      <c r="AJ321" s="8" t="n"/>
      <c r="AK321" s="8" t="n"/>
    </row>
    <row r="322"/>
    <row r="323">
      <c r="A323" s="6" t="n"/>
      <c r="B323" s="6" t="n"/>
      <c r="C323" s="6" t="n"/>
      <c r="D323" s="6" t="n"/>
      <c r="E323" s="6" t="n"/>
      <c r="F323" s="6" t="n"/>
      <c r="G323" s="6" t="n"/>
      <c r="H323" s="6" t="n"/>
      <c r="I323" s="6" t="n"/>
      <c r="J323" s="6" t="inlineStr">
        <is>
          <t>TOTAL INTERNAL FREIGHT</t>
        </is>
      </c>
      <c r="K323" s="6" t="n"/>
      <c r="L323" s="6" t="n"/>
      <c r="M323" s="6" t="n"/>
      <c r="N323" s="6" t="n"/>
      <c r="O323" s="6" t="n"/>
      <c r="P323" s="7" t="n">
        <v>0</v>
      </c>
      <c r="Q323" s="7" t="n"/>
      <c r="R323" s="6" t="n"/>
      <c r="S323" s="6" t="n"/>
      <c r="T323" s="6" t="n"/>
      <c r="U323" s="6" t="n"/>
      <c r="V323" s="6" t="n"/>
      <c r="W323" s="6" t="n"/>
      <c r="X323" s="6" t="n"/>
      <c r="Y323" s="6" t="n"/>
      <c r="Z323" s="6" t="n"/>
      <c r="AA323" s="6" t="n"/>
      <c r="AB323" s="6" t="n"/>
      <c r="AC323" s="6" t="n"/>
      <c r="AD323" s="6" t="n"/>
      <c r="AE323" s="6" t="n"/>
      <c r="AF323" s="6" t="n"/>
      <c r="AG323" s="6" t="n"/>
      <c r="AH323" s="6" t="n"/>
      <c r="AI323" s="6" t="n"/>
      <c r="AJ323" s="6" t="n"/>
      <c r="AK323" s="6" t="n"/>
    </row>
    <row r="324">
      <c r="A324" s="6" t="n"/>
      <c r="B324" s="6" t="n"/>
      <c r="C324" s="6" t="n"/>
      <c r="D324" s="6" t="n"/>
      <c r="E324" s="6" t="n"/>
      <c r="F324" s="6" t="n"/>
      <c r="G324" s="6" t="n"/>
      <c r="H324" s="6" t="n"/>
      <c r="I324" s="6" t="n"/>
      <c r="J324" s="6" t="inlineStr">
        <is>
          <t>TOTAL INSURANCE</t>
        </is>
      </c>
      <c r="K324" s="6" t="n"/>
      <c r="L324" s="6" t="n"/>
      <c r="M324" s="6" t="n"/>
      <c r="N324" s="6" t="n"/>
      <c r="O324" s="6" t="n"/>
      <c r="P324" s="7" t="n">
        <v>0</v>
      </c>
      <c r="Q324" s="7" t="n"/>
      <c r="R324" s="6" t="n"/>
      <c r="S324" s="6" t="n"/>
      <c r="T324" s="6" t="n"/>
      <c r="U324" s="6" t="n"/>
      <c r="V324" s="6" t="n"/>
      <c r="W324" s="6" t="n"/>
      <c r="X324" s="6" t="n"/>
      <c r="Y324" s="6" t="n"/>
      <c r="Z324" s="6" t="n"/>
      <c r="AA324" s="6" t="n"/>
      <c r="AB324" s="6" t="n"/>
      <c r="AC324" s="6" t="n"/>
      <c r="AD324" s="6" t="n"/>
      <c r="AE324" s="6" t="n"/>
      <c r="AF324" s="6" t="n"/>
      <c r="AG324" s="6" t="n"/>
      <c r="AH324" s="6" t="n"/>
      <c r="AI324" s="6" t="n"/>
      <c r="AJ324" s="6" t="n"/>
      <c r="AK324" s="6" t="n"/>
    </row>
    <row r="325">
      <c r="A325" s="6" t="n"/>
      <c r="B325" s="6" t="n"/>
      <c r="C325" s="6" t="n"/>
      <c r="D325" s="6" t="n"/>
      <c r="E325" s="6" t="n"/>
      <c r="F325" s="6" t="n"/>
      <c r="G325" s="6" t="n"/>
      <c r="H325" s="6" t="n"/>
      <c r="I325" s="6" t="n"/>
      <c r="J325" s="6" t="inlineStr">
        <is>
          <t>TOTAL OTHER COST</t>
        </is>
      </c>
      <c r="K325" s="6" t="n"/>
      <c r="L325" s="6" t="n"/>
      <c r="M325" s="6" t="n"/>
      <c r="N325" s="6" t="n"/>
      <c r="O325" s="6" t="n"/>
      <c r="P325" s="7" t="n">
        <v>0</v>
      </c>
      <c r="Q325" s="7" t="n"/>
      <c r="R325" s="6" t="n"/>
      <c r="S325" s="6" t="n"/>
      <c r="T325" s="6" t="n"/>
      <c r="U325" s="6" t="n"/>
      <c r="V325" s="6" t="n"/>
      <c r="W325" s="6" t="n"/>
      <c r="X325" s="6" t="n"/>
      <c r="Y325" s="6" t="n"/>
      <c r="Z325" s="6" t="n"/>
      <c r="AA325" s="6" t="n"/>
      <c r="AB325" s="6" t="n"/>
      <c r="AC325" s="6" t="n"/>
      <c r="AD325" s="6" t="n"/>
      <c r="AE325" s="6" t="n"/>
      <c r="AF325" s="6" t="n"/>
      <c r="AG325" s="6" t="n"/>
      <c r="AH325" s="6" t="n"/>
      <c r="AI325" s="6" t="n"/>
      <c r="AJ325" s="6" t="n"/>
      <c r="AK325" s="6" t="n"/>
    </row>
    <row r="326">
      <c r="A326" s="6" t="n"/>
      <c r="B326" s="6" t="n"/>
      <c r="C326" s="6" t="n"/>
      <c r="D326" s="6" t="n"/>
      <c r="E326" s="6" t="n"/>
      <c r="F326" s="6" t="n"/>
      <c r="G326" s="6" t="n"/>
      <c r="H326" s="6" t="n"/>
      <c r="I326" s="6" t="n"/>
      <c r="J326" s="6" t="inlineStr">
        <is>
          <t>TOTAL DEDUCTION</t>
        </is>
      </c>
      <c r="K326" s="6" t="n"/>
      <c r="L326" s="6" t="n"/>
      <c r="M326" s="6" t="n"/>
      <c r="N326" s="6" t="n"/>
      <c r="O326" s="6" t="n"/>
      <c r="P326" s="7" t="n">
        <v>0</v>
      </c>
      <c r="Q326" s="7" t="n"/>
      <c r="R326" s="6" t="n"/>
      <c r="S326" s="6" t="n"/>
      <c r="T326" s="6" t="n"/>
      <c r="U326" s="6" t="n"/>
      <c r="V326" s="6" t="n"/>
      <c r="W326" s="6" t="n"/>
      <c r="X326" s="6" t="n"/>
      <c r="Y326" s="6" t="n"/>
      <c r="Z326" s="6" t="n"/>
      <c r="AA326" s="6" t="n"/>
      <c r="AB326" s="6" t="n"/>
      <c r="AC326" s="6" t="n"/>
      <c r="AD326" s="6" t="n"/>
      <c r="AE326" s="6" t="n"/>
      <c r="AF326" s="6" t="n"/>
      <c r="AG326" s="6" t="n"/>
      <c r="AH326" s="6" t="n"/>
      <c r="AI326" s="6" t="n"/>
      <c r="AJ326" s="6" t="n"/>
      <c r="AK326" s="6" t="n"/>
    </row>
    <row r="327">
      <c r="A327" s="6" t="n"/>
      <c r="B327" s="6" t="n"/>
      <c r="C327" s="6" t="n"/>
      <c r="D327" s="6" t="n"/>
      <c r="E327" s="6" t="n"/>
      <c r="F327" s="6" t="n"/>
      <c r="G327" s="6" t="n"/>
      <c r="H327" s="6" t="n"/>
      <c r="I327" s="6" t="n"/>
      <c r="J327" s="6" t="inlineStr">
        <is>
          <t>ADJUSTMENTS</t>
        </is>
      </c>
      <c r="K327" s="6" t="n"/>
      <c r="L327" s="6" t="n"/>
      <c r="M327" s="6" t="n"/>
      <c r="N327" s="6" t="n"/>
      <c r="O327" s="6" t="n"/>
      <c r="P327" s="7">
        <f>(T317+U317+V317-W317)</f>
        <v/>
      </c>
      <c r="Q327" s="7">
        <f>(T317+U317+V317-W317)</f>
        <v/>
      </c>
      <c r="R327" s="6" t="n"/>
      <c r="S327" s="6" t="n"/>
      <c r="T327" s="6" t="n"/>
      <c r="U327" s="6" t="n"/>
      <c r="V327" s="6" t="n"/>
      <c r="W327" s="6" t="n"/>
      <c r="X327" s="6" t="n"/>
      <c r="Y327" s="6" t="n"/>
      <c r="Z327" s="6" t="n"/>
      <c r="AA327" s="6" t="n"/>
      <c r="AB327" s="6" t="n"/>
      <c r="AC327" s="6" t="n"/>
      <c r="AD327" s="6" t="n"/>
      <c r="AE327" s="6" t="n"/>
      <c r="AF327" s="6" t="n"/>
      <c r="AG327" s="6" t="n"/>
      <c r="AH327" s="6" t="n"/>
      <c r="AI327" s="6" t="n"/>
      <c r="AJ327" s="6" t="n"/>
      <c r="AK327" s="6" t="n"/>
    </row>
    <row r="328"/>
    <row r="329">
      <c r="A329" s="6" t="n"/>
      <c r="B329" s="6" t="n"/>
      <c r="C329" s="6" t="n"/>
      <c r="D329" s="6" t="n"/>
      <c r="E329" s="6" t="n"/>
      <c r="F329" s="6" t="n"/>
      <c r="G329" s="6" t="n"/>
      <c r="H329" s="6" t="n"/>
      <c r="I329" s="6" t="n"/>
      <c r="J329" s="6" t="inlineStr">
        <is>
          <t>NET TOTAL</t>
        </is>
      </c>
      <c r="K329" s="6" t="n"/>
      <c r="L329" s="6" t="n"/>
      <c r="M329" s="6" t="n"/>
      <c r="N329" s="6" t="n"/>
      <c r="O329" s="6" t="n"/>
      <c r="P329" s="7">
        <f>P319+P327</f>
        <v/>
      </c>
      <c r="Q329" s="7">
        <f>Q319+Q327</f>
        <v/>
      </c>
      <c r="R329" s="6" t="n"/>
      <c r="S329" s="6" t="n"/>
      <c r="T329" s="6" t="n"/>
      <c r="U329" s="6" t="n"/>
      <c r="V329" s="6" t="n"/>
      <c r="W329" s="6" t="n"/>
      <c r="X329" s="6" t="n"/>
      <c r="Y329" s="6" t="n"/>
      <c r="Z329" s="6" t="n"/>
      <c r="AA329" s="6" t="n"/>
      <c r="AB329" s="6" t="n"/>
      <c r="AC329" s="6" t="n"/>
      <c r="AD329" s="6" t="n"/>
      <c r="AE329" s="6" t="n"/>
      <c r="AF329" s="6" t="n"/>
      <c r="AG329" s="6" t="n"/>
      <c r="AH329" s="6" t="n"/>
      <c r="AI329" s="6" t="n"/>
      <c r="AJ329" s="6" t="n"/>
      <c r="AK329" s="6" t="n"/>
    </row>
    <row r="330">
      <c r="A330" s="6" t="n"/>
      <c r="B330" s="6" t="n"/>
      <c r="C330" s="6" t="n"/>
      <c r="D330" s="6" t="n"/>
      <c r="E330" s="6" t="n"/>
      <c r="F330" s="6" t="n"/>
      <c r="G330" s="6" t="n"/>
      <c r="H330" s="6" t="n"/>
      <c r="I330" s="6" t="n"/>
      <c r="J330" s="6" t="inlineStr">
        <is>
          <t>INVOICE TOTAL</t>
        </is>
      </c>
      <c r="K330" s="6" t="n"/>
      <c r="L330" s="6" t="n"/>
      <c r="M330" s="6" t="n"/>
      <c r="N330" s="6" t="n"/>
      <c r="O330" s="6" t="n"/>
      <c r="P330" s="7">
        <f>S317</f>
        <v/>
      </c>
      <c r="Q330" s="7" t="n"/>
      <c r="R330" s="6" t="n"/>
      <c r="S330" s="6" t="n"/>
      <c r="T330" s="6" t="n"/>
      <c r="U330" s="6" t="n"/>
      <c r="V330" s="6" t="n"/>
      <c r="W330" s="6" t="n"/>
      <c r="X330" s="6" t="n"/>
      <c r="Y330" s="6" t="n"/>
      <c r="Z330" s="6" t="n"/>
      <c r="AA330" s="6" t="n"/>
      <c r="AB330" s="6" t="n"/>
      <c r="AC330" s="6" t="n"/>
      <c r="AD330" s="6" t="n"/>
      <c r="AE330" s="6" t="n"/>
      <c r="AF330" s="6" t="n"/>
      <c r="AG330" s="6" t="n"/>
      <c r="AH330" s="6" t="n"/>
      <c r="AI330" s="6" t="n"/>
      <c r="AJ330" s="6" t="n"/>
      <c r="AK330" s="6" t="n"/>
    </row>
    <row r="331"/>
    <row r="332">
      <c r="A332" s="10" t="n"/>
      <c r="B332" s="10" t="n"/>
      <c r="C332" s="10" t="n"/>
      <c r="D332" s="10" t="n"/>
      <c r="E332" s="10" t="n"/>
      <c r="F332" s="10" t="n"/>
      <c r="G332" s="10" t="n"/>
      <c r="H332" s="10" t="n"/>
      <c r="I332" s="10" t="n"/>
      <c r="J332" s="10" t="inlineStr">
        <is>
          <t>VARIANCE CHECK</t>
        </is>
      </c>
      <c r="K332" s="10" t="n"/>
      <c r="L332" s="10" t="n"/>
      <c r="M332" s="10" t="n"/>
      <c r="N332" s="10" t="n"/>
      <c r="O332" s="10" t="n"/>
      <c r="P332" s="11">
        <f>S317-P329</f>
        <v/>
      </c>
      <c r="Q332" s="11">
        <f>S317-Q329</f>
        <v/>
      </c>
      <c r="R332" s="10" t="n"/>
      <c r="S332" s="10" t="n"/>
      <c r="T332" s="10" t="n"/>
      <c r="U332" s="10" t="n"/>
      <c r="V332" s="10" t="n"/>
      <c r="W332" s="10" t="n"/>
      <c r="X332" s="10" t="n"/>
      <c r="Y332" s="10" t="n"/>
      <c r="Z332" s="10" t="n"/>
      <c r="AA332" s="10" t="n"/>
      <c r="AB332" s="10" t="n"/>
      <c r="AC332" s="10" t="n"/>
      <c r="AD332" s="10" t="n"/>
      <c r="AE332" s="10" t="n"/>
      <c r="AF332" s="10" t="n"/>
      <c r="AG332" s="10" t="n"/>
      <c r="AH332" s="10" t="n"/>
      <c r="AI332" s="10" t="n"/>
      <c r="AJ332" s="10" t="n"/>
      <c r="AK332" s="10" t="n"/>
    </row>
    <row r="333"/>
    <row r="334">
      <c r="A334" s="12" t="n"/>
      <c r="B334" s="12" t="n"/>
      <c r="C334" s="12" t="n"/>
      <c r="D334" s="12" t="n"/>
      <c r="E334" s="12" t="n"/>
      <c r="F334" s="12" t="n"/>
      <c r="G334" s="12" t="n"/>
      <c r="H334" s="12" t="n"/>
      <c r="I334" s="12" t="n"/>
      <c r="J334" s="13" t="inlineStr">
        <is>
          <t>INVOICE NOTES: Invoice total uncertain</t>
        </is>
      </c>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row>
    <row r="335"/>
    <row r="336">
      <c r="A336" s="14" t="n"/>
      <c r="B336" s="14" t="n"/>
      <c r="C336" s="14" t="n"/>
      <c r="D336" s="14" t="n"/>
      <c r="E336" s="14" t="n"/>
      <c r="F336" s="14" t="n"/>
      <c r="G336" s="14" t="n"/>
      <c r="H336" s="14" t="n"/>
      <c r="I336" s="14" t="n"/>
      <c r="J336" s="14" t="inlineStr">
        <is>
          <t>DUTY ESTIMATION (Classification Cross-Check)</t>
        </is>
      </c>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row>
    <row r="337">
      <c r="A337" s="15" t="n"/>
      <c r="B337" s="15" t="n"/>
      <c r="C337" s="15" t="n"/>
      <c r="D337" s="15" t="n"/>
      <c r="E337" s="15" t="n"/>
      <c r="F337" s="15" t="n"/>
      <c r="G337" s="15" t="n"/>
      <c r="H337" s="15" t="n"/>
      <c r="I337" s="15" t="n"/>
      <c r="J337" s="16" t="inlineStr">
        <is>
          <t>CIF (USD) = InvTotal + Freight + Insurance</t>
        </is>
      </c>
      <c r="K337" s="15" t="n"/>
      <c r="L337" s="15" t="n"/>
      <c r="M337" s="15" t="n"/>
      <c r="N337" s="15" t="n"/>
      <c r="O337" s="15" t="n"/>
      <c r="P337" s="17" t="n">
        <v>1.52</v>
      </c>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row>
    <row r="338">
      <c r="A338" s="15" t="n"/>
      <c r="B338" s="15" t="n"/>
      <c r="C338" s="15" t="n"/>
      <c r="D338" s="15" t="n"/>
      <c r="E338" s="15" t="n"/>
      <c r="F338" s="15" t="n"/>
      <c r="G338" s="15" t="n"/>
      <c r="H338" s="15" t="n"/>
      <c r="I338" s="15" t="n"/>
      <c r="J338" s="16" t="inlineStr">
        <is>
          <t>CIF (XCD) = CIF × 2.7169</t>
        </is>
      </c>
      <c r="K338" s="15" t="n"/>
      <c r="L338" s="15" t="n"/>
      <c r="M338" s="15" t="n"/>
      <c r="N338" s="15" t="n"/>
      <c r="O338" s="15" t="n"/>
      <c r="P338" s="17" t="n">
        <v>4.13</v>
      </c>
      <c r="Q338" s="15" t="n"/>
      <c r="R338" s="15" t="n"/>
      <c r="S338" s="15" t="n"/>
      <c r="T338" s="15" t="n"/>
      <c r="U338" s="15" t="n"/>
      <c r="V338" s="15" t="n"/>
      <c r="W338" s="15" t="n"/>
      <c r="X338" s="15" t="n"/>
      <c r="Y338" s="15" t="n"/>
      <c r="Z338" s="15" t="n"/>
      <c r="AA338" s="15" t="n"/>
      <c r="AB338" s="15" t="n"/>
      <c r="AC338" s="15" t="n"/>
      <c r="AD338" s="15" t="n"/>
      <c r="AE338" s="15" t="n"/>
      <c r="AF338" s="15" t="n"/>
      <c r="AG338" s="15" t="n"/>
      <c r="AH338" s="15" t="n"/>
      <c r="AI338" s="15" t="n"/>
      <c r="AJ338" s="15" t="n"/>
      <c r="AK338" s="15" t="n"/>
    </row>
    <row r="339">
      <c r="A339" s="15" t="n"/>
      <c r="B339" s="15" t="n"/>
      <c r="C339" s="15" t="n"/>
      <c r="D339" s="15" t="n"/>
      <c r="E339" s="15" t="n"/>
      <c r="F339" s="15" t="n"/>
      <c r="G339" s="15" t="n"/>
      <c r="H339" s="15" t="n"/>
      <c r="I339" s="15" t="n"/>
      <c r="J339" s="16" t="inlineStr">
        <is>
          <t>CET (20%) — Tariff 71171900</t>
        </is>
      </c>
      <c r="K339" s="15" t="n"/>
      <c r="L339" s="15" t="n"/>
      <c r="M339" s="15" t="n"/>
      <c r="N339" s="15" t="n"/>
      <c r="O339" s="15" t="n"/>
      <c r="P339" s="17" t="n">
        <v>0.83</v>
      </c>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row>
    <row r="340">
      <c r="A340" s="15" t="n"/>
      <c r="B340" s="15" t="n"/>
      <c r="C340" s="15" t="n"/>
      <c r="D340" s="15" t="n"/>
      <c r="E340" s="15" t="n"/>
      <c r="F340" s="15" t="n"/>
      <c r="G340" s="15" t="n"/>
      <c r="H340" s="15" t="n"/>
      <c r="I340" s="15" t="n"/>
      <c r="J340" s="16" t="inlineStr">
        <is>
          <t>CSC (6%)</t>
        </is>
      </c>
      <c r="K340" s="15" t="n"/>
      <c r="L340" s="15" t="n"/>
      <c r="M340" s="15" t="n"/>
      <c r="N340" s="15" t="n"/>
      <c r="O340" s="15" t="n"/>
      <c r="P340" s="17" t="n">
        <v>0.25</v>
      </c>
      <c r="Q340" s="15" t="n"/>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row>
    <row r="341">
      <c r="A341" s="15" t="n"/>
      <c r="B341" s="15" t="n"/>
      <c r="C341" s="15" t="n"/>
      <c r="D341" s="15" t="n"/>
      <c r="E341" s="15" t="n"/>
      <c r="F341" s="15" t="n"/>
      <c r="G341" s="15" t="n"/>
      <c r="H341" s="15" t="n"/>
      <c r="I341" s="15" t="n"/>
      <c r="J341" s="16" t="inlineStr">
        <is>
          <t>VAT (15%) on CIF+CET+CSC</t>
        </is>
      </c>
      <c r="K341" s="15" t="n"/>
      <c r="L341" s="15" t="n"/>
      <c r="M341" s="15" t="n"/>
      <c r="N341" s="15" t="n"/>
      <c r="O341" s="15" t="n"/>
      <c r="P341" s="17" t="n">
        <v>0.78</v>
      </c>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row>
    <row r="342">
      <c r="A342" s="18" t="n"/>
      <c r="B342" s="18" t="n"/>
      <c r="C342" s="18" t="n"/>
      <c r="D342" s="18" t="n"/>
      <c r="E342" s="18" t="n"/>
      <c r="F342" s="18" t="n"/>
      <c r="G342" s="18" t="n"/>
      <c r="H342" s="18" t="n"/>
      <c r="I342" s="18" t="n"/>
      <c r="J342" s="14" t="inlineStr">
        <is>
          <t>ESTIMATED TOTAL DUTIES</t>
        </is>
      </c>
      <c r="K342" s="18" t="n"/>
      <c r="L342" s="18" t="n"/>
      <c r="M342" s="18" t="n"/>
      <c r="N342" s="18" t="n"/>
      <c r="O342" s="18" t="n"/>
      <c r="P342" s="19" t="n">
        <v>1.86</v>
      </c>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row>
    <row r="343">
      <c r="A343" s="15" t="n"/>
      <c r="B343" s="15" t="n"/>
      <c r="C343" s="15" t="n"/>
      <c r="D343" s="15" t="n"/>
      <c r="E343" s="15" t="n"/>
      <c r="F343" s="15" t="n"/>
      <c r="G343" s="15" t="n"/>
      <c r="H343" s="15" t="n"/>
      <c r="I343" s="15" t="n"/>
      <c r="J343" s="16" t="inlineStr">
        <is>
          <t>Effective Duty Rate</t>
        </is>
      </c>
      <c r="K343" s="15" t="n"/>
      <c r="L343" s="15" t="n"/>
      <c r="M343" s="15" t="n"/>
      <c r="N343" s="15" t="n"/>
      <c r="O343" s="15" t="n"/>
      <c r="P343" s="20" t="n">
        <v>0.450363196125908</v>
      </c>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c r="AA344" s="21" t="n"/>
      <c r="AB344" s="21" t="n"/>
      <c r="AC344" s="21" t="n"/>
      <c r="AD344" s="21" t="n"/>
      <c r="AE344" s="21" t="n"/>
      <c r="AF344" s="21" t="n"/>
      <c r="AG344" s="21" t="n"/>
      <c r="AH344" s="21" t="n"/>
      <c r="AI344" s="21" t="n"/>
      <c r="AJ344" s="21" t="n"/>
      <c r="AK344" s="21" t="n"/>
    </row>
    <row r="345">
      <c r="A345" s="2" t="inlineStr">
        <is>
          <t>4000-000</t>
        </is>
      </c>
      <c r="B345" s="2" t="n"/>
      <c r="C345" s="2" t="inlineStr">
        <is>
          <t>GSUNJY57BOONGXE_Invoice_13</t>
        </is>
      </c>
      <c r="D345" s="2" t="n"/>
      <c r="E345" s="2" t="inlineStr">
        <is>
          <t>Miscellaneous</t>
        </is>
      </c>
      <c r="F345" s="2" t="inlineStr">
        <is>
          <t>99999999</t>
        </is>
      </c>
      <c r="G345" s="2" t="n"/>
      <c r="H345" s="2" t="n"/>
      <c r="I345" s="2" t="inlineStr">
        <is>
          <t>99999999</t>
        </is>
      </c>
      <c r="J345" s="2" t="inlineStr">
        <is>
          <t>SHEIN US Services, LLC Purchase (1 items)</t>
        </is>
      </c>
      <c r="K345" s="2" t="n">
        <v>1</v>
      </c>
      <c r="L345" s="2" t="n"/>
      <c r="M345" s="2" t="n"/>
      <c r="N345" s="2" t="inlineStr">
        <is>
          <t>USD</t>
        </is>
      </c>
      <c r="O345" s="3" t="n">
        <v>0.01</v>
      </c>
      <c r="P345" s="3" t="n">
        <v>0.01</v>
      </c>
      <c r="Q345" s="3">
        <f>O345*K345</f>
        <v/>
      </c>
      <c r="R345" s="3">
        <f>P345-Q345</f>
        <v/>
      </c>
      <c r="S345" s="3" t="n">
        <v>0.01</v>
      </c>
      <c r="T345" s="3" t="n">
        <v>0</v>
      </c>
      <c r="U345" s="3" t="n">
        <v>0</v>
      </c>
      <c r="V345" s="3" t="n">
        <v>0</v>
      </c>
      <c r="W345" s="3" t="n">
        <v>0</v>
      </c>
      <c r="X345" s="2" t="n"/>
      <c r="Y345" s="2" t="n"/>
      <c r="Z345" s="2" t="inlineStr">
        <is>
          <t>SHEIN</t>
        </is>
      </c>
      <c r="AA345" s="2" t="inlineStr">
        <is>
          <t>SHEIN US Services, LLC</t>
        </is>
      </c>
      <c r="AB345" s="2" t="inlineStr">
        <is>
          <t>777 S. Alameda St., Second Floor, Los Angeles, CA 90021</t>
        </is>
      </c>
      <c r="AC345" s="2" t="inlineStr">
        <is>
          <t>US</t>
        </is>
      </c>
      <c r="AD345" s="2" t="n"/>
      <c r="AE345" s="2" t="n"/>
      <c r="AF345" s="2" t="n"/>
      <c r="AG345" s="2" t="n"/>
      <c r="AH345" s="2" t="n"/>
      <c r="AI345" s="2" t="n"/>
      <c r="AJ345" s="2" t="n"/>
      <c r="AK345" s="2" t="inlineStr">
        <is>
          <t>99999999</t>
        </is>
      </c>
    </row>
    <row r="346">
      <c r="A346" s="4" t="n"/>
      <c r="B346" s="4" t="n"/>
      <c r="C346" s="4" t="n"/>
      <c r="D346" s="4" t="n"/>
      <c r="E346" s="4" t="n"/>
      <c r="F346" s="4" t="inlineStr">
        <is>
          <t>99999999</t>
        </is>
      </c>
      <c r="G346" s="4" t="n"/>
      <c r="H346" s="4" t="n"/>
      <c r="I346" s="4" t="inlineStr">
        <is>
          <t>SHE-1</t>
        </is>
      </c>
      <c r="J346" s="4" t="inlineStr">
        <is>
          <t>SHEIN US Services, LLC Purchase</t>
        </is>
      </c>
      <c r="K346" s="4" t="n">
        <v>1</v>
      </c>
      <c r="L346" s="4" t="n"/>
      <c r="M346" s="4" t="n"/>
      <c r="N346" s="4" t="inlineStr">
        <is>
          <t>USD</t>
        </is>
      </c>
      <c r="O346" s="5" t="n">
        <v>0.01</v>
      </c>
      <c r="P346" s="5" t="n">
        <v>0.01</v>
      </c>
      <c r="Q346" s="5">
        <f>O346*K346</f>
        <v/>
      </c>
      <c r="R346" s="5">
        <f>P346-Q346</f>
        <v/>
      </c>
      <c r="S346" s="4" t="n"/>
      <c r="T346" s="4" t="n"/>
      <c r="U346" s="4" t="n"/>
      <c r="V346" s="4" t="n"/>
      <c r="W346" s="4" t="n"/>
      <c r="X346" s="4" t="n"/>
      <c r="Y346" s="4" t="n"/>
      <c r="Z346" s="4" t="n"/>
      <c r="AA346" s="4" t="n"/>
      <c r="AB346" s="4" t="n"/>
      <c r="AC346" s="4" t="n"/>
      <c r="AD346" s="4" t="n"/>
      <c r="AE346" s="4" t="n"/>
      <c r="AF346" s="4" t="n"/>
      <c r="AG346" s="4" t="n"/>
      <c r="AH346" s="4" t="n"/>
      <c r="AI346" s="4" t="n"/>
      <c r="AJ346" s="4" t="n"/>
      <c r="AK346" s="4" t="n"/>
    </row>
    <row r="347">
      <c r="A347" s="6" t="n"/>
      <c r="B347" s="6" t="n"/>
      <c r="C347" s="6" t="n"/>
      <c r="D347" s="6" t="n"/>
      <c r="E347" s="6" t="n"/>
      <c r="F347" s="6" t="n"/>
      <c r="G347" s="6" t="n"/>
      <c r="H347" s="6" t="n"/>
      <c r="I347" s="6" t="n"/>
      <c r="J347" s="6" t="inlineStr">
        <is>
          <t>SUBTOTAL (GROUPED)</t>
        </is>
      </c>
      <c r="K347" s="6" t="n"/>
      <c r="L347" s="6" t="n"/>
      <c r="M347" s="6" t="n"/>
      <c r="N347" s="6" t="n"/>
      <c r="O347" s="6" t="n"/>
      <c r="P347" s="7">
        <f>P345</f>
        <v/>
      </c>
      <c r="Q347" s="7">
        <f>Q345</f>
        <v/>
      </c>
      <c r="R347" s="6" t="n"/>
      <c r="S347" s="6" t="n"/>
      <c r="T347" s="6" t="n"/>
      <c r="U347" s="6" t="n"/>
      <c r="V347" s="6" t="n"/>
      <c r="W347" s="6" t="n"/>
      <c r="X347" s="6" t="n"/>
      <c r="Y347" s="6" t="n"/>
      <c r="Z347" s="6" t="n"/>
      <c r="AA347" s="6" t="n"/>
      <c r="AB347" s="6" t="n"/>
      <c r="AC347" s="6" t="n"/>
      <c r="AD347" s="6" t="n"/>
      <c r="AE347" s="6" t="n"/>
      <c r="AF347" s="6" t="n"/>
      <c r="AG347" s="6" t="n"/>
      <c r="AH347" s="6" t="n"/>
      <c r="AI347" s="6" t="n"/>
      <c r="AJ347" s="6" t="n"/>
      <c r="AK347" s="6" t="n"/>
    </row>
    <row r="348">
      <c r="A348" s="6" t="n"/>
      <c r="B348" s="6" t="n"/>
      <c r="C348" s="6" t="n"/>
      <c r="D348" s="6" t="n"/>
      <c r="E348" s="6" t="n"/>
      <c r="F348" s="6" t="n"/>
      <c r="G348" s="6" t="n"/>
      <c r="H348" s="6" t="n"/>
      <c r="I348" s="6" t="n"/>
      <c r="J348" s="6" t="inlineStr">
        <is>
          <t>SUBTOTAL (DETAILS)</t>
        </is>
      </c>
      <c r="K348" s="6" t="n"/>
      <c r="L348" s="6" t="n"/>
      <c r="M348" s="6" t="n"/>
      <c r="N348" s="6" t="n"/>
      <c r="O348" s="6" t="n"/>
      <c r="P348" s="7">
        <f>SUM(P345:P346)-P347</f>
        <v/>
      </c>
      <c r="Q348" s="7">
        <f>SUM(Q345:Q346)-Q347</f>
        <v/>
      </c>
      <c r="R348" s="6" t="n"/>
      <c r="S348" s="6" t="n"/>
      <c r="T348" s="6" t="n"/>
      <c r="U348" s="6" t="n"/>
      <c r="V348" s="6" t="n"/>
      <c r="W348" s="6" t="n"/>
      <c r="X348" s="6" t="n"/>
      <c r="Y348" s="6" t="n"/>
      <c r="Z348" s="6" t="n"/>
      <c r="AA348" s="6" t="n"/>
      <c r="AB348" s="6" t="n"/>
      <c r="AC348" s="6" t="n"/>
      <c r="AD348" s="6" t="n"/>
      <c r="AE348" s="6" t="n"/>
      <c r="AF348" s="6" t="n"/>
      <c r="AG348" s="6" t="n"/>
      <c r="AH348" s="6" t="n"/>
      <c r="AI348" s="6" t="n"/>
      <c r="AJ348" s="6" t="n"/>
      <c r="AK348" s="6" t="n"/>
    </row>
    <row r="349">
      <c r="A349" s="8" t="n"/>
      <c r="B349" s="8" t="n"/>
      <c r="C349" s="8" t="n"/>
      <c r="D349" s="8" t="n"/>
      <c r="E349" s="8" t="n"/>
      <c r="F349" s="8" t="n"/>
      <c r="G349" s="8" t="n"/>
      <c r="H349" s="8" t="n"/>
      <c r="I349" s="8" t="n"/>
      <c r="J349" s="8" t="inlineStr">
        <is>
          <t>GROUP VERIFICATION</t>
        </is>
      </c>
      <c r="K349" s="8" t="n"/>
      <c r="L349" s="8" t="n"/>
      <c r="M349" s="8" t="n"/>
      <c r="N349" s="8" t="n"/>
      <c r="O349" s="8" t="n"/>
      <c r="P349" s="9">
        <f>P347-P348</f>
        <v/>
      </c>
      <c r="Q349" s="9">
        <f>Q347-Q348</f>
        <v/>
      </c>
      <c r="R349" s="8" t="n"/>
      <c r="S349" s="8" t="n"/>
      <c r="T349" s="8" t="n"/>
      <c r="U349" s="8" t="n"/>
      <c r="V349" s="8" t="n"/>
      <c r="W349" s="8" t="n"/>
      <c r="X349" s="8" t="n"/>
      <c r="Y349" s="8" t="n"/>
      <c r="Z349" s="8" t="n"/>
      <c r="AA349" s="8" t="n"/>
      <c r="AB349" s="8" t="n"/>
      <c r="AC349" s="8" t="n"/>
      <c r="AD349" s="8" t="n"/>
      <c r="AE349" s="8" t="n"/>
      <c r="AF349" s="8" t="n"/>
      <c r="AG349" s="8" t="n"/>
      <c r="AH349" s="8" t="n"/>
      <c r="AI349" s="8" t="n"/>
      <c r="AJ349" s="8" t="n"/>
      <c r="AK349" s="8" t="n"/>
    </row>
    <row r="350"/>
    <row r="351">
      <c r="A351" s="6" t="n"/>
      <c r="B351" s="6" t="n"/>
      <c r="C351" s="6" t="n"/>
      <c r="D351" s="6" t="n"/>
      <c r="E351" s="6" t="n"/>
      <c r="F351" s="6" t="n"/>
      <c r="G351" s="6" t="n"/>
      <c r="H351" s="6" t="n"/>
      <c r="I351" s="6" t="n"/>
      <c r="J351" s="6" t="inlineStr">
        <is>
          <t>TOTAL INTERNAL FREIGHT</t>
        </is>
      </c>
      <c r="K351" s="6" t="n"/>
      <c r="L351" s="6" t="n"/>
      <c r="M351" s="6" t="n"/>
      <c r="N351" s="6" t="n"/>
      <c r="O351" s="6" t="n"/>
      <c r="P351" s="7" t="n">
        <v>0</v>
      </c>
      <c r="Q351" s="7" t="n"/>
      <c r="R351" s="6" t="n"/>
      <c r="S351" s="6" t="n"/>
      <c r="T351" s="6" t="n"/>
      <c r="U351" s="6" t="n"/>
      <c r="V351" s="6" t="n"/>
      <c r="W351" s="6" t="n"/>
      <c r="X351" s="6" t="n"/>
      <c r="Y351" s="6" t="n"/>
      <c r="Z351" s="6" t="n"/>
      <c r="AA351" s="6" t="n"/>
      <c r="AB351" s="6" t="n"/>
      <c r="AC351" s="6" t="n"/>
      <c r="AD351" s="6" t="n"/>
      <c r="AE351" s="6" t="n"/>
      <c r="AF351" s="6" t="n"/>
      <c r="AG351" s="6" t="n"/>
      <c r="AH351" s="6" t="n"/>
      <c r="AI351" s="6" t="n"/>
      <c r="AJ351" s="6" t="n"/>
      <c r="AK351" s="6" t="n"/>
    </row>
    <row r="352">
      <c r="A352" s="6" t="n"/>
      <c r="B352" s="6" t="n"/>
      <c r="C352" s="6" t="n"/>
      <c r="D352" s="6" t="n"/>
      <c r="E352" s="6" t="n"/>
      <c r="F352" s="6" t="n"/>
      <c r="G352" s="6" t="n"/>
      <c r="H352" s="6" t="n"/>
      <c r="I352" s="6" t="n"/>
      <c r="J352" s="6" t="inlineStr">
        <is>
          <t>TOTAL INSURANCE</t>
        </is>
      </c>
      <c r="K352" s="6" t="n"/>
      <c r="L352" s="6" t="n"/>
      <c r="M352" s="6" t="n"/>
      <c r="N352" s="6" t="n"/>
      <c r="O352" s="6" t="n"/>
      <c r="P352" s="7" t="n">
        <v>0</v>
      </c>
      <c r="Q352" s="7" t="n"/>
      <c r="R352" s="6" t="n"/>
      <c r="S352" s="6" t="n"/>
      <c r="T352" s="6" t="n"/>
      <c r="U352" s="6" t="n"/>
      <c r="V352" s="6" t="n"/>
      <c r="W352" s="6" t="n"/>
      <c r="X352" s="6" t="n"/>
      <c r="Y352" s="6" t="n"/>
      <c r="Z352" s="6" t="n"/>
      <c r="AA352" s="6" t="n"/>
      <c r="AB352" s="6" t="n"/>
      <c r="AC352" s="6" t="n"/>
      <c r="AD352" s="6" t="n"/>
      <c r="AE352" s="6" t="n"/>
      <c r="AF352" s="6" t="n"/>
      <c r="AG352" s="6" t="n"/>
      <c r="AH352" s="6" t="n"/>
      <c r="AI352" s="6" t="n"/>
      <c r="AJ352" s="6" t="n"/>
      <c r="AK352" s="6" t="n"/>
    </row>
    <row r="353">
      <c r="A353" s="6" t="n"/>
      <c r="B353" s="6" t="n"/>
      <c r="C353" s="6" t="n"/>
      <c r="D353" s="6" t="n"/>
      <c r="E353" s="6" t="n"/>
      <c r="F353" s="6" t="n"/>
      <c r="G353" s="6" t="n"/>
      <c r="H353" s="6" t="n"/>
      <c r="I353" s="6" t="n"/>
      <c r="J353" s="6" t="inlineStr">
        <is>
          <t>TOTAL OTHER COST</t>
        </is>
      </c>
      <c r="K353" s="6" t="n"/>
      <c r="L353" s="6" t="n"/>
      <c r="M353" s="6" t="n"/>
      <c r="N353" s="6" t="n"/>
      <c r="O353" s="6" t="n"/>
      <c r="P353" s="7" t="n">
        <v>0</v>
      </c>
      <c r="Q353" s="7" t="n"/>
      <c r="R353" s="6" t="n"/>
      <c r="S353" s="6" t="n"/>
      <c r="T353" s="6" t="n"/>
      <c r="U353" s="6" t="n"/>
      <c r="V353" s="6" t="n"/>
      <c r="W353" s="6" t="n"/>
      <c r="X353" s="6" t="n"/>
      <c r="Y353" s="6" t="n"/>
      <c r="Z353" s="6" t="n"/>
      <c r="AA353" s="6" t="n"/>
      <c r="AB353" s="6" t="n"/>
      <c r="AC353" s="6" t="n"/>
      <c r="AD353" s="6" t="n"/>
      <c r="AE353" s="6" t="n"/>
      <c r="AF353" s="6" t="n"/>
      <c r="AG353" s="6" t="n"/>
      <c r="AH353" s="6" t="n"/>
      <c r="AI353" s="6" t="n"/>
      <c r="AJ353" s="6" t="n"/>
      <c r="AK353" s="6" t="n"/>
    </row>
    <row r="354">
      <c r="A354" s="6" t="n"/>
      <c r="B354" s="6" t="n"/>
      <c r="C354" s="6" t="n"/>
      <c r="D354" s="6" t="n"/>
      <c r="E354" s="6" t="n"/>
      <c r="F354" s="6" t="n"/>
      <c r="G354" s="6" t="n"/>
      <c r="H354" s="6" t="n"/>
      <c r="I354" s="6" t="n"/>
      <c r="J354" s="6" t="inlineStr">
        <is>
          <t>TOTAL DEDUCTION</t>
        </is>
      </c>
      <c r="K354" s="6" t="n"/>
      <c r="L354" s="6" t="n"/>
      <c r="M354" s="6" t="n"/>
      <c r="N354" s="6" t="n"/>
      <c r="O354" s="6" t="n"/>
      <c r="P354" s="7" t="n">
        <v>0</v>
      </c>
      <c r="Q354" s="7" t="n"/>
      <c r="R354" s="6" t="n"/>
      <c r="S354" s="6" t="n"/>
      <c r="T354" s="6" t="n"/>
      <c r="U354" s="6" t="n"/>
      <c r="V354" s="6" t="n"/>
      <c r="W354" s="6" t="n"/>
      <c r="X354" s="6" t="n"/>
      <c r="Y354" s="6" t="n"/>
      <c r="Z354" s="6" t="n"/>
      <c r="AA354" s="6" t="n"/>
      <c r="AB354" s="6" t="n"/>
      <c r="AC354" s="6" t="n"/>
      <c r="AD354" s="6" t="n"/>
      <c r="AE354" s="6" t="n"/>
      <c r="AF354" s="6" t="n"/>
      <c r="AG354" s="6" t="n"/>
      <c r="AH354" s="6" t="n"/>
      <c r="AI354" s="6" t="n"/>
      <c r="AJ354" s="6" t="n"/>
      <c r="AK354" s="6" t="n"/>
    </row>
    <row r="355">
      <c r="A355" s="6" t="n"/>
      <c r="B355" s="6" t="n"/>
      <c r="C355" s="6" t="n"/>
      <c r="D355" s="6" t="n"/>
      <c r="E355" s="6" t="n"/>
      <c r="F355" s="6" t="n"/>
      <c r="G355" s="6" t="n"/>
      <c r="H355" s="6" t="n"/>
      <c r="I355" s="6" t="n"/>
      <c r="J355" s="6" t="inlineStr">
        <is>
          <t>ADJUSTMENTS</t>
        </is>
      </c>
      <c r="K355" s="6" t="n"/>
      <c r="L355" s="6" t="n"/>
      <c r="M355" s="6" t="n"/>
      <c r="N355" s="6" t="n"/>
      <c r="O355" s="6" t="n"/>
      <c r="P355" s="7">
        <f>(T345+U345+V345-W345)</f>
        <v/>
      </c>
      <c r="Q355" s="7">
        <f>(T345+U345+V345-W345)</f>
        <v/>
      </c>
      <c r="R355" s="6" t="n"/>
      <c r="S355" s="6" t="n"/>
      <c r="T355" s="6" t="n"/>
      <c r="U355" s="6" t="n"/>
      <c r="V355" s="6" t="n"/>
      <c r="W355" s="6" t="n"/>
      <c r="X355" s="6" t="n"/>
      <c r="Y355" s="6" t="n"/>
      <c r="Z355" s="6" t="n"/>
      <c r="AA355" s="6" t="n"/>
      <c r="AB355" s="6" t="n"/>
      <c r="AC355" s="6" t="n"/>
      <c r="AD355" s="6" t="n"/>
      <c r="AE355" s="6" t="n"/>
      <c r="AF355" s="6" t="n"/>
      <c r="AG355" s="6" t="n"/>
      <c r="AH355" s="6" t="n"/>
      <c r="AI355" s="6" t="n"/>
      <c r="AJ355" s="6" t="n"/>
      <c r="AK355" s="6" t="n"/>
    </row>
    <row r="356"/>
    <row r="357">
      <c r="A357" s="6" t="n"/>
      <c r="B357" s="6" t="n"/>
      <c r="C357" s="6" t="n"/>
      <c r="D357" s="6" t="n"/>
      <c r="E357" s="6" t="n"/>
      <c r="F357" s="6" t="n"/>
      <c r="G357" s="6" t="n"/>
      <c r="H357" s="6" t="n"/>
      <c r="I357" s="6" t="n"/>
      <c r="J357" s="6" t="inlineStr">
        <is>
          <t>NET TOTAL</t>
        </is>
      </c>
      <c r="K357" s="6" t="n"/>
      <c r="L357" s="6" t="n"/>
      <c r="M357" s="6" t="n"/>
      <c r="N357" s="6" t="n"/>
      <c r="O357" s="6" t="n"/>
      <c r="P357" s="7">
        <f>P347+P355</f>
        <v/>
      </c>
      <c r="Q357" s="7">
        <f>Q347+Q355</f>
        <v/>
      </c>
      <c r="R357" s="6" t="n"/>
      <c r="S357" s="6" t="n"/>
      <c r="T357" s="6" t="n"/>
      <c r="U357" s="6" t="n"/>
      <c r="V357" s="6" t="n"/>
      <c r="W357" s="6" t="n"/>
      <c r="X357" s="6" t="n"/>
      <c r="Y357" s="6" t="n"/>
      <c r="Z357" s="6" t="n"/>
      <c r="AA357" s="6" t="n"/>
      <c r="AB357" s="6" t="n"/>
      <c r="AC357" s="6" t="n"/>
      <c r="AD357" s="6" t="n"/>
      <c r="AE357" s="6" t="n"/>
      <c r="AF357" s="6" t="n"/>
      <c r="AG357" s="6" t="n"/>
      <c r="AH357" s="6" t="n"/>
      <c r="AI357" s="6" t="n"/>
      <c r="AJ357" s="6" t="n"/>
      <c r="AK357" s="6" t="n"/>
    </row>
    <row r="358">
      <c r="A358" s="6" t="n"/>
      <c r="B358" s="6" t="n"/>
      <c r="C358" s="6" t="n"/>
      <c r="D358" s="6" t="n"/>
      <c r="E358" s="6" t="n"/>
      <c r="F358" s="6" t="n"/>
      <c r="G358" s="6" t="n"/>
      <c r="H358" s="6" t="n"/>
      <c r="I358" s="6" t="n"/>
      <c r="J358" s="6" t="inlineStr">
        <is>
          <t>INVOICE TOTAL</t>
        </is>
      </c>
      <c r="K358" s="6" t="n"/>
      <c r="L358" s="6" t="n"/>
      <c r="M358" s="6" t="n"/>
      <c r="N358" s="6" t="n"/>
      <c r="O358" s="6" t="n"/>
      <c r="P358" s="7">
        <f>S345</f>
        <v/>
      </c>
      <c r="Q358" s="7" t="n"/>
      <c r="R358" s="6" t="n"/>
      <c r="S358" s="6" t="n"/>
      <c r="T358" s="6" t="n"/>
      <c r="U358" s="6" t="n"/>
      <c r="V358" s="6" t="n"/>
      <c r="W358" s="6" t="n"/>
      <c r="X358" s="6" t="n"/>
      <c r="Y358" s="6" t="n"/>
      <c r="Z358" s="6" t="n"/>
      <c r="AA358" s="6" t="n"/>
      <c r="AB358" s="6" t="n"/>
      <c r="AC358" s="6" t="n"/>
      <c r="AD358" s="6" t="n"/>
      <c r="AE358" s="6" t="n"/>
      <c r="AF358" s="6" t="n"/>
      <c r="AG358" s="6" t="n"/>
      <c r="AH358" s="6" t="n"/>
      <c r="AI358" s="6" t="n"/>
      <c r="AJ358" s="6" t="n"/>
      <c r="AK358" s="6" t="n"/>
    </row>
    <row r="359"/>
    <row r="360">
      <c r="A360" s="10" t="n"/>
      <c r="B360" s="10" t="n"/>
      <c r="C360" s="10" t="n"/>
      <c r="D360" s="10" t="n"/>
      <c r="E360" s="10" t="n"/>
      <c r="F360" s="10" t="n"/>
      <c r="G360" s="10" t="n"/>
      <c r="H360" s="10" t="n"/>
      <c r="I360" s="10" t="n"/>
      <c r="J360" s="10" t="inlineStr">
        <is>
          <t>VARIANCE CHECK</t>
        </is>
      </c>
      <c r="K360" s="10" t="n"/>
      <c r="L360" s="10" t="n"/>
      <c r="M360" s="10" t="n"/>
      <c r="N360" s="10" t="n"/>
      <c r="O360" s="10" t="n"/>
      <c r="P360" s="11">
        <f>S345-P357</f>
        <v/>
      </c>
      <c r="Q360" s="11">
        <f>S345-Q357</f>
        <v/>
      </c>
      <c r="R360" s="10" t="n"/>
      <c r="S360" s="10" t="n"/>
      <c r="T360" s="10" t="n"/>
      <c r="U360" s="10" t="n"/>
      <c r="V360" s="10" t="n"/>
      <c r="W360" s="10" t="n"/>
      <c r="X360" s="10" t="n"/>
      <c r="Y360" s="10" t="n"/>
      <c r="Z360" s="10" t="n"/>
      <c r="AA360" s="10" t="n"/>
      <c r="AB360" s="10" t="n"/>
      <c r="AC360" s="10" t="n"/>
      <c r="AD360" s="10" t="n"/>
      <c r="AE360" s="10" t="n"/>
      <c r="AF360" s="10" t="n"/>
      <c r="AG360" s="10" t="n"/>
      <c r="AH360" s="10" t="n"/>
      <c r="AI360" s="10" t="n"/>
      <c r="AJ360" s="10" t="n"/>
      <c r="AK360" s="10" t="n"/>
    </row>
    <row r="361"/>
    <row r="362">
      <c r="A362" s="14" t="n"/>
      <c r="B362" s="14" t="n"/>
      <c r="C362" s="14" t="n"/>
      <c r="D362" s="14" t="n"/>
      <c r="E362" s="14" t="n"/>
      <c r="F362" s="14" t="n"/>
      <c r="G362" s="14" t="n"/>
      <c r="H362" s="14" t="n"/>
      <c r="I362" s="14" t="n"/>
      <c r="J362" s="14" t="inlineStr">
        <is>
          <t>DUTY ESTIMATION (Classification Cross-Check)</t>
        </is>
      </c>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row>
    <row r="363">
      <c r="A363" s="15" t="n"/>
      <c r="B363" s="15" t="n"/>
      <c r="C363" s="15" t="n"/>
      <c r="D363" s="15" t="n"/>
      <c r="E363" s="15" t="n"/>
      <c r="F363" s="15" t="n"/>
      <c r="G363" s="15" t="n"/>
      <c r="H363" s="15" t="n"/>
      <c r="I363" s="15" t="n"/>
      <c r="J363" s="16" t="inlineStr">
        <is>
          <t>CIF (USD) = InvTotal + Freight + Insurance</t>
        </is>
      </c>
      <c r="K363" s="15" t="n"/>
      <c r="L363" s="15" t="n"/>
      <c r="M363" s="15" t="n"/>
      <c r="N363" s="15" t="n"/>
      <c r="O363" s="15" t="n"/>
      <c r="P363" s="17" t="n">
        <v>0.01</v>
      </c>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row>
    <row r="364">
      <c r="A364" s="15" t="n"/>
      <c r="B364" s="15" t="n"/>
      <c r="C364" s="15" t="n"/>
      <c r="D364" s="15" t="n"/>
      <c r="E364" s="15" t="n"/>
      <c r="F364" s="15" t="n"/>
      <c r="G364" s="15" t="n"/>
      <c r="H364" s="15" t="n"/>
      <c r="I364" s="15" t="n"/>
      <c r="J364" s="16" t="inlineStr">
        <is>
          <t>CIF (XCD) = CIF × 2.7169</t>
        </is>
      </c>
      <c r="K364" s="15" t="n"/>
      <c r="L364" s="15" t="n"/>
      <c r="M364" s="15" t="n"/>
      <c r="N364" s="15" t="n"/>
      <c r="O364" s="15" t="n"/>
      <c r="P364" s="17" t="n">
        <v>0.03</v>
      </c>
      <c r="Q364" s="15" t="n"/>
      <c r="R364" s="15" t="n"/>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row>
    <row r="365">
      <c r="A365" s="15" t="n"/>
      <c r="B365" s="15" t="n"/>
      <c r="C365" s="15" t="n"/>
      <c r="D365" s="15" t="n"/>
      <c r="E365" s="15" t="n"/>
      <c r="F365" s="15" t="n"/>
      <c r="G365" s="15" t="n"/>
      <c r="H365" s="15" t="n"/>
      <c r="I365" s="15" t="n"/>
      <c r="J365" s="16" t="inlineStr">
        <is>
          <t>CET (20%) — Tariff 99999999</t>
        </is>
      </c>
      <c r="K365" s="15" t="n"/>
      <c r="L365" s="15" t="n"/>
      <c r="M365" s="15" t="n"/>
      <c r="N365" s="15" t="n"/>
      <c r="O365" s="15" t="n"/>
      <c r="P365" s="17" t="n">
        <v>0.01</v>
      </c>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row>
    <row r="366">
      <c r="A366" s="15" t="n"/>
      <c r="B366" s="15" t="n"/>
      <c r="C366" s="15" t="n"/>
      <c r="D366" s="15" t="n"/>
      <c r="E366" s="15" t="n"/>
      <c r="F366" s="15" t="n"/>
      <c r="G366" s="15" t="n"/>
      <c r="H366" s="15" t="n"/>
      <c r="I366" s="15" t="n"/>
      <c r="J366" s="16" t="inlineStr">
        <is>
          <t>CSC (6%)</t>
        </is>
      </c>
      <c r="K366" s="15" t="n"/>
      <c r="L366" s="15" t="n"/>
      <c r="M366" s="15" t="n"/>
      <c r="N366" s="15" t="n"/>
      <c r="O366" s="15" t="n"/>
      <c r="P366" s="17" t="n">
        <v>0</v>
      </c>
      <c r="Q366" s="15" t="n"/>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row>
    <row r="367">
      <c r="A367" s="15" t="n"/>
      <c r="B367" s="15" t="n"/>
      <c r="C367" s="15" t="n"/>
      <c r="D367" s="15" t="n"/>
      <c r="E367" s="15" t="n"/>
      <c r="F367" s="15" t="n"/>
      <c r="G367" s="15" t="n"/>
      <c r="H367" s="15" t="n"/>
      <c r="I367" s="15" t="n"/>
      <c r="J367" s="16" t="inlineStr">
        <is>
          <t>VAT (15%) on CIF+CET+CSC</t>
        </is>
      </c>
      <c r="K367" s="15" t="n"/>
      <c r="L367" s="15" t="n"/>
      <c r="M367" s="15" t="n"/>
      <c r="N367" s="15" t="n"/>
      <c r="O367" s="15" t="n"/>
      <c r="P367" s="17" t="n">
        <v>0.01</v>
      </c>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row>
    <row r="368">
      <c r="A368" s="18" t="n"/>
      <c r="B368" s="18" t="n"/>
      <c r="C368" s="18" t="n"/>
      <c r="D368" s="18" t="n"/>
      <c r="E368" s="18" t="n"/>
      <c r="F368" s="18" t="n"/>
      <c r="G368" s="18" t="n"/>
      <c r="H368" s="18" t="n"/>
      <c r="I368" s="18" t="n"/>
      <c r="J368" s="14" t="inlineStr">
        <is>
          <t>ESTIMATED TOTAL DUTIES</t>
        </is>
      </c>
      <c r="K368" s="18" t="n"/>
      <c r="L368" s="18" t="n"/>
      <c r="M368" s="18" t="n"/>
      <c r="N368" s="18" t="n"/>
      <c r="O368" s="18" t="n"/>
      <c r="P368" s="19" t="n">
        <v>0.02</v>
      </c>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row>
    <row r="369">
      <c r="A369" s="15" t="n"/>
      <c r="B369" s="15" t="n"/>
      <c r="C369" s="15" t="n"/>
      <c r="D369" s="15" t="n"/>
      <c r="E369" s="15" t="n"/>
      <c r="F369" s="15" t="n"/>
      <c r="G369" s="15" t="n"/>
      <c r="H369" s="15" t="n"/>
      <c r="I369" s="15" t="n"/>
      <c r="J369" s="16" t="inlineStr">
        <is>
          <t>Effective Duty Rate</t>
        </is>
      </c>
      <c r="K369" s="15" t="n"/>
      <c r="L369" s="15" t="n"/>
      <c r="M369" s="15" t="n"/>
      <c r="N369" s="15" t="n"/>
      <c r="O369" s="15" t="n"/>
      <c r="P369" s="20" t="n">
        <v>0.6666666666666667</v>
      </c>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row>
    <row r="370"/>
    <row r="371">
      <c r="A371" s="22" t="n"/>
      <c r="B371" s="22" t="n"/>
      <c r="C371" s="22" t="n"/>
      <c r="D371" s="22" t="n"/>
      <c r="E371" s="22" t="n"/>
      <c r="F371" s="22"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c r="AA371" s="22" t="n"/>
      <c r="AB371" s="22" t="n"/>
      <c r="AC371" s="22" t="n"/>
      <c r="AD371" s="22" t="n"/>
      <c r="AE371" s="22" t="n"/>
      <c r="AF371" s="22" t="n"/>
      <c r="AG371" s="22" t="n"/>
      <c r="AH371" s="22" t="n"/>
      <c r="AI371" s="22" t="n"/>
      <c r="AJ371" s="22" t="n"/>
      <c r="AK371" s="22" t="n"/>
    </row>
    <row r="372">
      <c r="A372" s="22" t="n"/>
      <c r="B372" s="22" t="n"/>
      <c r="C372" s="22" t="n"/>
      <c r="D372" s="22" t="n"/>
      <c r="E372" s="22" t="n"/>
      <c r="F372" s="22" t="n"/>
      <c r="G372" s="22" t="n"/>
      <c r="H372" s="22" t="n"/>
      <c r="I372" s="22" t="n"/>
      <c r="J372" s="22" t="n"/>
      <c r="K372" s="22" t="n"/>
      <c r="L372" s="23" t="inlineStr">
        <is>
          <t>═══ COMBINED GRAND SUMMARY ═══</t>
        </is>
      </c>
      <c r="M372" s="22" t="n"/>
      <c r="N372" s="22" t="n"/>
      <c r="O372" s="22" t="n"/>
      <c r="P372" s="22" t="n"/>
      <c r="Q372" s="22" t="n"/>
      <c r="R372" s="22" t="n"/>
      <c r="S372" s="22" t="n"/>
      <c r="T372" s="22" t="n"/>
      <c r="U372" s="22" t="n"/>
      <c r="V372" s="22" t="n"/>
      <c r="W372" s="22" t="n"/>
      <c r="X372" s="22" t="n"/>
      <c r="Y372" s="22" t="n"/>
      <c r="Z372" s="22" t="n"/>
      <c r="AA372" s="22" t="n"/>
      <c r="AB372" s="22" t="n"/>
      <c r="AC372" s="22" t="n"/>
      <c r="AD372" s="22" t="n"/>
      <c r="AE372" s="22" t="n"/>
      <c r="AF372" s="22" t="n"/>
      <c r="AG372" s="22" t="n"/>
      <c r="AH372" s="22" t="n"/>
      <c r="AI372" s="22" t="n"/>
      <c r="AJ372" s="22" t="n"/>
      <c r="AK372" s="22" t="n"/>
    </row>
    <row r="373">
      <c r="L373" s="24" t="inlineStr">
        <is>
          <t>Invoice GSUNJY57BOONGXE_Invoice_1</t>
        </is>
      </c>
      <c r="P373" s="25" t="n">
        <v>47.39</v>
      </c>
      <c r="Q373" s="26" t="n">
        <v>-40.83</v>
      </c>
    </row>
    <row r="374">
      <c r="L374" s="24" t="inlineStr">
        <is>
          <t>Invoice GSUNJY57BOONGXE_Invoice_2</t>
        </is>
      </c>
      <c r="P374" s="25" t="n">
        <v>111.23</v>
      </c>
      <c r="Q374" s="26" t="n">
        <v>-95.75</v>
      </c>
    </row>
    <row r="375">
      <c r="L375" s="24" t="inlineStr">
        <is>
          <t>Invoice GSUNJY57BOONGXE_Invoice_3</t>
        </is>
      </c>
      <c r="P375" s="25" t="n">
        <v>65.64</v>
      </c>
      <c r="Q375" s="26" t="n">
        <v>-56.53</v>
      </c>
    </row>
    <row r="376">
      <c r="L376" s="24" t="inlineStr">
        <is>
          <t>Invoice GSUNJY57BOONGXE_Invoice_4</t>
        </is>
      </c>
      <c r="P376" s="25" t="n">
        <v>13.68</v>
      </c>
      <c r="Q376" s="26" t="n">
        <v>-11.74</v>
      </c>
    </row>
    <row r="377">
      <c r="L377" s="24" t="inlineStr">
        <is>
          <t>Invoice GSUNJY57BOONGXE_Invoice_5</t>
        </is>
      </c>
      <c r="P377" s="25" t="n">
        <v>16.21</v>
      </c>
      <c r="Q377" s="26" t="n">
        <v>-14.01</v>
      </c>
    </row>
    <row r="378">
      <c r="L378" s="24" t="inlineStr">
        <is>
          <t>Invoice GSUNJY57BOONGXE_Invoice_6</t>
        </is>
      </c>
      <c r="P378" s="25" t="n">
        <v>81.18000000000001</v>
      </c>
      <c r="Q378" s="26" t="n">
        <v>-69.90000000000001</v>
      </c>
    </row>
    <row r="379">
      <c r="L379" s="24" t="inlineStr">
        <is>
          <t>Invoice GSUNJY57BOONGXE_Invoice_7</t>
        </is>
      </c>
      <c r="P379" s="25" t="n">
        <v>0.76</v>
      </c>
      <c r="Q379" s="26" t="n">
        <v>-0.75</v>
      </c>
    </row>
    <row r="380">
      <c r="L380" s="24" t="inlineStr">
        <is>
          <t>Invoice GSUNJY57BOONGXE_Invoice_8</t>
        </is>
      </c>
      <c r="P380" s="25" t="n">
        <v>228.28</v>
      </c>
      <c r="Q380" s="26" t="n">
        <v>-198.69</v>
      </c>
    </row>
    <row r="381">
      <c r="L381" s="24" t="inlineStr">
        <is>
          <t>Invoice GSUNJY57BOONGXE_Invoice_9</t>
        </is>
      </c>
      <c r="P381" s="25" t="n">
        <v>74</v>
      </c>
      <c r="Q381" s="26" t="n">
        <v>-64.45</v>
      </c>
    </row>
    <row r="382">
      <c r="L382" s="24" t="inlineStr">
        <is>
          <t>Invoice GSUNJY57BOONGXE_Invoice_10</t>
        </is>
      </c>
      <c r="P382" s="25" t="n">
        <v>0.76</v>
      </c>
      <c r="Q382" s="26" t="n">
        <v>-0.75</v>
      </c>
    </row>
    <row r="383">
      <c r="L383" s="24" t="inlineStr">
        <is>
          <t>Invoice GSUNJY57BOONGXE_Invoice_11</t>
        </is>
      </c>
      <c r="P383" s="25" t="n">
        <v>0.76</v>
      </c>
      <c r="Q383" s="26" t="n">
        <v>-0.75</v>
      </c>
    </row>
    <row r="384">
      <c r="L384" s="24" t="inlineStr">
        <is>
          <t>Invoice GSUNJY57BOONGXE_Invoice_12</t>
        </is>
      </c>
      <c r="P384" s="25" t="n">
        <v>11.34</v>
      </c>
      <c r="Q384" s="26" t="n">
        <v>-9.82</v>
      </c>
    </row>
    <row r="385">
      <c r="L385" s="24" t="inlineStr">
        <is>
          <t>Invoice GSUNJY57BOONGXE_Invoice_13</t>
        </is>
      </c>
      <c r="P385" s="25" t="n">
        <v>0.76</v>
      </c>
      <c r="Q385" s="26" t="n">
        <v>-0.75</v>
      </c>
    </row>
    <row r="386"/>
    <row r="387">
      <c r="L387" s="27" t="inlineStr">
        <is>
          <t>GRAND TOTAL</t>
        </is>
      </c>
      <c r="P387" s="28" t="n">
        <v>651.99</v>
      </c>
    </row>
    <row r="388">
      <c r="L388" s="29" t="inlineStr">
        <is>
          <t>GRAND VARIANCE CHECK</t>
        </is>
      </c>
      <c r="P388" s="26" t="n">
        <v>-564.72</v>
      </c>
    </row>
    <row r="389">
      <c r="L389" s="30" t="inlineStr">
        <is>
          <t>Combined 13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GSUNJY57BOONGXE_Invoice_1.pdf</t>
        </is>
      </c>
      <c r="B2" s="32" t="inlineStr">
        <is>
          <t>35/100</t>
        </is>
      </c>
      <c r="C2" s="33" t="inlineStr">
        <is>
          <t>POOR</t>
        </is>
      </c>
      <c r="D2" s="32" t="inlineStr">
        <is>
          <t>Text: 571 chars; Prices: 0 ($-sign), 0 (decimal); Total: MISSING; Invoice#: MISSING; Real items: 1/1; Structure words: 10/12</t>
        </is>
      </c>
      <c r="E2" s="34" t="inlineStr">
        <is>
          <t>10813 NW 30 th street BLDG 115 GRE 8474 Miami , FLORIDA
33172 2024 - 07 - 17
Delivery Address :
10813 NW 30 th street BLDG 115 GRE 8474 Miami , FLORIDA
33172
Order Information
Order Number : Order Date :
Seller Information
Sold By : Address :
Kiss Bag China No . 1701 , Unit 2 , Building 7 , Yulongting , Baigou Town ,
Gaobeidian , Baoding , Hebei Province
Invoice Detail
Description Quantity Amount ( USD )
Pu Fabric Rainbow Stripe Mini Heart - Shaped Kids ' Crossbody Bag 1 6.56
Item ( s ) Subtotal : 6.56
Shipping / Handling : 0.00
Sales Tax : 0.47
Grand Total: : 7.03</t>
        </is>
      </c>
    </row>
    <row r="3">
      <c r="A3" s="35" t="inlineStr">
        <is>
          <t>GSUNJY57BOONGXE_Invoice_2.pdf</t>
        </is>
      </c>
      <c r="B3" s="35" t="inlineStr">
        <is>
          <t>43/100</t>
        </is>
      </c>
      <c r="C3" s="35" t="inlineStr">
        <is>
          <t>FAIR</t>
        </is>
      </c>
      <c r="D3" s="35" t="inlineStr">
        <is>
          <t>Text: 566 chars; Prices: 0 ($-sign), 3 (decimal); Total: MISSING; Invoice#: MISSING; Real items: 1/1; Structure words: 10/12</t>
        </is>
      </c>
      <c r="E3" s="36" t="inlineStr">
        <is>
          <t>10813 NW 30 th street BLDG 115 GRE 8474 Miami , FLORIDA 2024 - 07 - 17
33172
Delivery Address :
10813 NW 30 th street BLDG 115 GRE 8474 Miami , FLORIDA
33172
Order Information
Order Number : Order Date :
GSUNJY 57 BOO 0 ONGXD 2024 - 07 - 17
Seller Information
Sold By : Address :
Spicy Girl Wardrobe No . 215 , Yuehua Road , China
Invoice Detail
Description Quantity Amount ( USD )
Women Color Block Crochet Knitted Short Sleeve Top And Shorts Set Short Sets Summer 1 15.48
Item ( s ) Subtotal : 15.48
Shipping / Handling : 0.00
Sales Tax : 4.11
Grand Total: : 16.59</t>
        </is>
      </c>
    </row>
    <row r="4">
      <c r="A4" s="32" t="inlineStr">
        <is>
          <t>GSUNJY57BOONGXE_Invoice_3.pdf</t>
        </is>
      </c>
      <c r="B4" s="32" t="inlineStr">
        <is>
          <t>35/100</t>
        </is>
      </c>
      <c r="C4" s="33" t="inlineStr">
        <is>
          <t>POOR</t>
        </is>
      </c>
      <c r="D4" s="32" t="inlineStr">
        <is>
          <t>Text: 1216 chars; Prices: 0 ($-sign), 0 (decimal); Total: MISSING; Invoice#: MISSING; Real items: 2/2; Structure words: 10/12</t>
        </is>
      </c>
      <c r="E4" s="34" t="inlineStr">
        <is>
          <t>10813 NW 30 th street BLDG 115 GRE 8474 Miami , FLORIDA 2024 - 07 - 17
33172 .
Delivery Address : .
10813 NW 30 th street BLDG 115 GRE 8474 Miami , FLORIDA
33172
Order Information
Order Number : Order Date :
GSUNJY 57 BOO 0 ONGXG 2024 - 07 - 17
Seller Information
Sold By : Address :
JIU MEI ChinaHebei Baoding Gaobeidian No . 313 Xingkong Street ,
Baigou New City , Baoding City , Hebei Province
Invoice Detail
Description | Quantity Amount ( USD )
Trendy Warm Winter Upper Handle Handbag With Shoulder Strap For Shopping Featuring Pink Cow Patterns
And Cherry Elements In Corduroy Fabric , School Bag , Large Capacity , Portable , For Teen Girls Women College 1 4.55
Students , White - Collar Workers Perfect For Work , Back To School , Middle School , High School , College , Vacation
Trendy Warm Winter Upper Handle Handbag With Shoulder Strap For Shopping Featuring Pink Cow Patterns
And Cherry Elements In Corduroy Fabric , School Bag , Large Capacity , Portable , For Teen Girls Women College 1 4.56
Students , White - Collar Workers Perfect For Work , Back To School , Middle School , High School , College , Vacation
Item ( s ) Subtotal : 9.11
Shipping / Handling : 0.00
Sales Tax : 0.65
Grand Total: : 9.76</t>
        </is>
      </c>
    </row>
    <row r="5">
      <c r="A5" s="32" t="inlineStr">
        <is>
          <t>GSUNJY57BOONGXE_Invoice_4.pdf</t>
        </is>
      </c>
      <c r="B5" s="32" t="inlineStr">
        <is>
          <t>35/100</t>
        </is>
      </c>
      <c r="C5" s="33" t="inlineStr">
        <is>
          <t>POOR</t>
        </is>
      </c>
      <c r="D5" s="32" t="inlineStr">
        <is>
          <t>Text: 741 chars; Prices: 0 ($-sign), 0 (decimal); Total: MISSING; Invoice#: MISSING; Real items: 1/1; Structure words: 10/12</t>
        </is>
      </c>
      <c r="E5" s="34" t="inlineStr">
        <is>
          <t>10813 NW 30 th street BLDG 115 GRE 8474 Miami , FLORIDA 2024 - 07 - 17
33172
Delivery Address :
10813 NW 30 th street BLDG 115 GRE 8474 Miami , FLORIDA
33172
Order Information
Order Number : Order Date :
GSUNJY 57 BOONGXJ 0 NGXJ 2024 - 07 - 17
Seller Information
Sold By : Address :
LiangXinQin Shop No . 22872 , Market District 3 , International Trade City , China
Commodity City , Yiwu City , Jinhua City , Zhejiang Province , China
Invoice Detail
Description Quantity Amount ( USD )
Irregular Petals Candy - Colored Bubble Glasses With Hollow Concave Shape , European And American
Popular Floral Fashion Y 2 K Catwalk Street Shot Sunglasses 1 1.94
Item ( s ) Subtotal : 1.94
Shipping / Handling : 0.00
Sales Tax : 0.00
Grand Total: : 1.94</t>
        </is>
      </c>
    </row>
    <row r="6">
      <c r="A6" s="32" t="inlineStr">
        <is>
          <t>GSUNJY57BOONGXE_Invoice_5.pdf</t>
        </is>
      </c>
      <c r="B6" s="32" t="inlineStr">
        <is>
          <t>35/100</t>
        </is>
      </c>
      <c r="C6" s="33" t="inlineStr">
        <is>
          <t>POOR</t>
        </is>
      </c>
      <c r="D6" s="32" t="inlineStr">
        <is>
          <t>Text: 560 chars; Prices: 0 ($-sign), 0 (decimal); Total: MISSING; Invoice#: MISSING; Real items: 1/1; Structure words: 9/12</t>
        </is>
      </c>
      <c r="E6" s="34" t="inlineStr">
        <is>
          <t>10813 NW 30 th street BLDG 115 GRE 8474 Miami , FLORIDA 2024 - 07 - 17
33172
Delivery Address :
10813 NW 30 th street BLDG 115 GRE 8474 Miami , FLORIDA
33172
Order Information
Order Number :
GSUNJY 57 BOONGXL 2024 -
Seller Information
Sold By :
United StatesCALIFORNIALos Angeles 777 S . Alamaeda St .
Suite 340 , Los Angeles , CA 90021
Invoice Detail
Description Quantity Amount ( USD )
SHEIN Swim SXY Summer Beach Hollow Out Fishnet Bodycon Dress Without Liner 1 2.20
Item ( s ) Subtotal : 2.20
Shipping / Handling : 0.00
Sales Tax : 0.15
Grand Total: : 2.35</t>
        </is>
      </c>
    </row>
    <row r="7">
      <c r="A7" s="35" t="inlineStr">
        <is>
          <t>GSUNJY57BOONGXE_Invoice_6.pdf</t>
        </is>
      </c>
      <c r="B7" s="35" t="inlineStr">
        <is>
          <t>43/100</t>
        </is>
      </c>
      <c r="C7" s="35" t="inlineStr">
        <is>
          <t>FAIR</t>
        </is>
      </c>
      <c r="D7" s="35" t="inlineStr">
        <is>
          <t>Text: 682 chars; Prices: 0 ($-sign), 3 (decimal); Total: MISSING; Invoice#: MISSING; Real items: 1/1; Structure words: 10/12</t>
        </is>
      </c>
      <c r="E7" s="36" t="inlineStr">
        <is>
          <t>10813 NW 30 th street BLDG 115 GRE 8474 Miami , FLORIDA 2024 - 07 - 17
33172
Delivery Address :
10813 NW 30 th street BLDG 115 GRE 8474 Miami , FLORIDA
33172
Order Information
Order Number : Order Date :
GSUNJY 57 BOONGY 00 NGY 1 2024 - 07 - 17
Seller Information
Sold By : Address :
Benboy - BTG 109 Commercial Building , 1 st Floor , No . 43 , Zhonghai Huanyu
Tianxia , No . 1 - 1 , Gaoxin Avenue , Fuzhou High - tech Zone , China
Invoice Detail
Description Quantity Amount ( USD )
Slip - On Sandal For Women Fully Adjustable Straps With Closure Sport Light Weight Rubber Outsole 1 11.28
Item ( s ) Subtotal : 11.28
Shipping / Handling : 0.00
Sales Tax : 0.80
Grand Total: : 12.08</t>
        </is>
      </c>
    </row>
    <row r="8">
      <c r="A8" s="32" t="inlineStr">
        <is>
          <t>GSUNJY57BOONGXE_Invoice_7.pdf</t>
        </is>
      </c>
      <c r="B8" s="32" t="inlineStr">
        <is>
          <t>25/100</t>
        </is>
      </c>
      <c r="C8" s="33" t="inlineStr">
        <is>
          <t>POOR</t>
        </is>
      </c>
      <c r="D8" s="32" t="inlineStr">
        <is>
          <t>Text: 596 chars; Prices: 0 ($-sign), 0 (decimal); Total: $0.01 (placeholder); Invoice#: MISSING; Real items: 0/1; Structure words: 7/12</t>
        </is>
      </c>
      <c r="E8" s="34" t="inlineStr">
        <is>
          <t>10813 NW 30 th street BLDG 115 GRE 8474 Miami , FLORIDA
33172
2024 - 07 - 17
Delivery Address :
10813 NW 30 th street BLDG 115 GRE 8474 Miami , FLORIDA
33172
Order Information
Order Number :
GSUNJY 57 BOO 0 ONGXV
Seller Information
Sold By :
United StatesCALIFORNIALos Angeles 777 S . Alamaeda St .
Suite 340 , Los Angeles , CA 90021
Invoice Detail
SHEINNeu Women Elastic Waist Wide Leg Bloomers Shorts In Solid Color
ye Summer Coquette Kawaii Balletcore Braid Bow Ribbon Short Sleeve Round Neck T - Shirt K - Pop
Clb Holiday
Item ( s ) Subtotal :
Shipping / Handling :
Sales Tax :
Grand Total: :</t>
        </is>
      </c>
    </row>
    <row r="9">
      <c r="A9" s="35" t="inlineStr">
        <is>
          <t>GSUNJY57BOONGXE_Invoice_8.pdf</t>
        </is>
      </c>
      <c r="B9" s="35" t="inlineStr">
        <is>
          <t>53/100</t>
        </is>
      </c>
      <c r="C9" s="35" t="inlineStr">
        <is>
          <t>FAIR</t>
        </is>
      </c>
      <c r="D9" s="35" t="inlineStr">
        <is>
          <t>Text: 709 chars; Prices: 0 ($-sign), 3 (decimal); Total: MISSING; Invoice#: MISSING; Real items: 3/3; Structure words: 10/12</t>
        </is>
      </c>
      <c r="E9" s="36" t="inlineStr">
        <is>
          <t>10813 NW 30 th street BLDG 115 GRE 8474 Miami , FLORIDA 2024 - 07 - 17
33172
Delivery Address :
10813 NW 30 th street BLDG 115 GRE 8474 Miami , FLORIDA
33172
Order Information
Order Number : Order Date :
GSUNJY 57 BOONGY 00 NGY 2 2024 - 07 - 17
Seller Information
Sold By : Address :
SHEIN DISTRIBUTION CORPORATION United StatesCALIFORNIALos Angeles 777 S . Alamaeda St .
Suite 340 , Los Angeles , CA 90021
Invoice Detail
Description Quantity Amount ( USD )
SFEIN ICON Flap Pocket Buckle Detail Denim Shorts 1 12.69
pre ICON Solid PU Leather Pleated Skirt 1 9.38
syEth ICON Hollow Out Ultra Short Camisole Top 1 7.52
Item ( s ) Subtotal : 29.59
Shipping / Handling : 0.00
Sales Tax : 2.11
Grand Total: : 31.70</t>
        </is>
      </c>
    </row>
    <row r="10">
      <c r="A10" s="35" t="inlineStr">
        <is>
          <t>GSUNJY57BOONGXE_Invoice_9.pdf</t>
        </is>
      </c>
      <c r="B10" s="35" t="inlineStr">
        <is>
          <t>49/100</t>
        </is>
      </c>
      <c r="C10" s="35" t="inlineStr">
        <is>
          <t>FAIR</t>
        </is>
      </c>
      <c r="D10" s="35" t="inlineStr">
        <is>
          <t>Text: 774 chars; Prices: 0 ($-sign), 1 (decimal); Total: MISSING; Invoice#: MISSING; Real items: 3/3; Structure words: 10/12</t>
        </is>
      </c>
      <c r="E10" s="36" t="inlineStr">
        <is>
          <t>10813 NW 30 th street BLDG 115 GRE 8474 Miami , FLORIDA 2024 - 07 - 17
33172
Delivery Address :
10813 NW 30 th street BLDG 115 GRE 8474 Miami , FLORIDA
33172
Order Information
Order Number : GSUNJY 57 B 00 NGXK Order Date :
2024 - 07 - 17
Seller Information
United StatesCALIFORNIALos Angeles 777 S . Alamaeda St .
Suite 340 , Los Angeles , CA 90021
Invoice Detail
Description Quantity Amount ( USD )
EIN Slayr Casual ' Money ' Letter Printed Women ' s Sexy Crop Top Top , Suitable For Summer 1 2.82
pe Slayr Women ' s Summer Short Sleeve Casual T - Shirt With Angel Print And Slogan , Round Neck 1 3.30
SHEIN Slayr Angel And Letter Graphic Printed Crop Top For Summer Casual 1 3.43
Item ( s ) Subtotal : 9.55
Shipping / Handling : 0.00
Sales Tax : 0.67
Grand Total: : 10.22</t>
        </is>
      </c>
    </row>
    <row r="11">
      <c r="A11" s="32" t="inlineStr">
        <is>
          <t>GSUNJY57BOONGXE_Invoice_10.pdf</t>
        </is>
      </c>
      <c r="B11" s="32" t="inlineStr">
        <is>
          <t>25/100</t>
        </is>
      </c>
      <c r="C11" s="33" t="inlineStr">
        <is>
          <t>POOR</t>
        </is>
      </c>
      <c r="D11" s="32" t="inlineStr">
        <is>
          <t>Text: 797 chars; Prices: 0 ($-sign), 0 (decimal); Total: $0.01 (placeholder); Invoice#: MISSING; Real items: 0/1; Structure words: 6/12</t>
        </is>
      </c>
      <c r="E11" s="34" t="inlineStr">
        <is>
          <t>SHEIN US Services , LLC .
777 S Alameda St Fl 2 . Los Angeles , CA 90021 - 1633
Sales Invoice
Bill To :
Invoice Detail . :
INVUS 202407
Billing Address :
10813 NW 30 th street BLDG 115 GRE 8474 Miami , FLORIDA
33172
2024 - 07 - 17
Delivery Address :
10813 NW 30 th street BLDG 115 GRE 8474 Miami , FLORIDA
33172
Order Information
Order Number :
Seller Information
Sold By :
United StatesCALIFORNIALos Angeles 777 S . Alamaeda St .
Suite 340 , Los Angeles , CA 90021
SHEIN Casual ' Money ' Letter &amp; Cigarette Print Round Neck Slim Fit Women ' s Tank Top , Suitable For Summer
Surtner Tie - Dye Tight - Fitting Sexy Short Sleeve And Shorts Two - Piece Set
oe a - Dye Tight - Fitting Sexy Short Sleeve And Shorts Two - Piece Set
ltern { s ) Subtotal :
Shipping / Handling :
Sales Tax :
Grand Total: :</t>
        </is>
      </c>
    </row>
    <row r="12">
      <c r="A12" s="32" t="inlineStr">
        <is>
          <t>GSUNJY57BOONGXE_Invoice_11.pdf</t>
        </is>
      </c>
      <c r="B12" s="32" t="inlineStr">
        <is>
          <t>22/100</t>
        </is>
      </c>
      <c r="C12" s="33" t="inlineStr">
        <is>
          <t>POOR</t>
        </is>
      </c>
      <c r="D12" s="32" t="inlineStr">
        <is>
          <t>Text: 461 chars; Prices: 0 ($-sign), 0 (decimal); Total: $0.01 (placeholder); Invoice#: MISSING; Real items: 0/1; Structure words: 7/12</t>
        </is>
      </c>
      <c r="E12" s="34" t="inlineStr">
        <is>
          <t>10813 NW 30 th street BLDG 115 GRE 8474 Miami , FLORIDA
33172
2024 - 07 - 17
Delivery Address :
10813 NW 30 th street BLDG 115 GRE 8474 Miami , FLORIDA
33172
Order Information
Order Number :
Seller Information
Sold By :
ChinaGuangzhou , Panyu , Guangzhou , China
Invoice Detail
Apperloth A Rave 2 Pcs Solid Bandana Hem Tape Detail Knitted Tube Top &amp; Drop Waist Knit Skirt Vacation
Style Set
Item ( s ) Subtotal :
Shipping / Handling :
Sales Tax :
Grand Total: :</t>
        </is>
      </c>
    </row>
    <row r="13">
      <c r="A13" s="32" t="inlineStr">
        <is>
          <t>GSUNJY57BOONGXE_Invoice_12.pdf</t>
        </is>
      </c>
      <c r="B13" s="32" t="inlineStr">
        <is>
          <t>35/100</t>
        </is>
      </c>
      <c r="C13" s="33" t="inlineStr">
        <is>
          <t>POOR</t>
        </is>
      </c>
      <c r="D13" s="32" t="inlineStr">
        <is>
          <t>Text: 743 chars; Prices: 0 ($-sign), 0 (decimal); Total: MISSING; Invoice#: MISSING; Real items: 1/1; Structure words: 10/12</t>
        </is>
      </c>
      <c r="E13" s="34" t="inlineStr">
        <is>
          <t>10813 NW 30 th street BLDG 115 GRE 8474 Miami , FLORIDA 2024 - 07 - 17
33172
Delivery Address :
10813 NW 30 th street BLDG 115 GRE 8474 Miami , FLORIDA
33172
Order Information
Order Number : GSUNJY 57 B 00 NGXP Order Date : 2024 - 07 - 17
Seller Information
Sold By : Emerson Address : ChinaShandong , Qingdao , Jimo , No . 2 , Xiyuanzhuang Village , . Sub - district Office , Jimo , Qingdao
Invoice Detail
Description Quantity Amount ( USD )
1 pair Elegant And Stylish Rural Style Pink Edge Camellia Stud Earrings For Women , Suitable For Festivals , ' re Parties , Weddings , Business Occasions , Holidays , Shopping , Daily Wear And Commuting 1 1.52
Item ( s ) Subtotal : 1.62
Shipping / Handling : 0.00
Sales Tax : 0.11
Grand Total: : 1.63</t>
        </is>
      </c>
    </row>
    <row r="14">
      <c r="A14" s="32" t="inlineStr">
        <is>
          <t>GSUNJY57BOONGXE_Invoice_13.pdf</t>
        </is>
      </c>
      <c r="B14" s="32" t="inlineStr">
        <is>
          <t>22/100</t>
        </is>
      </c>
      <c r="C14" s="33" t="inlineStr">
        <is>
          <t>POOR</t>
        </is>
      </c>
      <c r="D14" s="32" t="inlineStr">
        <is>
          <t>Text: 494 chars; Prices: 0 ($-sign), 0 (decimal); Total: $0.01 (placeholder); Invoice#: MISSING; Real items: 0/1; Structure words: 7/12</t>
        </is>
      </c>
      <c r="E14" s="34" t="inlineStr">
        <is>
          <t>10813 NW 30 th street BLDG 115 GRE 8474 Miami , FLORIDA
33172
2024 - 07 - 17
Delivery Address :
10813 NW 30 th street BLDG 115 GRE 8474 Miami , FLORIDA
33172
Order Information
Order Number :
Seller Information
Sold By :
China Unit 401 , Unit 2 , Building 86 , Chunhan 2 District , Beiyuan
Street , Yiwu City , Zhejiang Province ( self - declaration )
Invoice Detail
Say Goodbye to Stretch Marks with Our Powerful Fade Cream
Item ( s ) Subtotal :
Shipping / Handling :
Sales Tax :
Grand Total: :</t>
        </is>
      </c>
    </row>
    <row r="16">
      <c r="A16" s="37" t="inlineStr">
        <is>
          <t>WARNING: OCR text quality is too bad for some pages. Consider rescanning and resubmitting the email.</t>
        </is>
      </c>
    </row>
  </sheetData>
  <mergeCells count="1">
    <mergeCell ref="A16:E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2026-04-18T22:55:43Z</dcterms:created>
  <dcterms:modified xsi:type="dcterms:W3CDTF">2026-04-18T22:56:19Z</dcterms:modified>
</cp:coreProperties>
</file>